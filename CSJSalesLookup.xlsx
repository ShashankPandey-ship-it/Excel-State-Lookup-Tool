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dmin\Desktop\Shashank Data\"/>
    </mc:Choice>
  </mc:AlternateContent>
  <xr:revisionPtr revIDLastSave="0" documentId="13_ncr:1_{51DB518B-C860-4A93-96DF-4A9BD9D34B0E}" xr6:coauthVersionLast="36" xr6:coauthVersionMax="36" xr10:uidLastSave="{00000000-0000-0000-0000-000000000000}"/>
  <bookViews>
    <workbookView xWindow="0" yWindow="0" windowWidth="20490" windowHeight="7545" xr2:uid="{00000000-000D-0000-FFFF-FFFF00000000}"/>
  </bookViews>
  <sheets>
    <sheet name="HomePage" sheetId="7" r:id="rId1"/>
    <sheet name="Statename" sheetId="1" r:id="rId2"/>
  </sheets>
  <definedNames>
    <definedName name="Slicer_StateNa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alcChain>
</file>

<file path=xl/sharedStrings.xml><?xml version="1.0" encoding="utf-8"?>
<sst xmlns="http://schemas.openxmlformats.org/spreadsheetml/2006/main" count="15761" uniqueCount="1949">
  <si>
    <t>Los Angeles</t>
  </si>
  <si>
    <t>CA</t>
  </si>
  <si>
    <t>California</t>
  </si>
  <si>
    <t>Cook</t>
  </si>
  <si>
    <t>IL</t>
  </si>
  <si>
    <t>Illinois</t>
  </si>
  <si>
    <t>Harris</t>
  </si>
  <si>
    <t>TX</t>
  </si>
  <si>
    <t>Texas</t>
  </si>
  <si>
    <t>Maricopa</t>
  </si>
  <si>
    <t>AZ</t>
  </si>
  <si>
    <t>Arizona</t>
  </si>
  <si>
    <t>San Diego</t>
  </si>
  <si>
    <t>Orange</t>
  </si>
  <si>
    <t>Miami-Dade</t>
  </si>
  <si>
    <t>FL</t>
  </si>
  <si>
    <t>Florida</t>
  </si>
  <si>
    <t>Kings</t>
  </si>
  <si>
    <t>NY</t>
  </si>
  <si>
    <t>New York</t>
  </si>
  <si>
    <t>Dallas</t>
  </si>
  <si>
    <t>Riverside</t>
  </si>
  <si>
    <t>Queens</t>
  </si>
  <si>
    <t>Clark</t>
  </si>
  <si>
    <t>NV</t>
  </si>
  <si>
    <t>Nevada</t>
  </si>
  <si>
    <t>King</t>
  </si>
  <si>
    <t>WA</t>
  </si>
  <si>
    <t>Washington</t>
  </si>
  <si>
    <t>San Bernardino</t>
  </si>
  <si>
    <t>Tarrant</t>
  </si>
  <si>
    <t>Bexar</t>
  </si>
  <si>
    <t>Broward</t>
  </si>
  <si>
    <t>Santa Clara</t>
  </si>
  <si>
    <t>Wayne</t>
  </si>
  <si>
    <t>MI</t>
  </si>
  <si>
    <t>Michigan</t>
  </si>
  <si>
    <t>Alameda</t>
  </si>
  <si>
    <t>Middlesex</t>
  </si>
  <si>
    <t>MA</t>
  </si>
  <si>
    <t>Massachusetts</t>
  </si>
  <si>
    <t>Sacramento</t>
  </si>
  <si>
    <t>Philadelphia</t>
  </si>
  <si>
    <t>PA</t>
  </si>
  <si>
    <t>Pennsylvania</t>
  </si>
  <si>
    <t>Suffolk</t>
  </si>
  <si>
    <t>Palm Beach</t>
  </si>
  <si>
    <t>Hillsborough</t>
  </si>
  <si>
    <t>Bronx</t>
  </si>
  <si>
    <t>Nassau</t>
  </si>
  <si>
    <t>Franklin</t>
  </si>
  <si>
    <t>OH</t>
  </si>
  <si>
    <t>Ohio</t>
  </si>
  <si>
    <t>Travis</t>
  </si>
  <si>
    <t>Oakland</t>
  </si>
  <si>
    <t>Hennepin</t>
  </si>
  <si>
    <t>MN</t>
  </si>
  <si>
    <t>Minnesota</t>
  </si>
  <si>
    <t>Cuyahoga</t>
  </si>
  <si>
    <t>Allegheny</t>
  </si>
  <si>
    <t>Salt Lake</t>
  </si>
  <si>
    <t>UT</t>
  </si>
  <si>
    <t>Utah</t>
  </si>
  <si>
    <t>Contra Costa</t>
  </si>
  <si>
    <t>Wake</t>
  </si>
  <si>
    <t>NC</t>
  </si>
  <si>
    <t>North Carolina</t>
  </si>
  <si>
    <t>Fairfax</t>
  </si>
  <si>
    <t>VA</t>
  </si>
  <si>
    <t>Virginia</t>
  </si>
  <si>
    <t>Mecklenburg</t>
  </si>
  <si>
    <t>Collin</t>
  </si>
  <si>
    <t>Fulton</t>
  </si>
  <si>
    <t>GA</t>
  </si>
  <si>
    <t>Georgia</t>
  </si>
  <si>
    <t>Montgomery</t>
  </si>
  <si>
    <t>MD</t>
  </si>
  <si>
    <t>Maryland</t>
  </si>
  <si>
    <t>Pima</t>
  </si>
  <si>
    <t>Fresno</t>
  </si>
  <si>
    <t>Duval</t>
  </si>
  <si>
    <t>Honolulu</t>
  </si>
  <si>
    <t>HI</t>
  </si>
  <si>
    <t>Hawaii</t>
  </si>
  <si>
    <t>Westchester</t>
  </si>
  <si>
    <t>St. Louis</t>
  </si>
  <si>
    <t>MO</t>
  </si>
  <si>
    <t>Missouri</t>
  </si>
  <si>
    <t>Marion</t>
  </si>
  <si>
    <t>IN</t>
  </si>
  <si>
    <t>Indiana</t>
  </si>
  <si>
    <t>Capitol</t>
  </si>
  <si>
    <t>CT</t>
  </si>
  <si>
    <t>Connecticut</t>
  </si>
  <si>
    <t>Gwinnett</t>
  </si>
  <si>
    <t>Pinellas</t>
  </si>
  <si>
    <t>Prince George's</t>
  </si>
  <si>
    <t>Bergen</t>
  </si>
  <si>
    <t>NJ</t>
  </si>
  <si>
    <t>New Jersey</t>
  </si>
  <si>
    <t>Erie</t>
  </si>
  <si>
    <t>Denton</t>
  </si>
  <si>
    <t>Milwaukee</t>
  </si>
  <si>
    <t>WI</t>
  </si>
  <si>
    <t>Wisconsin</t>
  </si>
  <si>
    <t>DuPage</t>
  </si>
  <si>
    <t>Pierce</t>
  </si>
  <si>
    <t>Shelby</t>
  </si>
  <si>
    <t>TN</t>
  </si>
  <si>
    <t>Tennessee</t>
  </si>
  <si>
    <t>Kern</t>
  </si>
  <si>
    <t>Hidalgo</t>
  </si>
  <si>
    <t>Macomb</t>
  </si>
  <si>
    <t>El Paso</t>
  </si>
  <si>
    <t>Worcester</t>
  </si>
  <si>
    <t>Fort Bend</t>
  </si>
  <si>
    <t>Essex</t>
  </si>
  <si>
    <t>Baltimore</t>
  </si>
  <si>
    <t>Ventura</t>
  </si>
  <si>
    <t>San Francisco</t>
  </si>
  <si>
    <t>Snohomish</t>
  </si>
  <si>
    <t>Hamilton</t>
  </si>
  <si>
    <t>Multnomah</t>
  </si>
  <si>
    <t>OR</t>
  </si>
  <si>
    <t>Oregon</t>
  </si>
  <si>
    <t>Oklahoma</t>
  </si>
  <si>
    <t>OK</t>
  </si>
  <si>
    <t>Lee</t>
  </si>
  <si>
    <t>San Joaquin</t>
  </si>
  <si>
    <t>Jefferson</t>
  </si>
  <si>
    <t>KY</t>
  </si>
  <si>
    <t>Kentucky</t>
  </si>
  <si>
    <t>Cobb</t>
  </si>
  <si>
    <t>DeKalb</t>
  </si>
  <si>
    <t>Polk</t>
  </si>
  <si>
    <t>Monroe</t>
  </si>
  <si>
    <t>San Mateo</t>
  </si>
  <si>
    <t>CO</t>
  </si>
  <si>
    <t>Colorado</t>
  </si>
  <si>
    <t>Norfolk</t>
  </si>
  <si>
    <t>Jackson</t>
  </si>
  <si>
    <t>Denver</t>
  </si>
  <si>
    <t>Lake</t>
  </si>
  <si>
    <t>Hudson</t>
  </si>
  <si>
    <t>Davidson</t>
  </si>
  <si>
    <t>Will</t>
  </si>
  <si>
    <t>Bernalillo</t>
  </si>
  <si>
    <t>NM</t>
  </si>
  <si>
    <t>New Mexico</t>
  </si>
  <si>
    <t>Tulsa</t>
  </si>
  <si>
    <t>District of Columbia</t>
  </si>
  <si>
    <t>DC</t>
  </si>
  <si>
    <t>AL</t>
  </si>
  <si>
    <t>Alabama</t>
  </si>
  <si>
    <t>Providence</t>
  </si>
  <si>
    <t>RI</t>
  </si>
  <si>
    <t>Rhode Island</t>
  </si>
  <si>
    <t>Kent</t>
  </si>
  <si>
    <t>Arapahoe</t>
  </si>
  <si>
    <t>Ocean</t>
  </si>
  <si>
    <t>Bucks</t>
  </si>
  <si>
    <t>Williamson</t>
  </si>
  <si>
    <t>Monmouth</t>
  </si>
  <si>
    <t>Western Connecticut</t>
  </si>
  <si>
    <t>Brevard</t>
  </si>
  <si>
    <t>Johnson</t>
  </si>
  <si>
    <t>KS</t>
  </si>
  <si>
    <t>Kansas</t>
  </si>
  <si>
    <t>Anne Arundel</t>
  </si>
  <si>
    <t>Pasco</t>
  </si>
  <si>
    <t>Douglas</t>
  </si>
  <si>
    <t>NE</t>
  </si>
  <si>
    <t>Nebraska</t>
  </si>
  <si>
    <t>Bristol</t>
  </si>
  <si>
    <t>Delaware</t>
  </si>
  <si>
    <t>New Castle</t>
  </si>
  <si>
    <t>DE</t>
  </si>
  <si>
    <t>Union</t>
  </si>
  <si>
    <t>Volusia</t>
  </si>
  <si>
    <t>South Central Connecticut</t>
  </si>
  <si>
    <t>Dane</t>
  </si>
  <si>
    <t>Lancaster</t>
  </si>
  <si>
    <t>Stanislaus</t>
  </si>
  <si>
    <t>Ramsey</t>
  </si>
  <si>
    <t>Spokane</t>
  </si>
  <si>
    <t>Guilford</t>
  </si>
  <si>
    <t>Chester</t>
  </si>
  <si>
    <t>Summit</t>
  </si>
  <si>
    <t>Greenville</t>
  </si>
  <si>
    <t>SC</t>
  </si>
  <si>
    <t>South Carolina</t>
  </si>
  <si>
    <t>Plymouth</t>
  </si>
  <si>
    <t>Sedgwick</t>
  </si>
  <si>
    <t>Adams</t>
  </si>
  <si>
    <t>Camden</t>
  </si>
  <si>
    <t>Passaic</t>
  </si>
  <si>
    <t>Kane</t>
  </si>
  <si>
    <t>Morris</t>
  </si>
  <si>
    <t>Ada</t>
  </si>
  <si>
    <t>ID</t>
  </si>
  <si>
    <t>Idaho</t>
  </si>
  <si>
    <t>IA</t>
  </si>
  <si>
    <t>Iowa</t>
  </si>
  <si>
    <t>Richmond</t>
  </si>
  <si>
    <t>Washoe</t>
  </si>
  <si>
    <t>Knox</t>
  </si>
  <si>
    <t>Sonoma</t>
  </si>
  <si>
    <t>Prince William</t>
  </si>
  <si>
    <t>Tulare</t>
  </si>
  <si>
    <t>Seminole</t>
  </si>
  <si>
    <t>Onondaga</t>
  </si>
  <si>
    <t>Burlington</t>
  </si>
  <si>
    <t>Hampden</t>
  </si>
  <si>
    <t>York</t>
  </si>
  <si>
    <t>Virginia Beach</t>
  </si>
  <si>
    <t>East Baton Rouge</t>
  </si>
  <si>
    <t>LA</t>
  </si>
  <si>
    <t>Louisiana</t>
  </si>
  <si>
    <t>Naugatuck Valley</t>
  </si>
  <si>
    <t>Solano</t>
  </si>
  <si>
    <t>Pinal</t>
  </si>
  <si>
    <t>Sarasota</t>
  </si>
  <si>
    <t>Santa Barbara</t>
  </si>
  <si>
    <t>Dakota</t>
  </si>
  <si>
    <t>Monterey</t>
  </si>
  <si>
    <t>Berks</t>
  </si>
  <si>
    <t>Lucas</t>
  </si>
  <si>
    <t>Loudoun</t>
  </si>
  <si>
    <t>NH</t>
  </si>
  <si>
    <t>New Hampshire</t>
  </si>
  <si>
    <t>Cameron</t>
  </si>
  <si>
    <t>Clackamas</t>
  </si>
  <si>
    <t>Richland</t>
  </si>
  <si>
    <t>Manatee</t>
  </si>
  <si>
    <t>Charleston</t>
  </si>
  <si>
    <t>Mobile</t>
  </si>
  <si>
    <t>Placer</t>
  </si>
  <si>
    <t>St. Charles</t>
  </si>
  <si>
    <t>Waukesha</t>
  </si>
  <si>
    <t>Osceola</t>
  </si>
  <si>
    <t>Genesee</t>
  </si>
  <si>
    <t>Pulaski</t>
  </si>
  <si>
    <t>AR</t>
  </si>
  <si>
    <t>Arkansas</t>
  </si>
  <si>
    <t>Madison</t>
  </si>
  <si>
    <t>Butler</t>
  </si>
  <si>
    <t>Allen</t>
  </si>
  <si>
    <t>Collier</t>
  </si>
  <si>
    <t>Forsyth</t>
  </si>
  <si>
    <t>Mercer</t>
  </si>
  <si>
    <t>Lane</t>
  </si>
  <si>
    <t>Brazoria</t>
  </si>
  <si>
    <t>Bell</t>
  </si>
  <si>
    <t>Orleans</t>
  </si>
  <si>
    <t>Lehigh</t>
  </si>
  <si>
    <t>Stark</t>
  </si>
  <si>
    <t>Chesterfield</t>
  </si>
  <si>
    <t>Horry</t>
  </si>
  <si>
    <t>Washtenaw</t>
  </si>
  <si>
    <t>Anoka</t>
  </si>
  <si>
    <t>Davis</t>
  </si>
  <si>
    <t>Larimer</t>
  </si>
  <si>
    <t>Galveston</t>
  </si>
  <si>
    <t>Westmoreland</t>
  </si>
  <si>
    <t>Nueces</t>
  </si>
  <si>
    <t>Rutherford</t>
  </si>
  <si>
    <t>St. Lucie</t>
  </si>
  <si>
    <t>Somerset</t>
  </si>
  <si>
    <t>Weld</t>
  </si>
  <si>
    <t>Rockland</t>
  </si>
  <si>
    <t>Spartanburg</t>
  </si>
  <si>
    <t>Cumberland</t>
  </si>
  <si>
    <t>Henrico</t>
  </si>
  <si>
    <t>Howard</t>
  </si>
  <si>
    <t>Durham</t>
  </si>
  <si>
    <t>Boulder</t>
  </si>
  <si>
    <t>Greater Bridgeport</t>
  </si>
  <si>
    <t>Luzerne</t>
  </si>
  <si>
    <t>Escambia</t>
  </si>
  <si>
    <t>Fayette</t>
  </si>
  <si>
    <t>Rockingham</t>
  </si>
  <si>
    <t>Northampton</t>
  </si>
  <si>
    <t>Albany</t>
  </si>
  <si>
    <t>Lubbock</t>
  </si>
  <si>
    <t>Lorain</t>
  </si>
  <si>
    <t>McHenry</t>
  </si>
  <si>
    <t>ME</t>
  </si>
  <si>
    <t>Maine</t>
  </si>
  <si>
    <t>Gloucester</t>
  </si>
  <si>
    <t>Greene</t>
  </si>
  <si>
    <t>Lexington</t>
  </si>
  <si>
    <t>Clayton</t>
  </si>
  <si>
    <t>Ottawa</t>
  </si>
  <si>
    <t>Chatham</t>
  </si>
  <si>
    <t>Cleveland</t>
  </si>
  <si>
    <t>Dutchess</t>
  </si>
  <si>
    <t>Thurston</t>
  </si>
  <si>
    <t>Leon</t>
  </si>
  <si>
    <t>Benton</t>
  </si>
  <si>
    <t>St. Johns</t>
  </si>
  <si>
    <t>Anchorage</t>
  </si>
  <si>
    <t>AK</t>
  </si>
  <si>
    <t>Alaska</t>
  </si>
  <si>
    <t>Dauphin</t>
  </si>
  <si>
    <t>Merced</t>
  </si>
  <si>
    <t>Winnebago</t>
  </si>
  <si>
    <t>Ingham</t>
  </si>
  <si>
    <t>Alachua</t>
  </si>
  <si>
    <t>San Luis Obispo</t>
  </si>
  <si>
    <t>Frederick</t>
  </si>
  <si>
    <t>Southeastern Connecticut</t>
  </si>
  <si>
    <t>Kitsap</t>
  </si>
  <si>
    <t>Atlantic</t>
  </si>
  <si>
    <t>Cherokee</t>
  </si>
  <si>
    <t>St. Joseph</t>
  </si>
  <si>
    <t>Buncombe</t>
  </si>
  <si>
    <t>Brown</t>
  </si>
  <si>
    <t>St. Tammany</t>
  </si>
  <si>
    <t>Webb</t>
  </si>
  <si>
    <t>Weber</t>
  </si>
  <si>
    <t>Santa Cruz</t>
  </si>
  <si>
    <t>McLennan</t>
  </si>
  <si>
    <t>Harford</t>
  </si>
  <si>
    <t>Kalamazoo</t>
  </si>
  <si>
    <t>Marin</t>
  </si>
  <si>
    <t>Yakima</t>
  </si>
  <si>
    <t>Hays</t>
  </si>
  <si>
    <t>Clay</t>
  </si>
  <si>
    <t>St. Clair</t>
  </si>
  <si>
    <t>Chesapeake</t>
  </si>
  <si>
    <t>Sussex</t>
  </si>
  <si>
    <t>Warren</t>
  </si>
  <si>
    <t>Henry</t>
  </si>
  <si>
    <t>Lafayette</t>
  </si>
  <si>
    <t>Canyon</t>
  </si>
  <si>
    <t>Yavapai</t>
  </si>
  <si>
    <t>Baldwin</t>
  </si>
  <si>
    <t>Berkeley</t>
  </si>
  <si>
    <t>Smith</t>
  </si>
  <si>
    <t>Brazos</t>
  </si>
  <si>
    <t>Saratoga</t>
  </si>
  <si>
    <t>Arlington</t>
  </si>
  <si>
    <t>Tuscaloosa</t>
  </si>
  <si>
    <t>Caddo</t>
  </si>
  <si>
    <t>Gaston</t>
  </si>
  <si>
    <t>Cabarrus</t>
  </si>
  <si>
    <t>New Hanover</t>
  </si>
  <si>
    <t>Barnstable</t>
  </si>
  <si>
    <t>Oneida</t>
  </si>
  <si>
    <t>Linn</t>
  </si>
  <si>
    <t>Whatcom</t>
  </si>
  <si>
    <t>Mahoning</t>
  </si>
  <si>
    <t>Johnston</t>
  </si>
  <si>
    <t>Hinds</t>
  </si>
  <si>
    <t>MS</t>
  </si>
  <si>
    <t>Mississippi</t>
  </si>
  <si>
    <t>Doña Ana</t>
  </si>
  <si>
    <t>Yolo</t>
  </si>
  <si>
    <t>Mohave</t>
  </si>
  <si>
    <t>Lackawanna</t>
  </si>
  <si>
    <t>Okaloosa</t>
  </si>
  <si>
    <t>Niagara</t>
  </si>
  <si>
    <t>Clermont</t>
  </si>
  <si>
    <t>Butte</t>
  </si>
  <si>
    <t>Harrison</t>
  </si>
  <si>
    <t>Calcasieu</t>
  </si>
  <si>
    <t>Onslow</t>
  </si>
  <si>
    <t>Hall</t>
  </si>
  <si>
    <t>Yuma</t>
  </si>
  <si>
    <t>Anderson</t>
  </si>
  <si>
    <t>Elkhart</t>
  </si>
  <si>
    <t>Champaign</t>
  </si>
  <si>
    <t>Muscogee</t>
  </si>
  <si>
    <t>Ellis</t>
  </si>
  <si>
    <t>Deschutes</t>
  </si>
  <si>
    <t>Hernando</t>
  </si>
  <si>
    <t>Trumbull</t>
  </si>
  <si>
    <t>Minnehaha</t>
  </si>
  <si>
    <t>SD</t>
  </si>
  <si>
    <t>South Dakota</t>
  </si>
  <si>
    <t>Sumner</t>
  </si>
  <si>
    <t>Broome</t>
  </si>
  <si>
    <t>Racine</t>
  </si>
  <si>
    <t>Sangamon</t>
  </si>
  <si>
    <t>Livingston</t>
  </si>
  <si>
    <t>Charlotte</t>
  </si>
  <si>
    <t>Sarpy</t>
  </si>
  <si>
    <t>Santa Rosa</t>
  </si>
  <si>
    <t>El Dorado</t>
  </si>
  <si>
    <t>Beaufort</t>
  </si>
  <si>
    <t>Iredell</t>
  </si>
  <si>
    <t>Outagamie</t>
  </si>
  <si>
    <t>Cass</t>
  </si>
  <si>
    <t>ND</t>
  </si>
  <si>
    <t>North Dakota</t>
  </si>
  <si>
    <t>Saginaw</t>
  </si>
  <si>
    <t>DeSoto</t>
  </si>
  <si>
    <t>Tippecanoe</t>
  </si>
  <si>
    <t>Boone</t>
  </si>
  <si>
    <t>Newport News</t>
  </si>
  <si>
    <t>Medina</t>
  </si>
  <si>
    <t>Ulster</t>
  </si>
  <si>
    <t>Shasta</t>
  </si>
  <si>
    <t>Bay</t>
  </si>
  <si>
    <t>Licking</t>
  </si>
  <si>
    <t>Vanderburgh</t>
  </si>
  <si>
    <t>Peoria</t>
  </si>
  <si>
    <t>Hendricks</t>
  </si>
  <si>
    <t>Imperial</t>
  </si>
  <si>
    <t>Guadalupe</t>
  </si>
  <si>
    <t>Shawnee</t>
  </si>
  <si>
    <t>Kanawha</t>
  </si>
  <si>
    <t>WV</t>
  </si>
  <si>
    <t>West Virginia</t>
  </si>
  <si>
    <t>Kootenai</t>
  </si>
  <si>
    <t>Muskegon</t>
  </si>
  <si>
    <t>Lower Connecticut River Valley</t>
  </si>
  <si>
    <t>Comal</t>
  </si>
  <si>
    <t>Carroll</t>
  </si>
  <si>
    <t>Scott</t>
  </si>
  <si>
    <t>Paulding</t>
  </si>
  <si>
    <t>Alamance</t>
  </si>
  <si>
    <t>Porter</t>
  </si>
  <si>
    <t>Pitt</t>
  </si>
  <si>
    <t>Aiken</t>
  </si>
  <si>
    <t>Midland</t>
  </si>
  <si>
    <t>McLean</t>
  </si>
  <si>
    <t>Kenton</t>
  </si>
  <si>
    <t>Chittenden</t>
  </si>
  <si>
    <t>VT</t>
  </si>
  <si>
    <t>Vermont</t>
  </si>
  <si>
    <t>Pueblo</t>
  </si>
  <si>
    <t>Charles</t>
  </si>
  <si>
    <t>Kenosha</t>
  </si>
  <si>
    <t>Yellowstone</t>
  </si>
  <si>
    <t>MT</t>
  </si>
  <si>
    <t>Montana</t>
  </si>
  <si>
    <t>Wyandotte</t>
  </si>
  <si>
    <t>Beaver</t>
  </si>
  <si>
    <t>Houston</t>
  </si>
  <si>
    <t>Maui</t>
  </si>
  <si>
    <t>Dorchester</t>
  </si>
  <si>
    <t>Rock</t>
  </si>
  <si>
    <t>Indian River</t>
  </si>
  <si>
    <t>Olmsted</t>
  </si>
  <si>
    <t>Ector</t>
  </si>
  <si>
    <t>Canadian</t>
  </si>
  <si>
    <t>Catawba</t>
  </si>
  <si>
    <t>Portage</t>
  </si>
  <si>
    <t>Fairfield</t>
  </si>
  <si>
    <t>Kaufman</t>
  </si>
  <si>
    <t>Stafford</t>
  </si>
  <si>
    <t>Martin</t>
  </si>
  <si>
    <t>Rensselaer</t>
  </si>
  <si>
    <t>Sullivan</t>
  </si>
  <si>
    <t>Columbia</t>
  </si>
  <si>
    <t>Schenectady</t>
  </si>
  <si>
    <t>Stearns</t>
  </si>
  <si>
    <t>Ouachita</t>
  </si>
  <si>
    <t>Madera</t>
  </si>
  <si>
    <t>Citrus</t>
  </si>
  <si>
    <t>Rankin</t>
  </si>
  <si>
    <t>Parker</t>
  </si>
  <si>
    <t>Centre</t>
  </si>
  <si>
    <t>Mesa</t>
  </si>
  <si>
    <t>Alexandria</t>
  </si>
  <si>
    <t>Hampshire</t>
  </si>
  <si>
    <t>Bibb</t>
  </si>
  <si>
    <t>Santa Fe</t>
  </si>
  <si>
    <t>Merrimack</t>
  </si>
  <si>
    <t>Wilson</t>
  </si>
  <si>
    <t>Penobscot</t>
  </si>
  <si>
    <t>Berrien</t>
  </si>
  <si>
    <t>Sandoval</t>
  </si>
  <si>
    <t>Coweta</t>
  </si>
  <si>
    <t>Rowan</t>
  </si>
  <si>
    <t>Brunswick</t>
  </si>
  <si>
    <t>Randolph</t>
  </si>
  <si>
    <t>Wright</t>
  </si>
  <si>
    <t>Coconino</t>
  </si>
  <si>
    <t>Taylor</t>
  </si>
  <si>
    <t>Spotsylvania</t>
  </si>
  <si>
    <t>Randall</t>
  </si>
  <si>
    <t>Lebanon</t>
  </si>
  <si>
    <t>Schuylkill</t>
  </si>
  <si>
    <t>Rock Island</t>
  </si>
  <si>
    <t>Grayson</t>
  </si>
  <si>
    <t>Marathon</t>
  </si>
  <si>
    <t>Blount</t>
  </si>
  <si>
    <t>Sumter</t>
  </si>
  <si>
    <t>Hampton</t>
  </si>
  <si>
    <t>Cache</t>
  </si>
  <si>
    <t>Florence</t>
  </si>
  <si>
    <t>Harnett</t>
  </si>
  <si>
    <t>Napa</t>
  </si>
  <si>
    <t>Humboldt</t>
  </si>
  <si>
    <t>Tangipahoa</t>
  </si>
  <si>
    <t>Kendall</t>
  </si>
  <si>
    <t>Calhoun</t>
  </si>
  <si>
    <t>Pickens</t>
  </si>
  <si>
    <t>Cambria</t>
  </si>
  <si>
    <t>Wood</t>
  </si>
  <si>
    <t>Strafford</t>
  </si>
  <si>
    <t>Black Hawk</t>
  </si>
  <si>
    <t>Tazewell</t>
  </si>
  <si>
    <t>Skagit</t>
  </si>
  <si>
    <t>Wichita</t>
  </si>
  <si>
    <t>Hunterdon</t>
  </si>
  <si>
    <t>Clarke</t>
  </si>
  <si>
    <t>Bossier</t>
  </si>
  <si>
    <t>Ascension</t>
  </si>
  <si>
    <t>Rapides</t>
  </si>
  <si>
    <t>Sebastian</t>
  </si>
  <si>
    <t>Berkshire</t>
  </si>
  <si>
    <t>Bonneville</t>
  </si>
  <si>
    <t>Chautauqua</t>
  </si>
  <si>
    <t>Faulkner</t>
  </si>
  <si>
    <t>Saline</t>
  </si>
  <si>
    <t>Kennebec</t>
  </si>
  <si>
    <t>Cochise</t>
  </si>
  <si>
    <t>Gregg</t>
  </si>
  <si>
    <t>Morgan</t>
  </si>
  <si>
    <t>Jasper</t>
  </si>
  <si>
    <t>Gallatin</t>
  </si>
  <si>
    <t>Blair</t>
  </si>
  <si>
    <t>Flagler</t>
  </si>
  <si>
    <t>Comanche</t>
  </si>
  <si>
    <t>San Juan</t>
  </si>
  <si>
    <t>Allegan</t>
  </si>
  <si>
    <t>La Crosse</t>
  </si>
  <si>
    <t>Missoula</t>
  </si>
  <si>
    <t>Tom Green</t>
  </si>
  <si>
    <t>Lowndes</t>
  </si>
  <si>
    <t>Oswego</t>
  </si>
  <si>
    <t>Sheboygan</t>
  </si>
  <si>
    <t>Henderson</t>
  </si>
  <si>
    <t>Rockwall</t>
  </si>
  <si>
    <t>Robeson</t>
  </si>
  <si>
    <t>Potter</t>
  </si>
  <si>
    <t>Newton</t>
  </si>
  <si>
    <t>St. Mary's</t>
  </si>
  <si>
    <t>Albemarle</t>
  </si>
  <si>
    <t>Lycoming</t>
  </si>
  <si>
    <t>Northwest Hills</t>
  </si>
  <si>
    <t>Ontario</t>
  </si>
  <si>
    <t>Androscoggin</t>
  </si>
  <si>
    <t>LaPorte</t>
  </si>
  <si>
    <t>Craighead</t>
  </si>
  <si>
    <t>Pennington</t>
  </si>
  <si>
    <t>Hanover</t>
  </si>
  <si>
    <t>Cowlitz</t>
  </si>
  <si>
    <t>Hardin</t>
  </si>
  <si>
    <t>Bartow</t>
  </si>
  <si>
    <t>Matanuska-Susitna</t>
  </si>
  <si>
    <t>Bradley</t>
  </si>
  <si>
    <t>Miami</t>
  </si>
  <si>
    <t>LaSalle</t>
  </si>
  <si>
    <t>Eaton</t>
  </si>
  <si>
    <t>Platte</t>
  </si>
  <si>
    <t>Carver</t>
  </si>
  <si>
    <t>Flathead</t>
  </si>
  <si>
    <t>Yamhill</t>
  </si>
  <si>
    <t>St. Lawrence</t>
  </si>
  <si>
    <t>Navajo</t>
  </si>
  <si>
    <t>Limestone</t>
  </si>
  <si>
    <t>Terrebonne</t>
  </si>
  <si>
    <t>Kankakee</t>
  </si>
  <si>
    <t>Monongalia</t>
  </si>
  <si>
    <t>Eau Claire</t>
  </si>
  <si>
    <t>Vigo</t>
  </si>
  <si>
    <t>Woodbury</t>
  </si>
  <si>
    <t>Walworth</t>
  </si>
  <si>
    <t>Hunt</t>
  </si>
  <si>
    <t>Maury</t>
  </si>
  <si>
    <t>Cecil</t>
  </si>
  <si>
    <t>Wicomico</t>
  </si>
  <si>
    <t>Fond du Lac</t>
  </si>
  <si>
    <t>Highlands</t>
  </si>
  <si>
    <t>Etowah</t>
  </si>
  <si>
    <t>Daviess</t>
  </si>
  <si>
    <t>Whitfield</t>
  </si>
  <si>
    <t>Tompkins</t>
  </si>
  <si>
    <t>Moore</t>
  </si>
  <si>
    <t>Macon</t>
  </si>
  <si>
    <t>Bastrop</t>
  </si>
  <si>
    <t>Columbiana</t>
  </si>
  <si>
    <t>Craven</t>
  </si>
  <si>
    <t>Laramie</t>
  </si>
  <si>
    <t>WY</t>
  </si>
  <si>
    <t>Wyoming</t>
  </si>
  <si>
    <t>Grant</t>
  </si>
  <si>
    <t>Walton</t>
  </si>
  <si>
    <t>Garland</t>
  </si>
  <si>
    <t>Sherburne</t>
  </si>
  <si>
    <t>Burleigh</t>
  </si>
  <si>
    <t>Floyd</t>
  </si>
  <si>
    <t>Sutter</t>
  </si>
  <si>
    <t>Dubuque</t>
  </si>
  <si>
    <t>Lenawee</t>
  </si>
  <si>
    <t>Sevier</t>
  </si>
  <si>
    <t>Marshall</t>
  </si>
  <si>
    <t>Roanoke</t>
  </si>
  <si>
    <t>Story</t>
  </si>
  <si>
    <t>Liberty</t>
  </si>
  <si>
    <t>Putnam</t>
  </si>
  <si>
    <t>Ashtabula</t>
  </si>
  <si>
    <t>Portsmouth</t>
  </si>
  <si>
    <t>Rogers</t>
  </si>
  <si>
    <t>Lafourche</t>
  </si>
  <si>
    <t>Northeastern Connecticut</t>
  </si>
  <si>
    <t>Grand Traverse</t>
  </si>
  <si>
    <t>Fairbanks North Star</t>
  </si>
  <si>
    <t>Geauga</t>
  </si>
  <si>
    <t>Nash</t>
  </si>
  <si>
    <t>Cape May</t>
  </si>
  <si>
    <t>Lauderdale</t>
  </si>
  <si>
    <t>St. Croix</t>
  </si>
  <si>
    <t>Rockdale</t>
  </si>
  <si>
    <t>Calvert</t>
  </si>
  <si>
    <t>Pottawattamie</t>
  </si>
  <si>
    <t>Cabell</t>
  </si>
  <si>
    <t>Campbell</t>
  </si>
  <si>
    <t>Steuben</t>
  </si>
  <si>
    <t>Tuscarawas</t>
  </si>
  <si>
    <t>Ozaukee</t>
  </si>
  <si>
    <t>Bowie</t>
  </si>
  <si>
    <t>Twin Falls</t>
  </si>
  <si>
    <t>Grafton</t>
  </si>
  <si>
    <t>Victoria</t>
  </si>
  <si>
    <t>Christian</t>
  </si>
  <si>
    <t>Northumberland</t>
  </si>
  <si>
    <t>Mendocino</t>
  </si>
  <si>
    <t>Lincoln</t>
  </si>
  <si>
    <t>Cullman</t>
  </si>
  <si>
    <t>Dodge</t>
  </si>
  <si>
    <t>Lapeer</t>
  </si>
  <si>
    <t>Elmore</t>
  </si>
  <si>
    <t>Bannock</t>
  </si>
  <si>
    <t>Josephine</t>
  </si>
  <si>
    <t>Burke</t>
  </si>
  <si>
    <t>Barrow</t>
  </si>
  <si>
    <t>Angelina</t>
  </si>
  <si>
    <t>Island</t>
  </si>
  <si>
    <t>Muskingum</t>
  </si>
  <si>
    <t>Lawrence</t>
  </si>
  <si>
    <t>Newport</t>
  </si>
  <si>
    <t>Glynn</t>
  </si>
  <si>
    <t>Cascade</t>
  </si>
  <si>
    <t>Wagoner</t>
  </si>
  <si>
    <t>Lewis</t>
  </si>
  <si>
    <t>Dougherty</t>
  </si>
  <si>
    <t>Buchanan</t>
  </si>
  <si>
    <t>Coryell</t>
  </si>
  <si>
    <t>Orangeburg</t>
  </si>
  <si>
    <t>Bullitt</t>
  </si>
  <si>
    <t>Crawford</t>
  </si>
  <si>
    <t>Yuba</t>
  </si>
  <si>
    <t>Bartholomew</t>
  </si>
  <si>
    <t>Chemung</t>
  </si>
  <si>
    <t>Leavenworth</t>
  </si>
  <si>
    <t>Payne</t>
  </si>
  <si>
    <t>Cape Girardeau</t>
  </si>
  <si>
    <t>St. Landry</t>
  </si>
  <si>
    <t>Hancock</t>
  </si>
  <si>
    <t>Bulloch</t>
  </si>
  <si>
    <t>Manitowoc</t>
  </si>
  <si>
    <t>Talladega</t>
  </si>
  <si>
    <t>Caldwell</t>
  </si>
  <si>
    <t>Kosciusko</t>
  </si>
  <si>
    <t>Bedford</t>
  </si>
  <si>
    <t>Umatilla</t>
  </si>
  <si>
    <t>James City</t>
  </si>
  <si>
    <t>Natrona</t>
  </si>
  <si>
    <t>Oconee</t>
  </si>
  <si>
    <t>Chelan</t>
  </si>
  <si>
    <t>Clinton</t>
  </si>
  <si>
    <t>Lynchburg</t>
  </si>
  <si>
    <t>Clearfield</t>
  </si>
  <si>
    <t>Walker</t>
  </si>
  <si>
    <t>Forrest</t>
  </si>
  <si>
    <t>Augusta</t>
  </si>
  <si>
    <t>Clallam</t>
  </si>
  <si>
    <t>White</t>
  </si>
  <si>
    <t>Valencia</t>
  </si>
  <si>
    <t>Cheshire</t>
  </si>
  <si>
    <t>Cole</t>
  </si>
  <si>
    <t>Ross</t>
  </si>
  <si>
    <t>Tooele</t>
  </si>
  <si>
    <t>Cattaraugus</t>
  </si>
  <si>
    <t>Grays Harbor</t>
  </si>
  <si>
    <t>Van Buren</t>
  </si>
  <si>
    <t>Cayuga</t>
  </si>
  <si>
    <t>Broomfield</t>
  </si>
  <si>
    <t>Lonoke</t>
  </si>
  <si>
    <t>Robertson</t>
  </si>
  <si>
    <t>Fauquier</t>
  </si>
  <si>
    <t>Raleigh</t>
  </si>
  <si>
    <t>Kauai</t>
  </si>
  <si>
    <t>Vermilion</t>
  </si>
  <si>
    <t>Lea</t>
  </si>
  <si>
    <t>Scioto</t>
  </si>
  <si>
    <t>Pottawatomie</t>
  </si>
  <si>
    <t>Grand Forks</t>
  </si>
  <si>
    <t>Lewis and Clark</t>
  </si>
  <si>
    <t>Wise</t>
  </si>
  <si>
    <t>Creek</t>
  </si>
  <si>
    <t>Riley</t>
  </si>
  <si>
    <t>Surry</t>
  </si>
  <si>
    <t>McKinley</t>
  </si>
  <si>
    <t>Troup</t>
  </si>
  <si>
    <t>Klamath</t>
  </si>
  <si>
    <t>San Patricio</t>
  </si>
  <si>
    <t>Blue Earth</t>
  </si>
  <si>
    <t>Greenwood</t>
  </si>
  <si>
    <t>Ward</t>
  </si>
  <si>
    <t>Iberia</t>
  </si>
  <si>
    <t>Carteret</t>
  </si>
  <si>
    <t>Oldham</t>
  </si>
  <si>
    <t>Catoosa</t>
  </si>
  <si>
    <t>Otero</t>
  </si>
  <si>
    <t>Spalding</t>
  </si>
  <si>
    <t>Shiawassee</t>
  </si>
  <si>
    <t>Laurens</t>
  </si>
  <si>
    <t>Allegany</t>
  </si>
  <si>
    <t>McCracken</t>
  </si>
  <si>
    <t>Rice</t>
  </si>
  <si>
    <t>Effingham</t>
  </si>
  <si>
    <t>Aroostook</t>
  </si>
  <si>
    <t>Montcalm</t>
  </si>
  <si>
    <t>Crow Wing</t>
  </si>
  <si>
    <t>Mason</t>
  </si>
  <si>
    <t>Kershaw</t>
  </si>
  <si>
    <t>St. Francois</t>
  </si>
  <si>
    <t>Jones</t>
  </si>
  <si>
    <t>Ionia</t>
  </si>
  <si>
    <t>Chippewa</t>
  </si>
  <si>
    <t>Muskogee</t>
  </si>
  <si>
    <t>Marquette</t>
  </si>
  <si>
    <t>San Benito</t>
  </si>
  <si>
    <t>Wilkes</t>
  </si>
  <si>
    <t>Belmont</t>
  </si>
  <si>
    <t>Starr</t>
  </si>
  <si>
    <t>Sauk</t>
  </si>
  <si>
    <t>Apache</t>
  </si>
  <si>
    <t>Tehama</t>
  </si>
  <si>
    <t>Carbon</t>
  </si>
  <si>
    <t>Lamar</t>
  </si>
  <si>
    <t>Armstrong</t>
  </si>
  <si>
    <t>Salem</t>
  </si>
  <si>
    <t>Hamblen</t>
  </si>
  <si>
    <t>Nacogdoches</t>
  </si>
  <si>
    <t>Coos</t>
  </si>
  <si>
    <t>Warrick</t>
  </si>
  <si>
    <t>Isabella</t>
  </si>
  <si>
    <t>Chaves</t>
  </si>
  <si>
    <t>Belknap</t>
  </si>
  <si>
    <t>Georgetown</t>
  </si>
  <si>
    <t>Hood</t>
  </si>
  <si>
    <t>Pope</t>
  </si>
  <si>
    <t>Stanly</t>
  </si>
  <si>
    <t>Pender</t>
  </si>
  <si>
    <t>Barry</t>
  </si>
  <si>
    <t>Darlington</t>
  </si>
  <si>
    <t>Laurel</t>
  </si>
  <si>
    <t>Haywood</t>
  </si>
  <si>
    <t>Garfield</t>
  </si>
  <si>
    <t>Walla Walla</t>
  </si>
  <si>
    <t>Reno</t>
  </si>
  <si>
    <t>Athens</t>
  </si>
  <si>
    <t>Granville</t>
  </si>
  <si>
    <t>Tipton</t>
  </si>
  <si>
    <t>Van Zandt</t>
  </si>
  <si>
    <t>Eddy</t>
  </si>
  <si>
    <t>Lyon</t>
  </si>
  <si>
    <t>Rutland</t>
  </si>
  <si>
    <t>Otter Tail</t>
  </si>
  <si>
    <t>Iron</t>
  </si>
  <si>
    <t>Pittsylvania</t>
  </si>
  <si>
    <t>Bradford</t>
  </si>
  <si>
    <t>Herkimer</t>
  </si>
  <si>
    <t>Kenai Peninsula</t>
  </si>
  <si>
    <t>Otsego</t>
  </si>
  <si>
    <t>Box Elder</t>
  </si>
  <si>
    <t>Pike</t>
  </si>
  <si>
    <t>Waller</t>
  </si>
  <si>
    <t>Pickaway</t>
  </si>
  <si>
    <t>Autauga</t>
  </si>
  <si>
    <t>Sampson</t>
  </si>
  <si>
    <t>Coffee</t>
  </si>
  <si>
    <t>Russell</t>
  </si>
  <si>
    <t>Sandusky</t>
  </si>
  <si>
    <t>Oxford</t>
  </si>
  <si>
    <t>Huron</t>
  </si>
  <si>
    <t>Carson City</t>
  </si>
  <si>
    <t>Gordon</t>
  </si>
  <si>
    <t>Windsor</t>
  </si>
  <si>
    <t>Maverick</t>
  </si>
  <si>
    <t>Colbert</t>
  </si>
  <si>
    <t>Hawkins</t>
  </si>
  <si>
    <t>Chisago</t>
  </si>
  <si>
    <t>Acadia</t>
  </si>
  <si>
    <t>Loudon</t>
  </si>
  <si>
    <t>Pearl River</t>
  </si>
  <si>
    <t>Carter</t>
  </si>
  <si>
    <t>Taney</t>
  </si>
  <si>
    <t>La Plata</t>
  </si>
  <si>
    <t>Grady</t>
  </si>
  <si>
    <t>Eagle</t>
  </si>
  <si>
    <t>Dickson</t>
  </si>
  <si>
    <t>Whiteside</t>
  </si>
  <si>
    <t>Lenoir</t>
  </si>
  <si>
    <t>Tuolumne</t>
  </si>
  <si>
    <t>Seneca</t>
  </si>
  <si>
    <t>Watauga</t>
  </si>
  <si>
    <t>Roane</t>
  </si>
  <si>
    <t>McMinn</t>
  </si>
  <si>
    <t>Elko</t>
  </si>
  <si>
    <t>Jessamine</t>
  </si>
  <si>
    <t>Navarro</t>
  </si>
  <si>
    <t>Gila</t>
  </si>
  <si>
    <t>Culpeper</t>
  </si>
  <si>
    <t>Nye</t>
  </si>
  <si>
    <t>Kerr</t>
  </si>
  <si>
    <t>Hoke</t>
  </si>
  <si>
    <t>Tuscola</t>
  </si>
  <si>
    <t>Grundy</t>
  </si>
  <si>
    <t>Calumet</t>
  </si>
  <si>
    <t>Rusk</t>
  </si>
  <si>
    <t>Ashland</t>
  </si>
  <si>
    <t>Waupaca</t>
  </si>
  <si>
    <t>Darke</t>
  </si>
  <si>
    <t>St. Martin</t>
  </si>
  <si>
    <t>Ogle</t>
  </si>
  <si>
    <t>Harrisonburg</t>
  </si>
  <si>
    <t>Oktibbeha</t>
  </si>
  <si>
    <t>Burnet</t>
  </si>
  <si>
    <t>Queen Anne's</t>
  </si>
  <si>
    <t>Logan</t>
  </si>
  <si>
    <t>Dearborn</t>
  </si>
  <si>
    <t>Gibson</t>
  </si>
  <si>
    <t>Columbus</t>
  </si>
  <si>
    <t>Newaygo</t>
  </si>
  <si>
    <t>Buffalo</t>
  </si>
  <si>
    <t>Venango</t>
  </si>
  <si>
    <t>Atascosa</t>
  </si>
  <si>
    <t>Winona</t>
  </si>
  <si>
    <t>Dale</t>
  </si>
  <si>
    <t>Bonner</t>
  </si>
  <si>
    <t>Fremont</t>
  </si>
  <si>
    <t>Chambers</t>
  </si>
  <si>
    <t>Duplin</t>
  </si>
  <si>
    <t>Bingham</t>
  </si>
  <si>
    <t>Edgecombe</t>
  </si>
  <si>
    <t>Le Flore</t>
  </si>
  <si>
    <t>St. Mary</t>
  </si>
  <si>
    <t>Halifax</t>
  </si>
  <si>
    <t>Tioga</t>
  </si>
  <si>
    <t>Boyd</t>
  </si>
  <si>
    <t>Curry</t>
  </si>
  <si>
    <t>Goodhue</t>
  </si>
  <si>
    <t>Vernon</t>
  </si>
  <si>
    <t>Val Verde</t>
  </si>
  <si>
    <t>Crittenden</t>
  </si>
  <si>
    <t>Stevens</t>
  </si>
  <si>
    <t>Noble</t>
  </si>
  <si>
    <t>Bryan</t>
  </si>
  <si>
    <t>Nelson</t>
  </si>
  <si>
    <t>Whitman</t>
  </si>
  <si>
    <t>Habersham</t>
  </si>
  <si>
    <t>Barron</t>
  </si>
  <si>
    <t>Coles</t>
  </si>
  <si>
    <t>Chenango</t>
  </si>
  <si>
    <t>Beltrami</t>
  </si>
  <si>
    <t>Cortland</t>
  </si>
  <si>
    <t>Auglaize</t>
  </si>
  <si>
    <t>Mifflin</t>
  </si>
  <si>
    <t>Calaveras</t>
  </si>
  <si>
    <t>Perry</t>
  </si>
  <si>
    <t>Osage</t>
  </si>
  <si>
    <t>Windham</t>
  </si>
  <si>
    <t>Colquitt</t>
  </si>
  <si>
    <t>Charlottesville</t>
  </si>
  <si>
    <t>Ravalli</t>
  </si>
  <si>
    <t>Thomas</t>
  </si>
  <si>
    <t>Hillsdale</t>
  </si>
  <si>
    <t>Chilton</t>
  </si>
  <si>
    <t>Dunn</t>
  </si>
  <si>
    <t>Hopkins</t>
  </si>
  <si>
    <t>Itasca</t>
  </si>
  <si>
    <t>Phelps</t>
  </si>
  <si>
    <t>Branch</t>
  </si>
  <si>
    <t>Stokes</t>
  </si>
  <si>
    <t>Kittitas</t>
  </si>
  <si>
    <t>McDowell</t>
  </si>
  <si>
    <t>Barren</t>
  </si>
  <si>
    <t>Shenandoah</t>
  </si>
  <si>
    <t>Macoupin</t>
  </si>
  <si>
    <t>Callaway</t>
  </si>
  <si>
    <t>Suwannee</t>
  </si>
  <si>
    <t>Holmes</t>
  </si>
  <si>
    <t>Levy</t>
  </si>
  <si>
    <t>St. Bernard</t>
  </si>
  <si>
    <t>Stephenson</t>
  </si>
  <si>
    <t>Huntingdon</t>
  </si>
  <si>
    <t>Siskiyou</t>
  </si>
  <si>
    <t>McClain</t>
  </si>
  <si>
    <t>Kandiyohi</t>
  </si>
  <si>
    <t>Kay</t>
  </si>
  <si>
    <t>Gadsden</t>
  </si>
  <si>
    <t>Pittsburg</t>
  </si>
  <si>
    <t>Dubois</t>
  </si>
  <si>
    <t>Davie</t>
  </si>
  <si>
    <t>Highland</t>
  </si>
  <si>
    <t>Stephens</t>
  </si>
  <si>
    <t>Montrose</t>
  </si>
  <si>
    <t>Erath</t>
  </si>
  <si>
    <t>Pettis</t>
  </si>
  <si>
    <t>Prince George</t>
  </si>
  <si>
    <t>Okanogan</t>
  </si>
  <si>
    <t>Cerro Gordo</t>
  </si>
  <si>
    <t>Muscatine</t>
  </si>
  <si>
    <t>Manassas</t>
  </si>
  <si>
    <t>Miller</t>
  </si>
  <si>
    <t>Nez Perce</t>
  </si>
  <si>
    <t>Cooke</t>
  </si>
  <si>
    <t>Vance</t>
  </si>
  <si>
    <t>Danville</t>
  </si>
  <si>
    <t>Baxter</t>
  </si>
  <si>
    <t>Isanti</t>
  </si>
  <si>
    <t>Marinette</t>
  </si>
  <si>
    <t>Upshur</t>
  </si>
  <si>
    <t>Sweetwater</t>
  </si>
  <si>
    <t>Wharton</t>
  </si>
  <si>
    <t>Cheatham</t>
  </si>
  <si>
    <t>Gratiot</t>
  </si>
  <si>
    <t>Clatsop</t>
  </si>
  <si>
    <t>St. John the Baptist</t>
  </si>
  <si>
    <t>Tift</t>
  </si>
  <si>
    <t>Tallapoosa</t>
  </si>
  <si>
    <t>Amador</t>
  </si>
  <si>
    <t>Shawano</t>
  </si>
  <si>
    <t>Pasquotank</t>
  </si>
  <si>
    <t>Preble</t>
  </si>
  <si>
    <t>Hendry</t>
  </si>
  <si>
    <t>LaGrange</t>
  </si>
  <si>
    <t>Sanilac</t>
  </si>
  <si>
    <t>Mecosta</t>
  </si>
  <si>
    <t>Latah</t>
  </si>
  <si>
    <t>Murray</t>
  </si>
  <si>
    <t>Okeechobee</t>
  </si>
  <si>
    <t>Howell</t>
  </si>
  <si>
    <t>Rio Arriba</t>
  </si>
  <si>
    <t>McKean</t>
  </si>
  <si>
    <t>Mower</t>
  </si>
  <si>
    <t>Waldo</t>
  </si>
  <si>
    <t>Webster</t>
  </si>
  <si>
    <t>Snyder</t>
  </si>
  <si>
    <t>Sequoyah</t>
  </si>
  <si>
    <t>Isle of Wight</t>
  </si>
  <si>
    <t>Mayes</t>
  </si>
  <si>
    <t>Williams</t>
  </si>
  <si>
    <t>Oconto</t>
  </si>
  <si>
    <t>Person</t>
  </si>
  <si>
    <t>Avoyelles</t>
  </si>
  <si>
    <t>Louisa</t>
  </si>
  <si>
    <t>Jim Wells</t>
  </si>
  <si>
    <t>Graham</t>
  </si>
  <si>
    <t>Colleton</t>
  </si>
  <si>
    <t>Des Moines</t>
  </si>
  <si>
    <t>Susquehanna</t>
  </si>
  <si>
    <t>Woodford</t>
  </si>
  <si>
    <t>Guernsey</t>
  </si>
  <si>
    <t>Defiance</t>
  </si>
  <si>
    <t>Pontotoc</t>
  </si>
  <si>
    <t>Newberry</t>
  </si>
  <si>
    <t>Independence</t>
  </si>
  <si>
    <t>Finney</t>
  </si>
  <si>
    <t>Calloway</t>
  </si>
  <si>
    <t>Talbot</t>
  </si>
  <si>
    <t>Covington</t>
  </si>
  <si>
    <t>Dare</t>
  </si>
  <si>
    <t>Addison</t>
  </si>
  <si>
    <t>Houghton</t>
  </si>
  <si>
    <t>Yadkin</t>
  </si>
  <si>
    <t>Steele</t>
  </si>
  <si>
    <t>Bennington</t>
  </si>
  <si>
    <t>Clarion</t>
  </si>
  <si>
    <t>Sagadahoc</t>
  </si>
  <si>
    <t>Natchitoches</t>
  </si>
  <si>
    <t>Green</t>
  </si>
  <si>
    <t>Okmulgee</t>
  </si>
  <si>
    <t>Delta</t>
  </si>
  <si>
    <t>McLeod</t>
  </si>
  <si>
    <t>Huntington</t>
  </si>
  <si>
    <t>Whitley</t>
  </si>
  <si>
    <t>Dyer</t>
  </si>
  <si>
    <t>Coshocton</t>
  </si>
  <si>
    <t>Hill</t>
  </si>
  <si>
    <t>Beauregard</t>
  </si>
  <si>
    <t>Graves</t>
  </si>
  <si>
    <t>Fannin</t>
  </si>
  <si>
    <t>Cocke</t>
  </si>
  <si>
    <t>Uintah</t>
  </si>
  <si>
    <t>Carlton</t>
  </si>
  <si>
    <t>Alexander</t>
  </si>
  <si>
    <t>Matagorda</t>
  </si>
  <si>
    <t>Laclede</t>
  </si>
  <si>
    <t>Sioux</t>
  </si>
  <si>
    <t>Ware</t>
  </si>
  <si>
    <t>Scotts Bluff</t>
  </si>
  <si>
    <t>Geary</t>
  </si>
  <si>
    <t>Wasatch</t>
  </si>
  <si>
    <t>Greenup</t>
  </si>
  <si>
    <t>Silver Bow</t>
  </si>
  <si>
    <t>Wapello</t>
  </si>
  <si>
    <t>Becker</t>
  </si>
  <si>
    <t>Morrow</t>
  </si>
  <si>
    <t>Brookings</t>
  </si>
  <si>
    <t>Wakulla</t>
  </si>
  <si>
    <t>Taos</t>
  </si>
  <si>
    <t>Alcorn</t>
  </si>
  <si>
    <t>Cowley</t>
  </si>
  <si>
    <t>Scotland</t>
  </si>
  <si>
    <t>Nicollet</t>
  </si>
  <si>
    <t>Preston</t>
  </si>
  <si>
    <t>Emmet</t>
  </si>
  <si>
    <t>Ford</t>
  </si>
  <si>
    <t>Morrison</t>
  </si>
  <si>
    <t>Lumpkin</t>
  </si>
  <si>
    <t>Botetourt</t>
  </si>
  <si>
    <t>Wexford</t>
  </si>
  <si>
    <t>Harvey</t>
  </si>
  <si>
    <t>Morton</t>
  </si>
  <si>
    <t>Caroline</t>
  </si>
  <si>
    <t>Petersburg</t>
  </si>
  <si>
    <t>Accomack</t>
  </si>
  <si>
    <t>Rhea</t>
  </si>
  <si>
    <t>Transylvania</t>
  </si>
  <si>
    <t>Hot Spring</t>
  </si>
  <si>
    <t>Bureau</t>
  </si>
  <si>
    <t>Panola</t>
  </si>
  <si>
    <t>Weakley</t>
  </si>
  <si>
    <t>Greenbrier</t>
  </si>
  <si>
    <t>Hale</t>
  </si>
  <si>
    <t>Claiborne</t>
  </si>
  <si>
    <t>Evangeline</t>
  </si>
  <si>
    <t>Jefferson Davis</t>
  </si>
  <si>
    <t>Gilmer</t>
  </si>
  <si>
    <t>Juneau</t>
  </si>
  <si>
    <t>Malheur</t>
  </si>
  <si>
    <t>Stone</t>
  </si>
  <si>
    <t>Sheridan</t>
  </si>
  <si>
    <t>Amherst</t>
  </si>
  <si>
    <t>Titus</t>
  </si>
  <si>
    <t>Lassen</t>
  </si>
  <si>
    <t>Clare</t>
  </si>
  <si>
    <t>Powhatan</t>
  </si>
  <si>
    <t>Clarendon</t>
  </si>
  <si>
    <t>Bee</t>
  </si>
  <si>
    <t>Wabash</t>
  </si>
  <si>
    <t>McCurtain</t>
  </si>
  <si>
    <t>Trempealeau</t>
  </si>
  <si>
    <t>Freeborn</t>
  </si>
  <si>
    <t>Haralson</t>
  </si>
  <si>
    <t>Austin</t>
  </si>
  <si>
    <t>Muhlenberg</t>
  </si>
  <si>
    <t>Boyle</t>
  </si>
  <si>
    <t>Elk</t>
  </si>
  <si>
    <t>Kleberg</t>
  </si>
  <si>
    <t>Obion</t>
  </si>
  <si>
    <t>Williamsburg</t>
  </si>
  <si>
    <t>Giles</t>
  </si>
  <si>
    <t>Caledonia</t>
  </si>
  <si>
    <t>Grimes</t>
  </si>
  <si>
    <t>Meade</t>
  </si>
  <si>
    <t>Door</t>
  </si>
  <si>
    <t>Bolivar</t>
  </si>
  <si>
    <t>McPherson</t>
  </si>
  <si>
    <t>Park</t>
  </si>
  <si>
    <t>Schoharie</t>
  </si>
  <si>
    <t>Iberville</t>
  </si>
  <si>
    <t>Currituck</t>
  </si>
  <si>
    <t>Bladen</t>
  </si>
  <si>
    <t>Smyth</t>
  </si>
  <si>
    <t>Pine</t>
  </si>
  <si>
    <t>Sanpete</t>
  </si>
  <si>
    <t>Gallia</t>
  </si>
  <si>
    <t>Decatur</t>
  </si>
  <si>
    <t>Ripley</t>
  </si>
  <si>
    <t>Le Sueur</t>
  </si>
  <si>
    <t>Neshoba</t>
  </si>
  <si>
    <t>Palo Pinto</t>
  </si>
  <si>
    <t>Alpena</t>
  </si>
  <si>
    <t>Van Wert</t>
  </si>
  <si>
    <t>Garrett</t>
  </si>
  <si>
    <t>Dawson</t>
  </si>
  <si>
    <t>Glenn</t>
  </si>
  <si>
    <t>Codington</t>
  </si>
  <si>
    <t>Stoddard</t>
  </si>
  <si>
    <t>Fredericksburg</t>
  </si>
  <si>
    <t>Custer</t>
  </si>
  <si>
    <t>Peach</t>
  </si>
  <si>
    <t>Wells</t>
  </si>
  <si>
    <t>Wythe</t>
  </si>
  <si>
    <t>Baker</t>
  </si>
  <si>
    <t>Tate</t>
  </si>
  <si>
    <t>Dinwiddie</t>
  </si>
  <si>
    <t>Dillon</t>
  </si>
  <si>
    <t>Copiah</t>
  </si>
  <si>
    <t>San Jacinto</t>
  </si>
  <si>
    <t>Winchester</t>
  </si>
  <si>
    <t>Hocking</t>
  </si>
  <si>
    <t>Upson</t>
  </si>
  <si>
    <t>Dunklin</t>
  </si>
  <si>
    <t>Fluvanna</t>
  </si>
  <si>
    <t>West Baton Rouge</t>
  </si>
  <si>
    <t>Jennings</t>
  </si>
  <si>
    <t>Tillamook</t>
  </si>
  <si>
    <t>King George</t>
  </si>
  <si>
    <t>Leflore</t>
  </si>
  <si>
    <t>Del Norte</t>
  </si>
  <si>
    <t>Gillespie</t>
  </si>
  <si>
    <t>Elbert</t>
  </si>
  <si>
    <t>McDonough</t>
  </si>
  <si>
    <t>Cibola</t>
  </si>
  <si>
    <t>San Miguel</t>
  </si>
  <si>
    <t>Toombs</t>
  </si>
  <si>
    <t>Mineral</t>
  </si>
  <si>
    <t>Mille Lacs</t>
  </si>
  <si>
    <t>De Soto</t>
  </si>
  <si>
    <t>Yazoo</t>
  </si>
  <si>
    <t>Ashe</t>
  </si>
  <si>
    <t>Oceana</t>
  </si>
  <si>
    <t>Iroquois</t>
  </si>
  <si>
    <t>Geneva</t>
  </si>
  <si>
    <t>Wasco</t>
  </si>
  <si>
    <t>Edgefield</t>
  </si>
  <si>
    <t>Hart</t>
  </si>
  <si>
    <t>Marlboro</t>
  </si>
  <si>
    <t>Montezuma</t>
  </si>
  <si>
    <t>Payette</t>
  </si>
  <si>
    <t>Harlan</t>
  </si>
  <si>
    <t>Charlevoix</t>
  </si>
  <si>
    <t>Butts</t>
  </si>
  <si>
    <t>Lamoille</t>
  </si>
  <si>
    <t>Dickinson</t>
  </si>
  <si>
    <t>McNairy</t>
  </si>
  <si>
    <t>Simpson</t>
  </si>
  <si>
    <t>Garvin</t>
  </si>
  <si>
    <t>Cheboygan</t>
  </si>
  <si>
    <t>Staunton</t>
  </si>
  <si>
    <t>Crook</t>
  </si>
  <si>
    <t>Churchill</t>
  </si>
  <si>
    <t>Goochland</t>
  </si>
  <si>
    <t>Gladwin</t>
  </si>
  <si>
    <t>Hardee</t>
  </si>
  <si>
    <t>Hardeman</t>
  </si>
  <si>
    <t>Luna</t>
  </si>
  <si>
    <t>Todd</t>
  </si>
  <si>
    <t>Iosco</t>
  </si>
  <si>
    <t>Sunflower</t>
  </si>
  <si>
    <t>Barton</t>
  </si>
  <si>
    <t>Milam</t>
  </si>
  <si>
    <t>Manistee</t>
  </si>
  <si>
    <t>Hickman</t>
  </si>
  <si>
    <t>Adair</t>
  </si>
  <si>
    <t>Cassia</t>
  </si>
  <si>
    <t>Posey</t>
  </si>
  <si>
    <t>Bremer</t>
  </si>
  <si>
    <t>Cleburne</t>
  </si>
  <si>
    <t>Prentiss</t>
  </si>
  <si>
    <t>Routt</t>
  </si>
  <si>
    <t>Chattooga</t>
  </si>
  <si>
    <t>Morehouse</t>
  </si>
  <si>
    <t>George</t>
  </si>
  <si>
    <t>Uvalde</t>
  </si>
  <si>
    <t>Jerome</t>
  </si>
  <si>
    <t>Teller</t>
  </si>
  <si>
    <t>Barbour</t>
  </si>
  <si>
    <t>Waushara</t>
  </si>
  <si>
    <t>Audrain</t>
  </si>
  <si>
    <t>Yates</t>
  </si>
  <si>
    <t>Blaine</t>
  </si>
  <si>
    <t>Aransas</t>
  </si>
  <si>
    <t>Nicholas</t>
  </si>
  <si>
    <t>Abbeville</t>
  </si>
  <si>
    <t>Tattnall</t>
  </si>
  <si>
    <t>New Kent</t>
  </si>
  <si>
    <t>Hood River</t>
  </si>
  <si>
    <t>Itawamba</t>
  </si>
  <si>
    <t>Grainger</t>
  </si>
  <si>
    <t>Antrim</t>
  </si>
  <si>
    <t>Pacific</t>
  </si>
  <si>
    <t>Page</t>
  </si>
  <si>
    <t>Roscommon</t>
  </si>
  <si>
    <t>Winston</t>
  </si>
  <si>
    <t>McDonald</t>
  </si>
  <si>
    <t>Meeker</t>
  </si>
  <si>
    <t>Juniata</t>
  </si>
  <si>
    <t>Vilas</t>
  </si>
  <si>
    <t>Yankton</t>
  </si>
  <si>
    <t>Teton</t>
  </si>
  <si>
    <t>Starke</t>
  </si>
  <si>
    <t>Menominee</t>
  </si>
  <si>
    <t>Ray</t>
  </si>
  <si>
    <t>Klickitat</t>
  </si>
  <si>
    <t>Plaquemines</t>
  </si>
  <si>
    <t>Mingo</t>
  </si>
  <si>
    <t>Emanuel</t>
  </si>
  <si>
    <t>Hopewell</t>
  </si>
  <si>
    <t>Overton</t>
  </si>
  <si>
    <t>Saunders</t>
  </si>
  <si>
    <t>St. Francis</t>
  </si>
  <si>
    <t>Poinsett</t>
  </si>
  <si>
    <t>Caswell</t>
  </si>
  <si>
    <t>Leelanau</t>
  </si>
  <si>
    <t>Rockbridge</t>
  </si>
  <si>
    <t>Waynesboro</t>
  </si>
  <si>
    <t>Asotin</t>
  </si>
  <si>
    <t>Lampasas</t>
  </si>
  <si>
    <t>Beckham</t>
  </si>
  <si>
    <t>Sabine</t>
  </si>
  <si>
    <t>Meigs</t>
  </si>
  <si>
    <t>Nobles</t>
  </si>
  <si>
    <t>Brooke</t>
  </si>
  <si>
    <t>Mahaska</t>
  </si>
  <si>
    <t>Llano</t>
  </si>
  <si>
    <t>Prince Edward</t>
  </si>
  <si>
    <t>Minidoka</t>
  </si>
  <si>
    <t>Jo Daviess</t>
  </si>
  <si>
    <t>Gaines</t>
  </si>
  <si>
    <t>Anson</t>
  </si>
  <si>
    <t>Colusa</t>
  </si>
  <si>
    <t>Hubbard</t>
  </si>
  <si>
    <t>Wyandot</t>
  </si>
  <si>
    <t>McDuffie</t>
  </si>
  <si>
    <t>Gage</t>
  </si>
  <si>
    <t>Seward</t>
  </si>
  <si>
    <t>Tippah</t>
  </si>
  <si>
    <t>Bandera</t>
  </si>
  <si>
    <t>Stutsman</t>
  </si>
  <si>
    <t>Wabasha</t>
  </si>
  <si>
    <t>Hockley</t>
  </si>
  <si>
    <t>Mitchell</t>
  </si>
  <si>
    <t>Owen</t>
  </si>
  <si>
    <t>Fillmore</t>
  </si>
  <si>
    <t>Grenada</t>
  </si>
  <si>
    <t>Jersey</t>
  </si>
  <si>
    <t>Leake</t>
  </si>
  <si>
    <t>Letcher</t>
  </si>
  <si>
    <t>Gray</t>
  </si>
  <si>
    <t>Nodaway</t>
  </si>
  <si>
    <t>Conway</t>
  </si>
  <si>
    <t>Ogemaw</t>
  </si>
  <si>
    <t>Coahoma</t>
  </si>
  <si>
    <t>Meriwether</t>
  </si>
  <si>
    <t>Dukes</t>
  </si>
  <si>
    <t>Breckinridge</t>
  </si>
  <si>
    <t>Assumption</t>
  </si>
  <si>
    <t>Buena Vista</t>
  </si>
  <si>
    <t>Kewaunee</t>
  </si>
  <si>
    <t>Uinta</t>
  </si>
  <si>
    <t>Montague</t>
  </si>
  <si>
    <t>Worth</t>
  </si>
  <si>
    <t>Barnwell</t>
  </si>
  <si>
    <t>Hertford</t>
  </si>
  <si>
    <t>Lavaca</t>
  </si>
  <si>
    <t>Pointe Coupee</t>
  </si>
  <si>
    <t>Hutchinson</t>
  </si>
  <si>
    <t>Jay</t>
  </si>
  <si>
    <t>Woodward</t>
  </si>
  <si>
    <t>Willacy</t>
  </si>
  <si>
    <t>Yell</t>
  </si>
  <si>
    <t>Bourbon</t>
  </si>
  <si>
    <t>Tyler</t>
  </si>
  <si>
    <t>Crisp</t>
  </si>
  <si>
    <t>Winneshiek</t>
  </si>
  <si>
    <t>Labette</t>
  </si>
  <si>
    <t>Davison</t>
  </si>
  <si>
    <t>Duchesne</t>
  </si>
  <si>
    <t>Chaffee</t>
  </si>
  <si>
    <t>Spencer</t>
  </si>
  <si>
    <t>Gem</t>
  </si>
  <si>
    <t>DeWitt</t>
  </si>
  <si>
    <t>Freestone</t>
  </si>
  <si>
    <t>St. James</t>
  </si>
  <si>
    <t>Hempstead</t>
  </si>
  <si>
    <t>Gonzales</t>
  </si>
  <si>
    <t>Plumas</t>
  </si>
  <si>
    <t>Langlade</t>
  </si>
  <si>
    <t>East Feliciana</t>
  </si>
  <si>
    <t>Los Alamos</t>
  </si>
  <si>
    <t>Beadle</t>
  </si>
  <si>
    <t>McIntosh</t>
  </si>
  <si>
    <t>Green Lake</t>
  </si>
  <si>
    <t>Humphreys</t>
  </si>
  <si>
    <t>Marengo</t>
  </si>
  <si>
    <t>Roosevelt</t>
  </si>
  <si>
    <t>Waseca</t>
  </si>
  <si>
    <t>Saluda</t>
  </si>
  <si>
    <t>Fentress</t>
  </si>
  <si>
    <t>Inyo</t>
  </si>
  <si>
    <t>Banks</t>
  </si>
  <si>
    <t>Tishomingo</t>
  </si>
  <si>
    <t>Ashley</t>
  </si>
  <si>
    <t>Yancey</t>
  </si>
  <si>
    <t>Poweshiek</t>
  </si>
  <si>
    <t>Ste. Genevieve</t>
  </si>
  <si>
    <t>Bosque</t>
  </si>
  <si>
    <t>Andrews</t>
  </si>
  <si>
    <t>Gilchrist</t>
  </si>
  <si>
    <t>Bethel</t>
  </si>
  <si>
    <t>Deaf Smith</t>
  </si>
  <si>
    <t>Cedar</t>
  </si>
  <si>
    <t>Appling</t>
  </si>
  <si>
    <t>Burleson</t>
  </si>
  <si>
    <t>Concordia</t>
  </si>
  <si>
    <t>Sawyer</t>
  </si>
  <si>
    <t>King William</t>
  </si>
  <si>
    <t>Colonial Heights</t>
  </si>
  <si>
    <t>Benzie</t>
  </si>
  <si>
    <t>Brantley</t>
  </si>
  <si>
    <t>Kalkaska</t>
  </si>
  <si>
    <t>Andrew</t>
  </si>
  <si>
    <t>Montour</t>
  </si>
  <si>
    <t>Frio</t>
  </si>
  <si>
    <t>Southampton</t>
  </si>
  <si>
    <t>Young</t>
  </si>
  <si>
    <t>Eastland</t>
  </si>
  <si>
    <t>Unicoi</t>
  </si>
  <si>
    <t>Schuyler</t>
  </si>
  <si>
    <t>Hughes</t>
  </si>
  <si>
    <t>Attala</t>
  </si>
  <si>
    <t>Avery</t>
  </si>
  <si>
    <t>Patrick</t>
  </si>
  <si>
    <t>Sharp</t>
  </si>
  <si>
    <t>Long</t>
  </si>
  <si>
    <t>Bertie</t>
  </si>
  <si>
    <t>Garrard</t>
  </si>
  <si>
    <t>Gunnison</t>
  </si>
  <si>
    <t>Drew</t>
  </si>
  <si>
    <t>Ben Hill</t>
  </si>
  <si>
    <t>Piscataquis</t>
  </si>
  <si>
    <t>Pitkin</t>
  </si>
  <si>
    <t>Rabun</t>
  </si>
  <si>
    <t>Falls</t>
  </si>
  <si>
    <t>Mariposa</t>
  </si>
  <si>
    <t>Chickasaw</t>
  </si>
  <si>
    <t>Tama</t>
  </si>
  <si>
    <t>Dixie</t>
  </si>
  <si>
    <t>Manassas Park</t>
  </si>
  <si>
    <t>Buckingham</t>
  </si>
  <si>
    <t>McCreary</t>
  </si>
  <si>
    <t>Cooper</t>
  </si>
  <si>
    <t>Washburn</t>
  </si>
  <si>
    <t>Burnett</t>
  </si>
  <si>
    <t>Rush</t>
  </si>
  <si>
    <t>Piatt</t>
  </si>
  <si>
    <t>Cross</t>
  </si>
  <si>
    <t>Edgar</t>
  </si>
  <si>
    <t>Scurry</t>
  </si>
  <si>
    <t>Bond</t>
  </si>
  <si>
    <t>La Paz</t>
  </si>
  <si>
    <t>Fountain</t>
  </si>
  <si>
    <t>Alamosa</t>
  </si>
  <si>
    <t>Radford</t>
  </si>
  <si>
    <t>Appomattox</t>
  </si>
  <si>
    <t>Bayfield</t>
  </si>
  <si>
    <t>Sequatchie</t>
  </si>
  <si>
    <t>Parke</t>
  </si>
  <si>
    <t>Socorro</t>
  </si>
  <si>
    <t>Brooks</t>
  </si>
  <si>
    <t>Kanabec</t>
  </si>
  <si>
    <t>Atchison</t>
  </si>
  <si>
    <t>Dade</t>
  </si>
  <si>
    <t>Rockcastle</t>
  </si>
  <si>
    <t>Bates</t>
  </si>
  <si>
    <t>Otoe</t>
  </si>
  <si>
    <t>New Madrid</t>
  </si>
  <si>
    <t>Casey</t>
  </si>
  <si>
    <t>Aitkin</t>
  </si>
  <si>
    <t>Phillips</t>
  </si>
  <si>
    <t>Trinity</t>
  </si>
  <si>
    <t>Grand</t>
  </si>
  <si>
    <t>Gooding</t>
  </si>
  <si>
    <t>Neosho</t>
  </si>
  <si>
    <t>Pawnee</t>
  </si>
  <si>
    <t>Nottoway</t>
  </si>
  <si>
    <t>De Witt</t>
  </si>
  <si>
    <t>Vermillion</t>
  </si>
  <si>
    <t>Redwood</t>
  </si>
  <si>
    <t>West Feliciana</t>
  </si>
  <si>
    <t>Moniteau</t>
  </si>
  <si>
    <t>Roseau</t>
  </si>
  <si>
    <t>Torrance</t>
  </si>
  <si>
    <t>Kingfisher</t>
  </si>
  <si>
    <t>Pemiscot</t>
  </si>
  <si>
    <t>Oglethorpe</t>
  </si>
  <si>
    <t>Fleming</t>
  </si>
  <si>
    <t>Missaukee</t>
  </si>
  <si>
    <t>Arenac</t>
  </si>
  <si>
    <t>Larue</t>
  </si>
  <si>
    <t>Pecos</t>
  </si>
  <si>
    <t>Alleghany</t>
  </si>
  <si>
    <t>Sibley</t>
  </si>
  <si>
    <t>Bledsoe</t>
  </si>
  <si>
    <t>Jeff Davis</t>
  </si>
  <si>
    <t>Karnes</t>
  </si>
  <si>
    <t>Gasconade</t>
  </si>
  <si>
    <t>Gulf</t>
  </si>
  <si>
    <t>Pendleton</t>
  </si>
  <si>
    <t>Cannon</t>
  </si>
  <si>
    <t>Kossuth</t>
  </si>
  <si>
    <t>Falls Church</t>
  </si>
  <si>
    <t>Renville</t>
  </si>
  <si>
    <t>Nolan</t>
  </si>
  <si>
    <t>Mills</t>
  </si>
  <si>
    <t>Dent</t>
  </si>
  <si>
    <t>Moultrie</t>
  </si>
  <si>
    <t>Las Animas</t>
  </si>
  <si>
    <t>Gogebic</t>
  </si>
  <si>
    <t>Choctaw</t>
  </si>
  <si>
    <t>Nantucket</t>
  </si>
  <si>
    <t>McKenzie</t>
  </si>
  <si>
    <t>Atoka</t>
  </si>
  <si>
    <t>Hardy</t>
  </si>
  <si>
    <t>Wetzel</t>
  </si>
  <si>
    <t>Craig</t>
  </si>
  <si>
    <t>Trigg</t>
  </si>
  <si>
    <t>Wadena</t>
  </si>
  <si>
    <t>O'Brien</t>
  </si>
  <si>
    <t>Estill</t>
  </si>
  <si>
    <t>Price</t>
  </si>
  <si>
    <t>Swain</t>
  </si>
  <si>
    <t>Screven</t>
  </si>
  <si>
    <t>Knott</t>
  </si>
  <si>
    <t>Allamakee</t>
  </si>
  <si>
    <t>Callahan</t>
  </si>
  <si>
    <t>Massac</t>
  </si>
  <si>
    <t>Crockett</t>
  </si>
  <si>
    <t>Dickenson</t>
  </si>
  <si>
    <t>Faribault</t>
  </si>
  <si>
    <t>Ketchikan Gateway</t>
  </si>
  <si>
    <t>Izard</t>
  </si>
  <si>
    <t>Walthall</t>
  </si>
  <si>
    <t>Stewart</t>
  </si>
  <si>
    <t>Zapata</t>
  </si>
  <si>
    <t>Chowan</t>
  </si>
  <si>
    <t>Pend Oreille</t>
  </si>
  <si>
    <t>Converse</t>
  </si>
  <si>
    <t>Archuleta</t>
  </si>
  <si>
    <t>Glacier</t>
  </si>
  <si>
    <t>Oglala Lakota</t>
  </si>
  <si>
    <t>Martinsville</t>
  </si>
  <si>
    <t>Shoshone</t>
  </si>
  <si>
    <t>Winn</t>
  </si>
  <si>
    <t>Breathitt</t>
  </si>
  <si>
    <t>Amelia</t>
  </si>
  <si>
    <t>Moffat</t>
  </si>
  <si>
    <t>Reeves</t>
  </si>
  <si>
    <t>Millard</t>
  </si>
  <si>
    <t>Mono</t>
  </si>
  <si>
    <t>Bamberg</t>
  </si>
  <si>
    <t>Perquimans</t>
  </si>
  <si>
    <t>Crenshaw</t>
  </si>
  <si>
    <t>Presque Isle</t>
  </si>
  <si>
    <t>Powell</t>
  </si>
  <si>
    <t>Big Horn</t>
  </si>
  <si>
    <t>Sanders</t>
  </si>
  <si>
    <t>Lamb</t>
  </si>
  <si>
    <t>Kodiak Island</t>
  </si>
  <si>
    <t>Bath</t>
  </si>
  <si>
    <t>Bienville</t>
  </si>
  <si>
    <t>Towns</t>
  </si>
  <si>
    <t>Wilbarger</t>
  </si>
  <si>
    <t>Charlton</t>
  </si>
  <si>
    <t>Boundary</t>
  </si>
  <si>
    <t>Vinton</t>
  </si>
  <si>
    <t>Camp</t>
  </si>
  <si>
    <t>Amite</t>
  </si>
  <si>
    <t>Goshen</t>
  </si>
  <si>
    <t>Poquoson</t>
  </si>
  <si>
    <t>Rains</t>
  </si>
  <si>
    <t>Yalobusha</t>
  </si>
  <si>
    <t>Bleckley</t>
  </si>
  <si>
    <t>Tallahatchie</t>
  </si>
  <si>
    <t>Braxton</t>
  </si>
  <si>
    <t>Colfax</t>
  </si>
  <si>
    <t>Glades</t>
  </si>
  <si>
    <t>Pamlico</t>
  </si>
  <si>
    <t>Owyhee</t>
  </si>
  <si>
    <t>Skamania</t>
  </si>
  <si>
    <t>Juab</t>
  </si>
  <si>
    <t>Edmonson</t>
  </si>
  <si>
    <t>Appanoose</t>
  </si>
  <si>
    <t>Telfair</t>
  </si>
  <si>
    <t>Menard</t>
  </si>
  <si>
    <t>Valley</t>
  </si>
  <si>
    <t>Rolette</t>
  </si>
  <si>
    <t>Blanco</t>
  </si>
  <si>
    <t>Blackford</t>
  </si>
  <si>
    <t>Lunenburg</t>
  </si>
  <si>
    <t>Little River</t>
  </si>
  <si>
    <t>Koochiching</t>
  </si>
  <si>
    <t>Prowers</t>
  </si>
  <si>
    <t>Summers</t>
  </si>
  <si>
    <t>Trousdale</t>
  </si>
  <si>
    <t>Terry</t>
  </si>
  <si>
    <t>Haskell</t>
  </si>
  <si>
    <t>Red River</t>
  </si>
  <si>
    <t>Heard</t>
  </si>
  <si>
    <t>Fergus</t>
  </si>
  <si>
    <t>Sierra</t>
  </si>
  <si>
    <t>Magoffin</t>
  </si>
  <si>
    <t>Cottonwood</t>
  </si>
  <si>
    <t>Live Oak</t>
  </si>
  <si>
    <t>Conecuh</t>
  </si>
  <si>
    <t>Rio Grande</t>
  </si>
  <si>
    <t>Okfuskee</t>
  </si>
  <si>
    <t>Greensville</t>
  </si>
  <si>
    <t>Watonwan</t>
  </si>
  <si>
    <t>Bacon</t>
  </si>
  <si>
    <t>Desha</t>
  </si>
  <si>
    <t>Dooly</t>
  </si>
  <si>
    <t>Candler</t>
  </si>
  <si>
    <t>North Slope</t>
  </si>
  <si>
    <t>Mackinac</t>
  </si>
  <si>
    <t>Washita</t>
  </si>
  <si>
    <t>St. Helena</t>
  </si>
  <si>
    <t>Barnes</t>
  </si>
  <si>
    <t>Pushmataha</t>
  </si>
  <si>
    <t>Box Butte</t>
  </si>
  <si>
    <t>Evans</t>
  </si>
  <si>
    <t>Early</t>
  </si>
  <si>
    <t>Guthrie</t>
  </si>
  <si>
    <t>Red Willow</t>
  </si>
  <si>
    <t>Bollinger</t>
  </si>
  <si>
    <t>Walsh</t>
  </si>
  <si>
    <t>Gates</t>
  </si>
  <si>
    <t>Ralls</t>
  </si>
  <si>
    <t>Metcalfe</t>
  </si>
  <si>
    <t>Wilcox</t>
  </si>
  <si>
    <t>Coosa</t>
  </si>
  <si>
    <t>Alcona</t>
  </si>
  <si>
    <t>Leslie</t>
  </si>
  <si>
    <t>Roberts</t>
  </si>
  <si>
    <t>Nemaha</t>
  </si>
  <si>
    <t>Love</t>
  </si>
  <si>
    <t>Bullock</t>
  </si>
  <si>
    <t>Noxubee</t>
  </si>
  <si>
    <t>Lanier</t>
  </si>
  <si>
    <t>Holt</t>
  </si>
  <si>
    <t>Chicot</t>
  </si>
  <si>
    <t>Emery</t>
  </si>
  <si>
    <t>Keokuk</t>
  </si>
  <si>
    <t>Nome</t>
  </si>
  <si>
    <t>Switzerland</t>
  </si>
  <si>
    <t>Benewah</t>
  </si>
  <si>
    <t>Runnels</t>
  </si>
  <si>
    <t>Ochiltree</t>
  </si>
  <si>
    <t>Swift</t>
  </si>
  <si>
    <t>Sac</t>
  </si>
  <si>
    <t>Parmer</t>
  </si>
  <si>
    <t>McCormick</t>
  </si>
  <si>
    <t>West Carroll</t>
  </si>
  <si>
    <t>Beaverhead</t>
  </si>
  <si>
    <t>Tunica</t>
  </si>
  <si>
    <t>Mountrail</t>
  </si>
  <si>
    <t>Zavala</t>
  </si>
  <si>
    <t>Deer Lodge</t>
  </si>
  <si>
    <t>Somervell</t>
  </si>
  <si>
    <t>Yellow Medicine</t>
  </si>
  <si>
    <t>Latimer</t>
  </si>
  <si>
    <t>Cheyenne</t>
  </si>
  <si>
    <t>Brewster</t>
  </si>
  <si>
    <t>Greenlee</t>
  </si>
  <si>
    <t>Nowata</t>
  </si>
  <si>
    <t>Irwin</t>
  </si>
  <si>
    <t>Montmorency</t>
  </si>
  <si>
    <t>Clear Creek</t>
  </si>
  <si>
    <t>Pipestone</t>
  </si>
  <si>
    <t>Charles Mix</t>
  </si>
  <si>
    <t>Forest</t>
  </si>
  <si>
    <t>Chattahoochee</t>
  </si>
  <si>
    <t>Pratt</t>
  </si>
  <si>
    <t>Stillwater</t>
  </si>
  <si>
    <t>Cuming</t>
  </si>
  <si>
    <t>Cloud</t>
  </si>
  <si>
    <t>Terrell</t>
  </si>
  <si>
    <t>Clearwater</t>
  </si>
  <si>
    <t>Turner</t>
  </si>
  <si>
    <t>Palo Alto</t>
  </si>
  <si>
    <t>White Pine</t>
  </si>
  <si>
    <t>Kemper</t>
  </si>
  <si>
    <t>Alger</t>
  </si>
  <si>
    <t>Sublette</t>
  </si>
  <si>
    <t>Wilkinson</t>
  </si>
  <si>
    <t>Ozark</t>
  </si>
  <si>
    <t>Catahoula</t>
  </si>
  <si>
    <t>Archer</t>
  </si>
  <si>
    <t>Jenkins</t>
  </si>
  <si>
    <t>Modoc</t>
  </si>
  <si>
    <t>Jack</t>
  </si>
  <si>
    <t>Monona</t>
  </si>
  <si>
    <t>Woods</t>
  </si>
  <si>
    <t>Quay</t>
  </si>
  <si>
    <t>Trimble</t>
  </si>
  <si>
    <t>Mathews</t>
  </si>
  <si>
    <t>Dimmit</t>
  </si>
  <si>
    <t>Hickory</t>
  </si>
  <si>
    <t>Kiowa</t>
  </si>
  <si>
    <t>Maries</t>
  </si>
  <si>
    <t>Bracken</t>
  </si>
  <si>
    <t>Sitka</t>
  </si>
  <si>
    <t>Ritchie</t>
  </si>
  <si>
    <t>Oscoda</t>
  </si>
  <si>
    <t>Coffey</t>
  </si>
  <si>
    <t>Kusilvak</t>
  </si>
  <si>
    <t>Atkinson</t>
  </si>
  <si>
    <t>Baraga</t>
  </si>
  <si>
    <t>Keith</t>
  </si>
  <si>
    <t>Rosebud</t>
  </si>
  <si>
    <t>Dawes</t>
  </si>
  <si>
    <t>Lemhi</t>
  </si>
  <si>
    <t>Prairie</t>
  </si>
  <si>
    <t>Schoolcraft</t>
  </si>
  <si>
    <t>Boise</t>
  </si>
  <si>
    <t>Power</t>
  </si>
  <si>
    <t>Traill</t>
  </si>
  <si>
    <t>San Augustine</t>
  </si>
  <si>
    <t>Twiggs</t>
  </si>
  <si>
    <t>Searcy</t>
  </si>
  <si>
    <t>Pocahontas</t>
  </si>
  <si>
    <t>Richardson</t>
  </si>
  <si>
    <t>Doddridge</t>
  </si>
  <si>
    <t>Coleman</t>
  </si>
  <si>
    <t>Allendale</t>
  </si>
  <si>
    <t>Washakie</t>
  </si>
  <si>
    <t>Merrick</t>
  </si>
  <si>
    <t>Ballard</t>
  </si>
  <si>
    <t>Major</t>
  </si>
  <si>
    <t>Northwest Arctic</t>
  </si>
  <si>
    <t>Yoakum</t>
  </si>
  <si>
    <t>Pleasants</t>
  </si>
  <si>
    <t>McCulloch</t>
  </si>
  <si>
    <t>Winkler</t>
  </si>
  <si>
    <t>Conejos</t>
  </si>
  <si>
    <t>Wallowa</t>
  </si>
  <si>
    <t>Harney</t>
  </si>
  <si>
    <t>Doniphan</t>
  </si>
  <si>
    <t>Wheeler</t>
  </si>
  <si>
    <t>Rappahannock</t>
  </si>
  <si>
    <t>Chariton</t>
  </si>
  <si>
    <t>Grand Isle</t>
  </si>
  <si>
    <t>Pepin</t>
  </si>
  <si>
    <t>Elliott</t>
  </si>
  <si>
    <t>Castro</t>
  </si>
  <si>
    <t>Ferry</t>
  </si>
  <si>
    <t>Broadwater</t>
  </si>
  <si>
    <t>Kingman</t>
  </si>
  <si>
    <t>East Carroll</t>
  </si>
  <si>
    <t>Dallam</t>
  </si>
  <si>
    <t>Fall River</t>
  </si>
  <si>
    <t>Shannon</t>
  </si>
  <si>
    <t>Caribou</t>
  </si>
  <si>
    <t>Goliad</t>
  </si>
  <si>
    <t>Bailey</t>
  </si>
  <si>
    <t>Bon Homme</t>
  </si>
  <si>
    <t>Kit Carson</t>
  </si>
  <si>
    <t>Swisher</t>
  </si>
  <si>
    <t>Tillman</t>
  </si>
  <si>
    <t>Chugach</t>
  </si>
  <si>
    <t>Wabaunsee</t>
  </si>
  <si>
    <t>Huerfano</t>
  </si>
  <si>
    <t>La Salle</t>
  </si>
  <si>
    <t>Ida</t>
  </si>
  <si>
    <t>Southeast Fairbanks</t>
  </si>
  <si>
    <t>Weston</t>
  </si>
  <si>
    <t>Pembina</t>
  </si>
  <si>
    <t>Childress</t>
  </si>
  <si>
    <t>Burt</t>
  </si>
  <si>
    <t>Clinch</t>
  </si>
  <si>
    <t>Tucker</t>
  </si>
  <si>
    <t>Galax</t>
  </si>
  <si>
    <t>Kearney</t>
  </si>
  <si>
    <t>Lac qui Parle</t>
  </si>
  <si>
    <t>Refugio</t>
  </si>
  <si>
    <t>Charles City</t>
  </si>
  <si>
    <t>King and Queen</t>
  </si>
  <si>
    <t>Bear Lake</t>
  </si>
  <si>
    <t>Rio Blanco</t>
  </si>
  <si>
    <t>Saguache</t>
  </si>
  <si>
    <t>Pershing</t>
  </si>
  <si>
    <t>Wolfe</t>
  </si>
  <si>
    <t>Wilkin</t>
  </si>
  <si>
    <t>Norman</t>
  </si>
  <si>
    <t>Bottineau</t>
  </si>
  <si>
    <t>Treutlen</t>
  </si>
  <si>
    <t>Moody</t>
  </si>
  <si>
    <t>Ellsworth</t>
  </si>
  <si>
    <t>Luce</t>
  </si>
  <si>
    <t>Antelope</t>
  </si>
  <si>
    <t>Hamlin</t>
  </si>
  <si>
    <t>Spink</t>
  </si>
  <si>
    <t>Gentry</t>
  </si>
  <si>
    <t>Bland</t>
  </si>
  <si>
    <t>Menifee</t>
  </si>
  <si>
    <t>Woodruff</t>
  </si>
  <si>
    <t>Edwards</t>
  </si>
  <si>
    <t>Reynolds</t>
  </si>
  <si>
    <t>Presidio</t>
  </si>
  <si>
    <t>Pondera</t>
  </si>
  <si>
    <t>Sherman</t>
  </si>
  <si>
    <t>Quitman</t>
  </si>
  <si>
    <t>Chouteau</t>
  </si>
  <si>
    <t>Gilpin</t>
  </si>
  <si>
    <t>Ontonagon</t>
  </si>
  <si>
    <t>Benson</t>
  </si>
  <si>
    <t>Stanton</t>
  </si>
  <si>
    <t>San Saba</t>
  </si>
  <si>
    <t>Carson</t>
  </si>
  <si>
    <t>Lander</t>
  </si>
  <si>
    <t>Crowley</t>
  </si>
  <si>
    <t>McCook</t>
  </si>
  <si>
    <t>Prince of Wales-Hyder</t>
  </si>
  <si>
    <t>Alfalfa</t>
  </si>
  <si>
    <t>Lynn</t>
  </si>
  <si>
    <t>Ransom</t>
  </si>
  <si>
    <t>Emporia</t>
  </si>
  <si>
    <t>Audubon</t>
  </si>
  <si>
    <t>Tripp</t>
  </si>
  <si>
    <t>Dixon</t>
  </si>
  <si>
    <t>Bent</t>
  </si>
  <si>
    <t>Greer</t>
  </si>
  <si>
    <t>Cotton</t>
  </si>
  <si>
    <t>Cherry</t>
  </si>
  <si>
    <t>Day</t>
  </si>
  <si>
    <t>Harper</t>
  </si>
  <si>
    <t>Garza</t>
  </si>
  <si>
    <t>Norton</t>
  </si>
  <si>
    <t>Mahnomen</t>
  </si>
  <si>
    <t>Hartley</t>
  </si>
  <si>
    <t>Coal</t>
  </si>
  <si>
    <t>Yukon-Koyukuk</t>
  </si>
  <si>
    <t>Brule</t>
  </si>
  <si>
    <t>Dewey</t>
  </si>
  <si>
    <t>Kingsbury</t>
  </si>
  <si>
    <t>Hansford</t>
  </si>
  <si>
    <t>Aleutians West</t>
  </si>
  <si>
    <t>Big Stone</t>
  </si>
  <si>
    <t>Wirt</t>
  </si>
  <si>
    <t>Crosby</t>
  </si>
  <si>
    <t>Musselshell</t>
  </si>
  <si>
    <t>Pickett</t>
  </si>
  <si>
    <t>Toole</t>
  </si>
  <si>
    <t>Ouray</t>
  </si>
  <si>
    <t>Dickey</t>
  </si>
  <si>
    <t>Thayer</t>
  </si>
  <si>
    <t>Rooks</t>
  </si>
  <si>
    <t>Jim Hogg</t>
  </si>
  <si>
    <t>Dillingham</t>
  </si>
  <si>
    <t>Carlisle</t>
  </si>
  <si>
    <t>Ringgold</t>
  </si>
  <si>
    <t>Republic</t>
  </si>
  <si>
    <t>Hyde</t>
  </si>
  <si>
    <t>Crane</t>
  </si>
  <si>
    <t>Hot Springs</t>
  </si>
  <si>
    <t>Furnas</t>
  </si>
  <si>
    <t>Wahkiakum</t>
  </si>
  <si>
    <t>Morrill</t>
  </si>
  <si>
    <t>Schley</t>
  </si>
  <si>
    <t>Kimble</t>
  </si>
  <si>
    <t>Deuel</t>
  </si>
  <si>
    <t>Mora</t>
  </si>
  <si>
    <t>Kittson</t>
  </si>
  <si>
    <t>Barber</t>
  </si>
  <si>
    <t>Storey</t>
  </si>
  <si>
    <t>LaMoure</t>
  </si>
  <si>
    <t>Nuckolls</t>
  </si>
  <si>
    <t>Edmunds</t>
  </si>
  <si>
    <t>Owsley</t>
  </si>
  <si>
    <t>Gregory</t>
  </si>
  <si>
    <t>Tensas</t>
  </si>
  <si>
    <t>Red Lake</t>
  </si>
  <si>
    <t>Kearny</t>
  </si>
  <si>
    <t>Corson</t>
  </si>
  <si>
    <t>Sharkey</t>
  </si>
  <si>
    <t>Sargent</t>
  </si>
  <si>
    <t>Lake of the Woods</t>
  </si>
  <si>
    <t>Lyman</t>
  </si>
  <si>
    <t>Sweet Grass</t>
  </si>
  <si>
    <t>Echols</t>
  </si>
  <si>
    <t>Catron</t>
  </si>
  <si>
    <t>Cavalier</t>
  </si>
  <si>
    <t>Fisher</t>
  </si>
  <si>
    <t>Chase</t>
  </si>
  <si>
    <t>Costilla</t>
  </si>
  <si>
    <t>Osborne</t>
  </si>
  <si>
    <t>Hanson</t>
  </si>
  <si>
    <t>Baylor</t>
  </si>
  <si>
    <t>Baca</t>
  </si>
  <si>
    <t>Aleutians East</t>
  </si>
  <si>
    <t>Granite</t>
  </si>
  <si>
    <t>Roger Mills</t>
  </si>
  <si>
    <t>Tyrrell</t>
  </si>
  <si>
    <t>Foster</t>
  </si>
  <si>
    <t>Bennett</t>
  </si>
  <si>
    <t>Kimball</t>
  </si>
  <si>
    <t>Nance</t>
  </si>
  <si>
    <t>Hudspeth</t>
  </si>
  <si>
    <t>Coke</t>
  </si>
  <si>
    <t>Hemphill</t>
  </si>
  <si>
    <t>Sutton</t>
  </si>
  <si>
    <t>Concho</t>
  </si>
  <si>
    <t>Traverse</t>
  </si>
  <si>
    <t>Donley</t>
  </si>
  <si>
    <t>Emmons</t>
  </si>
  <si>
    <t>Reagan</t>
  </si>
  <si>
    <t>Upton</t>
  </si>
  <si>
    <t>Shackelford</t>
  </si>
  <si>
    <t>Kinney</t>
  </si>
  <si>
    <t>Woodson</t>
  </si>
  <si>
    <t>Perkins</t>
  </si>
  <si>
    <t>Hand</t>
  </si>
  <si>
    <t>Stanley</t>
  </si>
  <si>
    <t>Lipscomb</t>
  </si>
  <si>
    <t>Bowman</t>
  </si>
  <si>
    <t>Glascock</t>
  </si>
  <si>
    <t>Jewell</t>
  </si>
  <si>
    <t>Real</t>
  </si>
  <si>
    <t>Fallon</t>
  </si>
  <si>
    <t>Gove</t>
  </si>
  <si>
    <t>Trego</t>
  </si>
  <si>
    <t>Collingsworth</t>
  </si>
  <si>
    <t>Ness</t>
  </si>
  <si>
    <t>Copper River</t>
  </si>
  <si>
    <t>Hitchcock</t>
  </si>
  <si>
    <t>Rich</t>
  </si>
  <si>
    <t>Aurora</t>
  </si>
  <si>
    <t>Frontier</t>
  </si>
  <si>
    <t>Rawlins</t>
  </si>
  <si>
    <t>Cochran</t>
  </si>
  <si>
    <t>Hettinger</t>
  </si>
  <si>
    <t>Harmon</t>
  </si>
  <si>
    <t>Schleicher</t>
  </si>
  <si>
    <t>Niobrara</t>
  </si>
  <si>
    <t>Ziebach</t>
  </si>
  <si>
    <t>Dolores</t>
  </si>
  <si>
    <t>Kidder</t>
  </si>
  <si>
    <t>Sanborn</t>
  </si>
  <si>
    <t>Griggs</t>
  </si>
  <si>
    <t>Hoonah-Angoon</t>
  </si>
  <si>
    <t>Miner</t>
  </si>
  <si>
    <t>Cimarron</t>
  </si>
  <si>
    <t>Greeley</t>
  </si>
  <si>
    <t>Culberson</t>
  </si>
  <si>
    <t>Divide</t>
  </si>
  <si>
    <t>Faulk</t>
  </si>
  <si>
    <t>Towner</t>
  </si>
  <si>
    <t>Wrangell</t>
  </si>
  <si>
    <t>Keweenaw</t>
  </si>
  <si>
    <t>Haines</t>
  </si>
  <si>
    <t>Judith Basin</t>
  </si>
  <si>
    <t>Wheatland</t>
  </si>
  <si>
    <t>Mellette</t>
  </si>
  <si>
    <t>Denali</t>
  </si>
  <si>
    <t>Gilliam</t>
  </si>
  <si>
    <t>Meagher</t>
  </si>
  <si>
    <t>Gosper</t>
  </si>
  <si>
    <t>Jerauld</t>
  </si>
  <si>
    <t>Oliver</t>
  </si>
  <si>
    <t>McCone</t>
  </si>
  <si>
    <t>Dundy</t>
  </si>
  <si>
    <t>Powder River</t>
  </si>
  <si>
    <t>Taliaferro</t>
  </si>
  <si>
    <t>Haakon</t>
  </si>
  <si>
    <t>Piute</t>
  </si>
  <si>
    <t>Alpine</t>
  </si>
  <si>
    <t>Golden Valley</t>
  </si>
  <si>
    <t>Hodgeman</t>
  </si>
  <si>
    <t>Eureka</t>
  </si>
  <si>
    <t>Dickens</t>
  </si>
  <si>
    <t>Garden</t>
  </si>
  <si>
    <t>Throckmorton</t>
  </si>
  <si>
    <t>De Baca</t>
  </si>
  <si>
    <t>Daniels</t>
  </si>
  <si>
    <t>Sully</t>
  </si>
  <si>
    <t>Wallace</t>
  </si>
  <si>
    <t>Irion</t>
  </si>
  <si>
    <t>Sterling</t>
  </si>
  <si>
    <t>Skagway</t>
  </si>
  <si>
    <t>Cottle</t>
  </si>
  <si>
    <t>Motley</t>
  </si>
  <si>
    <t>Stonewall</t>
  </si>
  <si>
    <t>Briscoe</t>
  </si>
  <si>
    <t>Camas</t>
  </si>
  <si>
    <t>Wibaux</t>
  </si>
  <si>
    <t>Issaquena</t>
  </si>
  <si>
    <t>Harding</t>
  </si>
  <si>
    <t>Foard</t>
  </si>
  <si>
    <t>Glasscock</t>
  </si>
  <si>
    <t>Lake and Peninsula</t>
  </si>
  <si>
    <t>Esmeralda</t>
  </si>
  <si>
    <t>Billings</t>
  </si>
  <si>
    <t>Keya Paha</t>
  </si>
  <si>
    <t>Hinsdale</t>
  </si>
  <si>
    <t>Bristol Bay</t>
  </si>
  <si>
    <t>Hayes</t>
  </si>
  <si>
    <t>Slope</t>
  </si>
  <si>
    <t>Treasure</t>
  </si>
  <si>
    <t>Daggett</t>
  </si>
  <si>
    <t>Borden</t>
  </si>
  <si>
    <t>Banner</t>
  </si>
  <si>
    <t>McMullen</t>
  </si>
  <si>
    <t>Hooker</t>
  </si>
  <si>
    <t>Loup</t>
  </si>
  <si>
    <t>Arthur</t>
  </si>
  <si>
    <t>Yakutat</t>
  </si>
  <si>
    <t>Petroleum</t>
  </si>
  <si>
    <t>Loving</t>
  </si>
  <si>
    <t>Kenedy</t>
  </si>
  <si>
    <t>Kalawao</t>
  </si>
  <si>
    <t>Central Time Zone</t>
  </si>
  <si>
    <t>Mountain Time Zone</t>
  </si>
  <si>
    <t>Pacific Time Zone</t>
  </si>
  <si>
    <t>Eastern Time Zone</t>
  </si>
  <si>
    <t>Hawaii-Aleutian Time Zone</t>
  </si>
  <si>
    <t>TimeZone</t>
  </si>
  <si>
    <t>StateID</t>
  </si>
  <si>
    <t>StateName</t>
  </si>
  <si>
    <t>County</t>
  </si>
  <si>
    <t>Lat</t>
  </si>
  <si>
    <t>Longitude</t>
  </si>
  <si>
    <t>Please select  the state and click on the details button.</t>
  </si>
  <si>
    <t>Headquarters: 4266 W. Camino Nuestro, Tucson, AZ 85745</t>
  </si>
  <si>
    <t>CSJ Sales State LookUp Tool</t>
  </si>
  <si>
    <t>Local Time</t>
  </si>
  <si>
    <t>DistanceRange</t>
  </si>
  <si>
    <t>TimeZone (short)</t>
  </si>
  <si>
    <t>Offset (hrs from UTC)</t>
  </si>
  <si>
    <t>Alaska Time Zone</t>
  </si>
  <si>
    <t>Eastern Time Zone (Time Temperature)</t>
  </si>
  <si>
    <t xml:space="preserve">Central Time Zone </t>
  </si>
  <si>
    <t>central Time Zone</t>
  </si>
  <si>
    <t>OutofRange</t>
  </si>
  <si>
    <t>WithinRange</t>
  </si>
  <si>
    <t>CountyForAdministrativePurpose</t>
  </si>
  <si>
    <t>Area(in SqMiles)</t>
  </si>
  <si>
    <t>Distance from HQ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</si>
</sst>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8" x14ac:knownFonts="1">
    <font>
      <sz val="11"/>
      <color theme="1"/>
      <name val="Calibri"/>
      <family val="2"/>
      <scheme val="minor"/>
    </font>
    <font>
      <b/>
      <sz val="11"/>
      <color theme="1"/>
      <name val="Calibri"/>
      <family val="2"/>
      <scheme val="minor"/>
    </font>
    <font>
      <sz val="11"/>
      <color theme="9"/>
      <name val="Calibri"/>
      <family val="2"/>
      <scheme val="minor"/>
    </font>
    <font>
      <sz val="22"/>
      <color theme="9"/>
      <name val="Calibri"/>
      <family val="2"/>
      <scheme val="minor"/>
    </font>
    <font>
      <sz val="18"/>
      <color theme="9"/>
      <name val="Calibri"/>
      <family val="2"/>
      <scheme val="minor"/>
    </font>
    <font>
      <sz val="9"/>
      <color theme="9"/>
      <name val="Calibri"/>
      <family val="2"/>
      <scheme val="minor"/>
    </font>
    <font>
      <b/>
      <sz val="12"/>
      <color theme="9"/>
      <name val="Calibri"/>
      <family val="2"/>
      <scheme val="minor"/>
    </font>
    <font>
      <u/>
      <sz val="11"/>
      <color theme="10"/>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0" fillId="0" borderId="1" xfId="0" applyBorder="1" applyAlignment="1">
      <alignment horizontal="center" vertical="center"/>
    </xf>
    <xf numFmtId="2" fontId="0" fillId="0" borderId="0" xfId="0" applyNumberFormat="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2" fontId="1" fillId="0" borderId="4" xfId="0" applyNumberFormat="1" applyFont="1" applyFill="1" applyBorder="1" applyAlignment="1">
      <alignment horizontal="center" vertical="center"/>
    </xf>
    <xf numFmtId="0" fontId="2" fillId="2" borderId="12" xfId="0" applyFont="1" applyFill="1" applyBorder="1"/>
    <xf numFmtId="0" fontId="2" fillId="2" borderId="0" xfId="0" applyFont="1" applyFill="1"/>
    <xf numFmtId="0" fontId="2" fillId="2" borderId="0" xfId="0" applyFont="1" applyFill="1" applyAlignment="1">
      <alignment horizontal="center"/>
    </xf>
    <xf numFmtId="0" fontId="5" fillId="2"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7" fillId="0" borderId="0" xfId="1" applyAlignment="1">
      <alignment vertical="center" wrapText="1"/>
    </xf>
    <xf numFmtId="0" fontId="1" fillId="0" borderId="0" xfId="0" applyFont="1" applyAlignment="1">
      <alignment vertical="center" wrapText="1"/>
    </xf>
    <xf numFmtId="0" fontId="7" fillId="0" borderId="0" xfId="1" applyAlignment="1">
      <alignment vertical="center"/>
    </xf>
    <xf numFmtId="0" fontId="0" fillId="0" borderId="0" xfId="0" applyFill="1"/>
    <xf numFmtId="0" fontId="1" fillId="0" borderId="0" xfId="0" applyFont="1" applyAlignment="1">
      <alignment vertical="center"/>
    </xf>
    <xf numFmtId="164" fontId="1" fillId="0" borderId="3" xfId="0" applyNumberFormat="1" applyFont="1" applyBorder="1" applyAlignment="1">
      <alignment horizontal="center" vertical="center"/>
    </xf>
    <xf numFmtId="164" fontId="0" fillId="0" borderId="1" xfId="0" applyNumberFormat="1" applyBorder="1" applyAlignment="1">
      <alignment horizontal="center" vertical="center"/>
    </xf>
    <xf numFmtId="164" fontId="0" fillId="0" borderId="0" xfId="0" applyNumberFormat="1"/>
    <xf numFmtId="2" fontId="0" fillId="0" borderId="1" xfId="0" applyNumberFormat="1" applyBorder="1" applyAlignment="1">
      <alignment horizontal="center" vertic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1" fillId="0" borderId="1" xfId="0" applyFont="1" applyBorder="1" applyAlignment="1">
      <alignment horizontal="center" vertical="center"/>
    </xf>
  </cellXfs>
  <cellStyles count="2">
    <cellStyle name="Hyperlink" xfId="1" builtinId="8"/>
    <cellStyle name="Normal" xfId="0" builtinId="0"/>
  </cellStyles>
  <dxfs count="17">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Statename!A1"/></Relationships>
</file>

<file path=xl/drawings/_rels/drawing2.xml.rels><?xml version="1.0" encoding="UTF-8" standalone="yes"?>
<Relationships xmlns="http://schemas.openxmlformats.org/package/2006/relationships"><Relationship Id="rId1" Type="http://schemas.openxmlformats.org/officeDocument/2006/relationships/hyperlink" Target="#HomePage!A1"/></Relationships>
</file>

<file path=xl/drawings/drawing1.xml><?xml version="1.0" encoding="utf-8"?>
<xdr:wsDr xmlns:xdr="http://schemas.openxmlformats.org/drawingml/2006/spreadsheetDrawing" xmlns:a="http://schemas.openxmlformats.org/drawingml/2006/main">
  <xdr:twoCellAnchor editAs="absolute">
    <xdr:from>
      <xdr:col>0</xdr:col>
      <xdr:colOff>28575</xdr:colOff>
      <xdr:row>12</xdr:row>
      <xdr:rowOff>47625</xdr:rowOff>
    </xdr:from>
    <xdr:to>
      <xdr:col>20</xdr:col>
      <xdr:colOff>409575</xdr:colOff>
      <xdr:row>25</xdr:row>
      <xdr:rowOff>1</xdr:rowOff>
    </xdr:to>
    <mc:AlternateContent xmlns:mc="http://schemas.openxmlformats.org/markup-compatibility/2006" xmlns:sle15="http://schemas.microsoft.com/office/drawing/2012/slicer">
      <mc:Choice Requires="sle15">
        <xdr:graphicFrame macro="">
          <xdr:nvGraphicFramePr>
            <xdr:cNvPr id="2" name="StateName 1">
              <a:extLst>
                <a:ext uri="{FF2B5EF4-FFF2-40B4-BE49-F238E27FC236}">
                  <a16:creationId xmlns:a16="http://schemas.microsoft.com/office/drawing/2014/main" id="{2B7028F7-D32F-4B5C-96B8-D794FC8BE310}"/>
                </a:ext>
              </a:extLst>
            </xdr:cNvPr>
            <xdr:cNvGraphicFramePr/>
          </xdr:nvGraphicFramePr>
          <xdr:xfrm>
            <a:off x="0" y="0"/>
            <a:ext cx="0" cy="0"/>
          </xdr:xfrm>
          <a:graphic>
            <a:graphicData uri="http://schemas.microsoft.com/office/drawing/2010/slicer">
              <sle:slicer xmlns:sle="http://schemas.microsoft.com/office/drawing/2010/slicer" name="StateName 1"/>
            </a:graphicData>
          </a:graphic>
        </xdr:graphicFrame>
      </mc:Choice>
      <mc:Fallback xmlns="">
        <xdr:sp macro="" textlink="">
          <xdr:nvSpPr>
            <xdr:cNvPr id="0" name=""/>
            <xdr:cNvSpPr>
              <a:spLocks noTextEdit="1"/>
            </xdr:cNvSpPr>
          </xdr:nvSpPr>
          <xdr:spPr>
            <a:xfrm>
              <a:off x="28575" y="1905000"/>
              <a:ext cx="12573000" cy="24288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16</xdr:col>
      <xdr:colOff>276225</xdr:colOff>
      <xdr:row>6</xdr:row>
      <xdr:rowOff>142875</xdr:rowOff>
    </xdr:from>
    <xdr:to>
      <xdr:col>19</xdr:col>
      <xdr:colOff>171450</xdr:colOff>
      <xdr:row>11</xdr:row>
      <xdr:rowOff>38100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B9B04A57-0C5D-4179-A46D-06B5DA1FD82B}"/>
            </a:ext>
          </a:extLst>
        </xdr:cNvPr>
        <xdr:cNvSpPr/>
      </xdr:nvSpPr>
      <xdr:spPr>
        <a:xfrm>
          <a:off x="11249025" y="1123950"/>
          <a:ext cx="1724025" cy="847725"/>
        </a:xfrm>
        <a:prstGeom prst="rect">
          <a:avLst/>
        </a:prstGeom>
        <a:solidFill>
          <a:schemeClr val="accent6"/>
        </a:solidFill>
        <a:effectLst>
          <a:glow rad="1397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lvl="0" algn="ctr"/>
          <a:r>
            <a:rPr lang="en-US" sz="2400" b="1" cap="none" spc="0">
              <a:ln w="6600">
                <a:solidFill>
                  <a:schemeClr val="accent2"/>
                </a:solidFill>
                <a:prstDash val="solid"/>
              </a:ln>
              <a:solidFill>
                <a:srgbClr val="FFFFFF"/>
              </a:solidFill>
              <a:effectLst>
                <a:outerShdw dist="38100" dir="2700000" algn="tl" rotWithShape="0">
                  <a:schemeClr val="accent2"/>
                </a:outerShdw>
              </a:effectLst>
            </a:rPr>
            <a:t>Details</a:t>
          </a:r>
          <a:r>
            <a:rPr lang="en-US" sz="1600"/>
            <a:t> </a:t>
          </a:r>
        </a:p>
        <a:p>
          <a:pPr algn="l"/>
          <a:endParaRPr lang="en-US" sz="1100"/>
        </a:p>
      </xdr:txBody>
    </xdr:sp>
    <xdr:clientData/>
  </xdr:twoCellAnchor>
  <xdr:twoCellAnchor editAs="oneCell">
    <xdr:from>
      <xdr:col>0</xdr:col>
      <xdr:colOff>247651</xdr:colOff>
      <xdr:row>2</xdr:row>
      <xdr:rowOff>57150</xdr:rowOff>
    </xdr:from>
    <xdr:to>
      <xdr:col>2</xdr:col>
      <xdr:colOff>76200</xdr:colOff>
      <xdr:row>8</xdr:row>
      <xdr:rowOff>43654</xdr:rowOff>
    </xdr:to>
    <xdr:pic>
      <xdr:nvPicPr>
        <xdr:cNvPr id="6" name="Picture 5" descr="https://www.csjdesigncollaborative.com/images/logo.png">
          <a:extLst>
            <a:ext uri="{FF2B5EF4-FFF2-40B4-BE49-F238E27FC236}">
              <a16:creationId xmlns:a16="http://schemas.microsoft.com/office/drawing/2014/main" id="{7F72A604-FA9A-4600-A516-408A8801B6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651" y="257175"/>
          <a:ext cx="1047749" cy="1005679"/>
        </a:xfrm>
        <a:prstGeom prst="rect">
          <a:avLst/>
        </a:prstGeom>
        <a:ln w="2286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133351</xdr:colOff>
      <xdr:row>0</xdr:row>
      <xdr:rowOff>1</xdr:rowOff>
    </xdr:from>
    <xdr:to>
      <xdr:col>11</xdr:col>
      <xdr:colOff>1133475</xdr:colOff>
      <xdr:row>2</xdr:row>
      <xdr:rowOff>1</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0C719BB7-B2A1-41CF-9F42-AE3A0874AB61}"/>
            </a:ext>
          </a:extLst>
        </xdr:cNvPr>
        <xdr:cNvSpPr/>
      </xdr:nvSpPr>
      <xdr:spPr>
        <a:xfrm>
          <a:off x="10668001" y="1"/>
          <a:ext cx="1724024" cy="381000"/>
        </a:xfrm>
        <a:prstGeom prst="rect">
          <a:avLst/>
        </a:prstGeom>
        <a:solidFill>
          <a:schemeClr val="accent6"/>
        </a:solidFill>
        <a:effectLst>
          <a:glow rad="1397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800"/>
            <a:t>HomePage</a:t>
          </a:r>
          <a:endParaRPr lang="en-US" sz="1400"/>
        </a:p>
        <a:p>
          <a:pPr algn="l"/>
          <a:endParaRPr lang="en-US" sz="1100"/>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Name" xr10:uid="{7125B0D9-6964-4B21-9014-0F6FCEF07AC8}" sourceName="StateNam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Name 1" xr10:uid="{E5B30C90-9E2F-49CE-9914-45ADFA17F5AD}" cache="Slicer_StateName" caption="StateName" columnCount="7"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B9422E-D2F7-44FD-A61D-FF869A8D32B7}" name="MasterTable" displayName="MasterTable" ref="A1:J3145" totalsRowShown="0" headerRowDxfId="14" dataDxfId="12" headerRowBorderDxfId="13" tableBorderDxfId="11" totalsRowBorderDxfId="10">
  <autoFilter ref="A1:J3145" xr:uid="{1F09F9CC-B18A-46CC-9FD7-0D744E2AE1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8F65559-3C12-4936-BF20-3CB7F302A943}" name="StateID" dataDxfId="9"/>
    <tableColumn id="2" xr3:uid="{4EEAACD7-A6C8-4C81-A877-04310F028991}" name="StateName" dataDxfId="8"/>
    <tableColumn id="3" xr3:uid="{F35D8480-4381-45F4-86F5-D3146178E908}" name="County" dataDxfId="7"/>
    <tableColumn id="4" xr3:uid="{6D25824C-25D9-46DF-9F72-CC7CF7BA651E}" name="Lat" dataDxfId="6"/>
    <tableColumn id="5" xr3:uid="{906B5788-6429-4C85-8AC4-438710B7D668}" name="Longitude" dataDxfId="5"/>
    <tableColumn id="6" xr3:uid="{16F685EE-9238-4094-AF1F-4FC6F81C6C3E}" name="TimeZone" dataDxfId="4"/>
    <tableColumn id="7" xr3:uid="{DDDB111B-B06C-4ADF-874C-3124E7E29BAE}" name="Distance from HQ (Miles)" dataDxfId="3"/>
    <tableColumn id="8" xr3:uid="{7A8D6BC4-8F16-4E0A-822B-DE61C0782102}" name="Local Time" dataDxfId="2">
      <calculatedColumnFormula>NOW() - TIME(5,30,0) + (VLOOKUP(MasterTable[[#This Row],[TimeZone]], $O$3:$P$8, 2, FALSE) / 24)</calculatedColumnFormula>
    </tableColumn>
    <tableColumn id="9" xr3:uid="{EC1076CA-B19A-49A5-B096-06DF2B0B069D}" name="DistanceRange" dataDxfId="1"/>
    <tableColumn id="10" xr3:uid="{8FB91909-8154-4103-9307-10F2C664FD7C}" name="Area(in SqMil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timetemperature.com/tzus/current_time_in_kentucky.shtml?utm_source=chatgpt.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42BBF-4076-4ADD-8F58-D4AAD08E1672}">
  <dimension ref="B1:O12"/>
  <sheetViews>
    <sheetView showGridLines="0" tabSelected="1" workbookViewId="0">
      <selection activeCell="P9" sqref="P9"/>
    </sheetView>
  </sheetViews>
  <sheetFormatPr defaultRowHeight="15" x14ac:dyDescent="0.25"/>
  <cols>
    <col min="1" max="14" width="9.140625" style="7"/>
    <col min="15" max="15" width="9.140625" style="7" customWidth="1"/>
    <col min="16" max="16384" width="9.140625" style="7"/>
  </cols>
  <sheetData>
    <row r="1" spans="2:15" s="6" customFormat="1" ht="0.95" customHeight="1" thickBot="1" x14ac:dyDescent="0.3"/>
    <row r="2" spans="2:15" x14ac:dyDescent="0.25">
      <c r="G2" s="25" t="s">
        <v>1935</v>
      </c>
      <c r="H2" s="26"/>
      <c r="I2" s="26"/>
      <c r="J2" s="26"/>
      <c r="K2" s="26"/>
      <c r="L2" s="26"/>
      <c r="M2" s="26"/>
      <c r="N2" s="27"/>
    </row>
    <row r="3" spans="2:15" ht="15.75" thickBot="1" x14ac:dyDescent="0.3">
      <c r="G3" s="28"/>
      <c r="H3" s="29"/>
      <c r="I3" s="29"/>
      <c r="J3" s="29"/>
      <c r="K3" s="29"/>
      <c r="L3" s="29"/>
      <c r="M3" s="29"/>
      <c r="N3" s="30"/>
    </row>
    <row r="4" spans="2:15" ht="5.0999999999999996" customHeight="1" thickBot="1" x14ac:dyDescent="0.3"/>
    <row r="5" spans="2:15" ht="15" customHeight="1" x14ac:dyDescent="0.25">
      <c r="F5" s="31" t="s">
        <v>1934</v>
      </c>
      <c r="G5" s="32"/>
      <c r="H5" s="32"/>
      <c r="I5" s="32"/>
      <c r="J5" s="32"/>
      <c r="K5" s="32"/>
      <c r="L5" s="32"/>
      <c r="M5" s="32"/>
      <c r="N5" s="32"/>
      <c r="O5" s="33"/>
    </row>
    <row r="6" spans="2:15" ht="15" customHeight="1" x14ac:dyDescent="0.25">
      <c r="F6" s="34"/>
      <c r="G6" s="35"/>
      <c r="H6" s="35"/>
      <c r="I6" s="35"/>
      <c r="J6" s="35"/>
      <c r="K6" s="35"/>
      <c r="L6" s="35"/>
      <c r="M6" s="35"/>
      <c r="N6" s="35"/>
      <c r="O6" s="36"/>
    </row>
    <row r="7" spans="2:15" ht="15" customHeight="1" x14ac:dyDescent="0.25">
      <c r="F7" s="34"/>
      <c r="G7" s="35"/>
      <c r="H7" s="35"/>
      <c r="I7" s="35"/>
      <c r="J7" s="35"/>
      <c r="K7" s="35"/>
      <c r="L7" s="35"/>
      <c r="M7" s="35"/>
      <c r="N7" s="35"/>
      <c r="O7" s="36"/>
    </row>
    <row r="8" spans="2:15" ht="15" customHeight="1" x14ac:dyDescent="0.25">
      <c r="D8" s="8"/>
      <c r="F8" s="34"/>
      <c r="G8" s="35"/>
      <c r="H8" s="35"/>
      <c r="I8" s="35"/>
      <c r="J8" s="35"/>
      <c r="K8" s="35"/>
      <c r="L8" s="35"/>
      <c r="M8" s="35"/>
      <c r="N8" s="35"/>
      <c r="O8" s="36"/>
    </row>
    <row r="9" spans="2:15" ht="15" customHeight="1" x14ac:dyDescent="0.25">
      <c r="F9" s="34"/>
      <c r="G9" s="35"/>
      <c r="H9" s="35"/>
      <c r="I9" s="35"/>
      <c r="J9" s="35"/>
      <c r="K9" s="35"/>
      <c r="L9" s="35"/>
      <c r="M9" s="35"/>
      <c r="N9" s="35"/>
      <c r="O9" s="36"/>
    </row>
    <row r="10" spans="2:15" ht="15" customHeight="1" thickBot="1" x14ac:dyDescent="0.3">
      <c r="C10" s="9"/>
      <c r="F10" s="37"/>
      <c r="G10" s="38"/>
      <c r="H10" s="38"/>
      <c r="I10" s="38"/>
      <c r="J10" s="38"/>
      <c r="K10" s="38"/>
      <c r="L10" s="38"/>
      <c r="M10" s="38"/>
      <c r="N10" s="38"/>
      <c r="O10" s="39"/>
    </row>
    <row r="11" spans="2:15" ht="5.0999999999999996" customHeight="1" x14ac:dyDescent="0.25"/>
    <row r="12" spans="2:15" ht="15.75" x14ac:dyDescent="0.25">
      <c r="B12" s="23" t="s">
        <v>1933</v>
      </c>
      <c r="C12" s="24"/>
      <c r="D12" s="24"/>
      <c r="E12" s="24"/>
      <c r="F12" s="24"/>
      <c r="G12" s="24"/>
      <c r="H12" s="24"/>
      <c r="I12" s="24"/>
      <c r="J12" s="24"/>
    </row>
  </sheetData>
  <sheetProtection algorithmName="SHA-512" hashValue="sPEOu4cAr5Z6xKmwQ8gMp456uffgpUZcMAUlAxMaAW2DPCBzor5jye2NA006/02HlVHyvv42NkJdH3MGd7igKg==" saltValue="rs4SH9qO5wncZuFFH7MRwQ==" spinCount="100000" sheet="1" formatCells="0" formatColumns="0" formatRows="0" insertColumns="0" insertRows="0" insertHyperlinks="0" deleteColumns="0" deleteRows="0" autoFilter="0" pivotTables="0"/>
  <mergeCells count="3">
    <mergeCell ref="B12:J12"/>
    <mergeCell ref="G2:N3"/>
    <mergeCell ref="F5:O10"/>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48"/>
  <sheetViews>
    <sheetView workbookViewId="0">
      <pane ySplit="1" topLeftCell="A913" activePane="bottomLeft" state="frozen"/>
      <selection pane="bottomLeft" activeCell="K913" sqref="K913"/>
    </sheetView>
  </sheetViews>
  <sheetFormatPr defaultRowHeight="15" x14ac:dyDescent="0.25"/>
  <cols>
    <col min="1" max="1" width="7.42578125" bestFit="1" customWidth="1"/>
    <col min="2" max="2" width="18.7109375" bestFit="1" customWidth="1"/>
    <col min="3" max="3" width="23.85546875" customWidth="1"/>
    <col min="4" max="4" width="8" bestFit="1" customWidth="1"/>
    <col min="5" max="5" width="9.85546875" bestFit="1" customWidth="1"/>
    <col min="6" max="6" width="22.85546875" customWidth="1"/>
    <col min="7" max="7" width="23.7109375" style="2" bestFit="1" customWidth="1"/>
    <col min="8" max="8" width="11.5703125" style="21" bestFit="1" customWidth="1"/>
    <col min="9" max="9" width="14.140625" bestFit="1" customWidth="1"/>
    <col min="10" max="10" width="21.42578125" customWidth="1"/>
    <col min="11" max="11" width="10.85546875" bestFit="1" customWidth="1"/>
    <col min="12" max="12" width="36.42578125" bestFit="1" customWidth="1"/>
    <col min="15" max="15" width="25.5703125" bestFit="1" customWidth="1"/>
    <col min="16" max="16" width="20.140625" bestFit="1" customWidth="1"/>
  </cols>
  <sheetData>
    <row r="1" spans="1:16" x14ac:dyDescent="0.25">
      <c r="A1" s="3" t="s">
        <v>1928</v>
      </c>
      <c r="B1" s="4" t="s">
        <v>1929</v>
      </c>
      <c r="C1" s="4" t="s">
        <v>1930</v>
      </c>
      <c r="D1" s="4" t="s">
        <v>1931</v>
      </c>
      <c r="E1" s="4" t="s">
        <v>1932</v>
      </c>
      <c r="F1" s="4" t="s">
        <v>1927</v>
      </c>
      <c r="G1" s="5" t="s">
        <v>1948</v>
      </c>
      <c r="H1" s="19" t="s">
        <v>1936</v>
      </c>
      <c r="I1" s="4" t="s">
        <v>1937</v>
      </c>
      <c r="J1" s="40" t="s">
        <v>1947</v>
      </c>
    </row>
    <row r="2" spans="1:16" x14ac:dyDescent="0.25">
      <c r="A2" s="1" t="s">
        <v>301</v>
      </c>
      <c r="B2" s="1" t="s">
        <v>302</v>
      </c>
      <c r="C2" s="1" t="s">
        <v>300</v>
      </c>
      <c r="D2" s="1">
        <v>61.149799999999999</v>
      </c>
      <c r="E2" s="1">
        <v>-149.10820000000001</v>
      </c>
      <c r="F2" s="1" t="s">
        <v>1940</v>
      </c>
      <c r="G2" s="22">
        <v>2626.465898306798</v>
      </c>
      <c r="H2" s="20">
        <f ca="1">NOW() - TIME(5,30,0) + (VLOOKUP(MasterTable[[#This Row],[TimeZone]], $O$3:$P$8, 2, FALSE) / 24)</f>
        <v>45990.406878125003</v>
      </c>
      <c r="I2" s="1" t="s">
        <v>1944</v>
      </c>
      <c r="J2" s="1">
        <v>1961.09</v>
      </c>
      <c r="O2" s="12" t="s">
        <v>1938</v>
      </c>
      <c r="P2" s="12" t="s">
        <v>1939</v>
      </c>
    </row>
    <row r="3" spans="1:16" x14ac:dyDescent="0.25">
      <c r="A3" s="1" t="s">
        <v>301</v>
      </c>
      <c r="B3" s="1" t="s">
        <v>302</v>
      </c>
      <c r="C3" s="1" t="s">
        <v>553</v>
      </c>
      <c r="D3" s="1">
        <v>62.316000000000003</v>
      </c>
      <c r="E3" s="1">
        <v>-149.5729</v>
      </c>
      <c r="F3" s="1" t="s">
        <v>1940</v>
      </c>
      <c r="G3" s="22">
        <v>2682.2952610204884</v>
      </c>
      <c r="H3" s="20">
        <f ca="1">NOW() - TIME(5,30,0) + (VLOOKUP(MasterTable[[#This Row],[TimeZone]], $O$3:$P$8, 2, FALSE) / 24)</f>
        <v>45990.406878125003</v>
      </c>
      <c r="I3" s="1" t="s">
        <v>1944</v>
      </c>
      <c r="J3" s="1">
        <v>25259.79</v>
      </c>
      <c r="O3" s="13" t="s">
        <v>1925</v>
      </c>
      <c r="P3" s="13">
        <v>-5</v>
      </c>
    </row>
    <row r="4" spans="1:16" x14ac:dyDescent="0.25">
      <c r="A4" s="1" t="s">
        <v>301</v>
      </c>
      <c r="B4" s="1" t="s">
        <v>302</v>
      </c>
      <c r="C4" s="1" t="s">
        <v>611</v>
      </c>
      <c r="D4" s="1">
        <v>64.8078</v>
      </c>
      <c r="E4" s="1">
        <v>-146.56540000000001</v>
      </c>
      <c r="F4" s="1" t="s">
        <v>1940</v>
      </c>
      <c r="G4" s="22">
        <v>2707.4128314508039</v>
      </c>
      <c r="H4" s="20">
        <f ca="1">NOW() - TIME(5,30,0) + (VLOOKUP(MasterTable[[#This Row],[TimeZone]], $O$3:$P$8, 2, FALSE) / 24)</f>
        <v>45990.406878125003</v>
      </c>
      <c r="I4" s="1" t="s">
        <v>1944</v>
      </c>
      <c r="J4" s="1">
        <v>7444.02</v>
      </c>
      <c r="O4" s="13" t="s">
        <v>1922</v>
      </c>
      <c r="P4" s="13">
        <v>-6</v>
      </c>
    </row>
    <row r="5" spans="1:16" x14ac:dyDescent="0.25">
      <c r="A5" s="1" t="s">
        <v>301</v>
      </c>
      <c r="B5" s="1" t="s">
        <v>302</v>
      </c>
      <c r="C5" s="1" t="s">
        <v>780</v>
      </c>
      <c r="D5" s="1">
        <v>60.2654</v>
      </c>
      <c r="E5" s="1">
        <v>-151.5651</v>
      </c>
      <c r="F5" s="1" t="s">
        <v>1940</v>
      </c>
      <c r="G5" s="22">
        <v>2667.9559462376328</v>
      </c>
      <c r="H5" s="20">
        <f ca="1">NOW() - TIME(5,30,0) + (VLOOKUP(MasterTable[[#This Row],[TimeZone]], $O$3:$P$8, 2, FALSE) / 24)</f>
        <v>45990.406878125003</v>
      </c>
      <c r="I5" s="1" t="s">
        <v>1944</v>
      </c>
      <c r="J5" s="1">
        <v>24754.6</v>
      </c>
      <c r="O5" s="13" t="s">
        <v>1923</v>
      </c>
      <c r="P5" s="13">
        <v>-7</v>
      </c>
    </row>
    <row r="6" spans="1:16" x14ac:dyDescent="0.25">
      <c r="A6" s="1" t="s">
        <v>301</v>
      </c>
      <c r="B6" s="1" t="s">
        <v>302</v>
      </c>
      <c r="C6" s="1" t="s">
        <v>1048</v>
      </c>
      <c r="D6" s="1">
        <v>58.454999999999998</v>
      </c>
      <c r="E6" s="1">
        <v>-134.17339999999999</v>
      </c>
      <c r="F6" s="1" t="s">
        <v>1940</v>
      </c>
      <c r="G6" s="22">
        <v>2111.8462918983864</v>
      </c>
      <c r="H6" s="20">
        <f ca="1">NOW() - TIME(5,30,0) + (VLOOKUP(MasterTable[[#This Row],[TimeZone]], $O$3:$P$8, 2, FALSE) / 24)</f>
        <v>45990.406878125003</v>
      </c>
      <c r="I6" s="1" t="s">
        <v>1944</v>
      </c>
      <c r="J6" s="1">
        <v>3255.01</v>
      </c>
      <c r="O6" s="13" t="s">
        <v>1924</v>
      </c>
      <c r="P6" s="13">
        <v>-8</v>
      </c>
    </row>
    <row r="7" spans="1:16" x14ac:dyDescent="0.25">
      <c r="A7" s="1" t="s">
        <v>301</v>
      </c>
      <c r="B7" s="1" t="s">
        <v>302</v>
      </c>
      <c r="C7" s="1" t="s">
        <v>1311</v>
      </c>
      <c r="D7" s="1">
        <v>60.913200000000003</v>
      </c>
      <c r="E7" s="1">
        <v>-159.8186</v>
      </c>
      <c r="F7" s="1" t="s">
        <v>1940</v>
      </c>
      <c r="G7" s="22">
        <v>2942.074667941215</v>
      </c>
      <c r="H7" s="20">
        <f ca="1">NOW() - TIME(5,30,0) + (VLOOKUP(MasterTable[[#This Row],[TimeZone]], $O$3:$P$8, 2, FALSE) / 24)</f>
        <v>45990.406878125003</v>
      </c>
      <c r="I7" s="1" t="s">
        <v>1944</v>
      </c>
      <c r="J7" s="1">
        <v>45508.46</v>
      </c>
      <c r="O7" s="13" t="s">
        <v>1940</v>
      </c>
      <c r="P7" s="13">
        <v>-9</v>
      </c>
    </row>
    <row r="8" spans="1:16" x14ac:dyDescent="0.25">
      <c r="A8" s="1" t="s">
        <v>301</v>
      </c>
      <c r="B8" s="1" t="s">
        <v>302</v>
      </c>
      <c r="C8" s="1" t="s">
        <v>1442</v>
      </c>
      <c r="D8" s="1">
        <v>55.5852</v>
      </c>
      <c r="E8" s="1">
        <v>-130.9282</v>
      </c>
      <c r="F8" s="1" t="s">
        <v>1940</v>
      </c>
      <c r="G8" s="22">
        <v>1881.6098183870972</v>
      </c>
      <c r="H8" s="20">
        <f ca="1">NOW() - TIME(5,30,0) + (VLOOKUP(MasterTable[[#This Row],[TimeZone]], $O$3:$P$8, 2, FALSE) / 24)</f>
        <v>45990.406878125003</v>
      </c>
      <c r="I8" s="1" t="s">
        <v>1944</v>
      </c>
      <c r="J8" s="1">
        <v>1753.98</v>
      </c>
      <c r="O8" s="13" t="s">
        <v>1926</v>
      </c>
      <c r="P8" s="13">
        <v>-10</v>
      </c>
    </row>
    <row r="9" spans="1:16" x14ac:dyDescent="0.25">
      <c r="A9" s="1" t="s">
        <v>301</v>
      </c>
      <c r="B9" s="1" t="s">
        <v>302</v>
      </c>
      <c r="C9" s="1" t="s">
        <v>1470</v>
      </c>
      <c r="D9" s="1">
        <v>57.679099999999998</v>
      </c>
      <c r="E9" s="1">
        <v>-153.79920000000001</v>
      </c>
      <c r="F9" s="1" t="s">
        <v>1940</v>
      </c>
      <c r="G9" s="22">
        <v>2663.6391314048565</v>
      </c>
      <c r="H9" s="20">
        <f ca="1">NOW() - TIME(5,30,0) + (VLOOKUP(MasterTable[[#This Row],[TimeZone]], $O$3:$P$8, 2, FALSE) / 24)</f>
        <v>45990.406878125003</v>
      </c>
      <c r="I9" s="1" t="s">
        <v>1944</v>
      </c>
      <c r="J9" s="1">
        <v>12023.67</v>
      </c>
    </row>
    <row r="10" spans="1:16" x14ac:dyDescent="0.25">
      <c r="A10" s="1" t="s">
        <v>301</v>
      </c>
      <c r="B10" s="1" t="s">
        <v>302</v>
      </c>
      <c r="C10" s="1" t="s">
        <v>1525</v>
      </c>
      <c r="D10" s="1">
        <v>69.311899999999994</v>
      </c>
      <c r="E10" s="1">
        <v>-153.4813</v>
      </c>
      <c r="F10" s="1" t="s">
        <v>1940</v>
      </c>
      <c r="G10" s="22">
        <v>3042.3816332922925</v>
      </c>
      <c r="H10" s="20">
        <f ca="1">NOW() - TIME(5,30,0) + (VLOOKUP(MasterTable[[#This Row],[TimeZone]], $O$3:$P$8, 2, FALSE) / 24)</f>
        <v>45990.406878125003</v>
      </c>
      <c r="I10" s="1" t="s">
        <v>1944</v>
      </c>
      <c r="J10" s="1">
        <v>94762.64</v>
      </c>
    </row>
    <row r="11" spans="1:16" x14ac:dyDescent="0.25">
      <c r="A11" s="1" t="s">
        <v>301</v>
      </c>
      <c r="B11" s="1" t="s">
        <v>302</v>
      </c>
      <c r="C11" s="1" t="s">
        <v>1555</v>
      </c>
      <c r="D11" s="1">
        <v>64.911100000000005</v>
      </c>
      <c r="E11" s="1">
        <v>-164.0274</v>
      </c>
      <c r="F11" s="1" t="s">
        <v>1940</v>
      </c>
      <c r="G11" s="22">
        <v>3158.5703356603458</v>
      </c>
      <c r="H11" s="20">
        <f ca="1">NOW() - TIME(5,30,0) + (VLOOKUP(MasterTable[[#This Row],[TimeZone]], $O$3:$P$8, 2, FALSE) / 24)</f>
        <v>45990.406878125003</v>
      </c>
      <c r="I11" s="1" t="s">
        <v>1944</v>
      </c>
      <c r="J11" s="1">
        <v>28283.33</v>
      </c>
    </row>
    <row r="12" spans="1:16" x14ac:dyDescent="0.25">
      <c r="A12" s="1" t="s">
        <v>301</v>
      </c>
      <c r="B12" s="1" t="s">
        <v>302</v>
      </c>
      <c r="C12" s="1" t="s">
        <v>1613</v>
      </c>
      <c r="D12" s="1">
        <v>57.242400000000004</v>
      </c>
      <c r="E12" s="1">
        <v>-135.31450000000001</v>
      </c>
      <c r="F12" s="1" t="s">
        <v>1940</v>
      </c>
      <c r="G12" s="22">
        <v>2078.5873174307744</v>
      </c>
      <c r="H12" s="20">
        <f ca="1">NOW() - TIME(5,30,0) + (VLOOKUP(MasterTable[[#This Row],[TimeZone]], $O$3:$P$8, 2, FALSE) / 24)</f>
        <v>45990.406878125003</v>
      </c>
      <c r="I12" s="1" t="s">
        <v>1944</v>
      </c>
      <c r="J12" s="1">
        <v>4811.53</v>
      </c>
    </row>
    <row r="13" spans="1:16" x14ac:dyDescent="0.25">
      <c r="A13" s="1" t="s">
        <v>301</v>
      </c>
      <c r="B13" s="1" t="s">
        <v>302</v>
      </c>
      <c r="C13" s="1" t="s">
        <v>1617</v>
      </c>
      <c r="D13" s="1">
        <v>62.154699999999998</v>
      </c>
      <c r="E13" s="1">
        <v>-163.38120000000001</v>
      </c>
      <c r="F13" s="1" t="s">
        <v>1940</v>
      </c>
      <c r="G13" s="22">
        <v>3080.4378441590798</v>
      </c>
      <c r="H13" s="20">
        <f ca="1">NOW() - TIME(5,30,0) + (VLOOKUP(MasterTable[[#This Row],[TimeZone]], $O$3:$P$8, 2, FALSE) / 24)</f>
        <v>45990.406878125003</v>
      </c>
      <c r="I13" s="1" t="s">
        <v>1944</v>
      </c>
      <c r="J13" s="1" t="s">
        <v>1946</v>
      </c>
    </row>
    <row r="14" spans="1:16" x14ac:dyDescent="0.25">
      <c r="A14" s="1" t="s">
        <v>301</v>
      </c>
      <c r="B14" s="1" t="s">
        <v>302</v>
      </c>
      <c r="C14" s="1" t="s">
        <v>1641</v>
      </c>
      <c r="D14" s="1">
        <v>67.059799999999996</v>
      </c>
      <c r="E14" s="1">
        <v>-159.7062</v>
      </c>
      <c r="F14" s="1" t="s">
        <v>1940</v>
      </c>
      <c r="G14" s="22">
        <v>3102.6324838369428</v>
      </c>
      <c r="H14" s="20">
        <f ca="1">NOW() - TIME(5,30,0) + (VLOOKUP(MasterTable[[#This Row],[TimeZone]], $O$3:$P$8, 2, FALSE) / 24)</f>
        <v>45990.406878125003</v>
      </c>
      <c r="I14" s="1" t="s">
        <v>1944</v>
      </c>
      <c r="J14" s="1">
        <v>40762</v>
      </c>
    </row>
    <row r="15" spans="1:16" x14ac:dyDescent="0.25">
      <c r="A15" s="1" t="s">
        <v>301</v>
      </c>
      <c r="B15" s="1" t="s">
        <v>302</v>
      </c>
      <c r="C15" s="1" t="s">
        <v>1671</v>
      </c>
      <c r="D15" s="1">
        <v>60.723300000000002</v>
      </c>
      <c r="E15" s="1">
        <v>-145.75829999999999</v>
      </c>
      <c r="F15" s="1" t="s">
        <v>1940</v>
      </c>
      <c r="G15" s="22">
        <v>2516.5797645712973</v>
      </c>
      <c r="H15" s="20">
        <f ca="1">NOW() - TIME(5,30,0) + (VLOOKUP(MasterTable[[#This Row],[TimeZone]], $O$3:$P$8, 2, FALSE) / 24)</f>
        <v>45990.406878125003</v>
      </c>
      <c r="I15" s="1" t="s">
        <v>1944</v>
      </c>
      <c r="J15" s="1" t="s">
        <v>1946</v>
      </c>
    </row>
    <row r="16" spans="1:16" x14ac:dyDescent="0.25">
      <c r="A16" s="1" t="s">
        <v>301</v>
      </c>
      <c r="B16" s="1" t="s">
        <v>302</v>
      </c>
      <c r="C16" s="1" t="s">
        <v>1676</v>
      </c>
      <c r="D16" s="1">
        <v>63.876199999999997</v>
      </c>
      <c r="E16" s="1">
        <v>-143.21299999999999</v>
      </c>
      <c r="F16" s="1" t="s">
        <v>1940</v>
      </c>
      <c r="G16" s="22">
        <v>2589.3270503366275</v>
      </c>
      <c r="H16" s="20">
        <f ca="1">NOW() - TIME(5,30,0) + (VLOOKUP(MasterTable[[#This Row],[TimeZone]], $O$3:$P$8, 2, FALSE) / 24)</f>
        <v>45990.406878125003</v>
      </c>
      <c r="I16" s="1" t="s">
        <v>1944</v>
      </c>
      <c r="J16" s="1">
        <v>25061.19</v>
      </c>
    </row>
    <row r="17" spans="1:10" x14ac:dyDescent="0.25">
      <c r="A17" s="1" t="s">
        <v>301</v>
      </c>
      <c r="B17" s="1" t="s">
        <v>302</v>
      </c>
      <c r="C17" s="1" t="s">
        <v>1724</v>
      </c>
      <c r="D17" s="1">
        <v>55.801099999999998</v>
      </c>
      <c r="E17" s="1">
        <v>-133.01669999999999</v>
      </c>
      <c r="F17" s="1" t="s">
        <v>1940</v>
      </c>
      <c r="G17" s="22">
        <v>1946.0554300094857</v>
      </c>
      <c r="H17" s="20">
        <f ca="1">NOW() - TIME(5,30,0) + (VLOOKUP(MasterTable[[#This Row],[TimeZone]], $O$3:$P$8, 2, FALSE) / 24)</f>
        <v>45990.406878125003</v>
      </c>
      <c r="I17" s="1" t="s">
        <v>1944</v>
      </c>
      <c r="J17" s="1">
        <v>12706.3</v>
      </c>
    </row>
    <row r="18" spans="1:10" x14ac:dyDescent="0.25">
      <c r="A18" s="1" t="s">
        <v>301</v>
      </c>
      <c r="B18" s="1" t="s">
        <v>302</v>
      </c>
      <c r="C18" s="1" t="s">
        <v>1743</v>
      </c>
      <c r="D18" s="1">
        <v>65.508700000000005</v>
      </c>
      <c r="E18" s="1">
        <v>-151.3896</v>
      </c>
      <c r="F18" s="1" t="s">
        <v>1940</v>
      </c>
      <c r="G18" s="22">
        <v>2849.0099141473083</v>
      </c>
      <c r="H18" s="20">
        <f ca="1">NOW() - TIME(5,30,0) + (VLOOKUP(MasterTable[[#This Row],[TimeZone]], $O$3:$P$8, 2, FALSE) / 24)</f>
        <v>45990.406878125003</v>
      </c>
      <c r="I18" s="1" t="s">
        <v>1944</v>
      </c>
      <c r="J18" s="1">
        <v>147842.51</v>
      </c>
    </row>
    <row r="19" spans="1:10" x14ac:dyDescent="0.25">
      <c r="A19" s="1" t="s">
        <v>301</v>
      </c>
      <c r="B19" s="1" t="s">
        <v>302</v>
      </c>
      <c r="C19" s="1" t="s">
        <v>1748</v>
      </c>
      <c r="D19" s="1">
        <v>52.798499999999997</v>
      </c>
      <c r="E19" s="1">
        <v>-106.5633</v>
      </c>
      <c r="F19" s="1" t="s">
        <v>1940</v>
      </c>
      <c r="G19" s="22">
        <v>1438.4130618245174</v>
      </c>
      <c r="H19" s="20">
        <f ca="1">NOW() - TIME(5,30,0) + (VLOOKUP(MasterTable[[#This Row],[TimeZone]], $O$3:$P$8, 2, FALSE) / 24)</f>
        <v>45990.406878125003</v>
      </c>
      <c r="I19" s="1" t="s">
        <v>1944</v>
      </c>
      <c r="J19" s="1">
        <v>14116.51</v>
      </c>
    </row>
    <row r="20" spans="1:10" x14ac:dyDescent="0.25">
      <c r="A20" s="1" t="s">
        <v>301</v>
      </c>
      <c r="B20" s="1" t="s">
        <v>302</v>
      </c>
      <c r="C20" s="1" t="s">
        <v>1760</v>
      </c>
      <c r="D20" s="1">
        <v>59.8003</v>
      </c>
      <c r="E20" s="1">
        <v>-158.2346</v>
      </c>
      <c r="F20" s="1" t="s">
        <v>1940</v>
      </c>
      <c r="G20" s="22">
        <v>2865.0481857492955</v>
      </c>
      <c r="H20" s="20">
        <f ca="1">NOW() - TIME(5,30,0) + (VLOOKUP(MasterTable[[#This Row],[TimeZone]], $O$3:$P$8, 2, FALSE) / 24)</f>
        <v>45990.406878125003</v>
      </c>
      <c r="I20" s="1" t="s">
        <v>1944</v>
      </c>
      <c r="J20" s="1">
        <v>20928.41</v>
      </c>
    </row>
    <row r="21" spans="1:10" x14ac:dyDescent="0.25">
      <c r="A21" s="1" t="s">
        <v>301</v>
      </c>
      <c r="B21" s="1" t="s">
        <v>302</v>
      </c>
      <c r="C21" s="1" t="s">
        <v>1801</v>
      </c>
      <c r="D21" s="1">
        <v>55.366900000000001</v>
      </c>
      <c r="E21" s="1">
        <v>-161.98050000000001</v>
      </c>
      <c r="F21" s="1" t="s">
        <v>1940</v>
      </c>
      <c r="G21" s="22">
        <v>2915.1245279717041</v>
      </c>
      <c r="H21" s="20">
        <f ca="1">NOW() - TIME(5,30,0) + (VLOOKUP(MasterTable[[#This Row],[TimeZone]], $O$3:$P$8, 2, FALSE) / 24)</f>
        <v>45990.406878125003</v>
      </c>
      <c r="I21" s="1" t="s">
        <v>1944</v>
      </c>
      <c r="J21" s="1">
        <v>15011.6</v>
      </c>
    </row>
    <row r="22" spans="1:10" x14ac:dyDescent="0.25">
      <c r="A22" s="1" t="s">
        <v>301</v>
      </c>
      <c r="B22" s="1" t="s">
        <v>302</v>
      </c>
      <c r="C22" s="1" t="s">
        <v>1034</v>
      </c>
      <c r="D22" s="1">
        <v>57.120399999999997</v>
      </c>
      <c r="E22" s="1">
        <v>-132.934</v>
      </c>
      <c r="F22" s="1" t="s">
        <v>1940</v>
      </c>
      <c r="G22" s="22">
        <v>2012.2313677739005</v>
      </c>
      <c r="H22" s="20">
        <f ca="1">NOW() - TIME(5,30,0) + (VLOOKUP(MasterTable[[#This Row],[TimeZone]], $O$3:$P$8, 2, FALSE) / 24)</f>
        <v>45990.406878125003</v>
      </c>
      <c r="I22" s="1" t="s">
        <v>1944</v>
      </c>
      <c r="J22" s="1">
        <v>9021.2099999999991</v>
      </c>
    </row>
    <row r="23" spans="1:10" x14ac:dyDescent="0.25">
      <c r="A23" s="1" t="s">
        <v>301</v>
      </c>
      <c r="B23" s="1" t="s">
        <v>302</v>
      </c>
      <c r="C23" s="1" t="s">
        <v>1835</v>
      </c>
      <c r="D23" s="1">
        <v>61.8855</v>
      </c>
      <c r="E23" s="1">
        <v>-143.97</v>
      </c>
      <c r="F23" s="1" t="s">
        <v>1940</v>
      </c>
      <c r="G23" s="22">
        <v>2518.0199927305839</v>
      </c>
      <c r="H23" s="20">
        <f ca="1">NOW() - TIME(5,30,0) + (VLOOKUP(MasterTable[[#This Row],[TimeZone]], $O$3:$P$8, 2, FALSE) / 24)</f>
        <v>45990.406878125003</v>
      </c>
      <c r="I23" s="1" t="s">
        <v>1944</v>
      </c>
      <c r="J23" s="1" t="s">
        <v>1946</v>
      </c>
    </row>
    <row r="24" spans="1:10" x14ac:dyDescent="0.25">
      <c r="A24" s="1" t="s">
        <v>301</v>
      </c>
      <c r="B24" s="1" t="s">
        <v>302</v>
      </c>
      <c r="C24" s="1" t="s">
        <v>1851</v>
      </c>
      <c r="D24" s="1">
        <v>58.286999999999999</v>
      </c>
      <c r="E24" s="1">
        <v>-135.63929999999999</v>
      </c>
      <c r="F24" s="1" t="s">
        <v>1940</v>
      </c>
      <c r="G24" s="22">
        <v>2138.9645538984882</v>
      </c>
      <c r="H24" s="20">
        <f ca="1">NOW() - TIME(5,30,0) + (VLOOKUP(MasterTable[[#This Row],[TimeZone]], $O$3:$P$8, 2, FALSE) / 24)</f>
        <v>45990.406878125003</v>
      </c>
      <c r="I24" s="1" t="s">
        <v>1944</v>
      </c>
      <c r="J24" s="1">
        <v>11376.73</v>
      </c>
    </row>
    <row r="25" spans="1:10" x14ac:dyDescent="0.25">
      <c r="A25" s="1" t="s">
        <v>301</v>
      </c>
      <c r="B25" s="1" t="s">
        <v>302</v>
      </c>
      <c r="C25" s="1" t="s">
        <v>1859</v>
      </c>
      <c r="D25" s="1">
        <v>56.332299999999996</v>
      </c>
      <c r="E25" s="1">
        <v>-132.02209999999999</v>
      </c>
      <c r="F25" s="1" t="s">
        <v>1940</v>
      </c>
      <c r="G25" s="22">
        <v>1948.3545063745626</v>
      </c>
      <c r="H25" s="20">
        <f ca="1">NOW() - TIME(5,30,0) + (VLOOKUP(MasterTable[[#This Row],[TimeZone]], $O$3:$P$8, 2, FALSE) / 24)</f>
        <v>45990.406878125003</v>
      </c>
      <c r="I25" s="1" t="s">
        <v>1944</v>
      </c>
      <c r="J25" s="1">
        <v>0</v>
      </c>
    </row>
    <row r="26" spans="1:10" x14ac:dyDescent="0.25">
      <c r="A26" s="1" t="s">
        <v>301</v>
      </c>
      <c r="B26" s="1" t="s">
        <v>302</v>
      </c>
      <c r="C26" s="1" t="s">
        <v>1861</v>
      </c>
      <c r="D26" s="1">
        <v>59.118600000000001</v>
      </c>
      <c r="E26" s="1">
        <v>-135.50069999999999</v>
      </c>
      <c r="F26" s="1" t="s">
        <v>1940</v>
      </c>
      <c r="G26" s="22">
        <v>2177.6944261694371</v>
      </c>
      <c r="H26" s="20">
        <f ca="1">NOW() - TIME(5,30,0) + (VLOOKUP(MasterTable[[#This Row],[TimeZone]], $O$3:$P$8, 2, FALSE) / 24)</f>
        <v>45990.406878125003</v>
      </c>
      <c r="I26" s="1" t="s">
        <v>1944</v>
      </c>
      <c r="J26" s="1">
        <v>2725.82</v>
      </c>
    </row>
    <row r="27" spans="1:10" x14ac:dyDescent="0.25">
      <c r="A27" s="1" t="s">
        <v>301</v>
      </c>
      <c r="B27" s="1" t="s">
        <v>302</v>
      </c>
      <c r="C27" s="1" t="s">
        <v>1865</v>
      </c>
      <c r="D27" s="1">
        <v>63.671399999999998</v>
      </c>
      <c r="E27" s="1">
        <v>-150.01179999999999</v>
      </c>
      <c r="F27" s="1" t="s">
        <v>1940</v>
      </c>
      <c r="G27" s="22">
        <v>2744.8507858479074</v>
      </c>
      <c r="H27" s="20">
        <f ca="1">NOW() - TIME(5,30,0) + (VLOOKUP(MasterTable[[#This Row],[TimeZone]], $O$3:$P$8, 2, FALSE) / 24)</f>
        <v>45990.406878125003</v>
      </c>
      <c r="I27" s="1" t="s">
        <v>1944</v>
      </c>
      <c r="J27" s="1">
        <v>12774.53</v>
      </c>
    </row>
    <row r="28" spans="1:10" x14ac:dyDescent="0.25">
      <c r="A28" s="1" t="s">
        <v>301</v>
      </c>
      <c r="B28" s="1" t="s">
        <v>302</v>
      </c>
      <c r="C28" s="1" t="s">
        <v>1890</v>
      </c>
      <c r="D28" s="1">
        <v>59.561399999999999</v>
      </c>
      <c r="E28" s="1">
        <v>-135.3382</v>
      </c>
      <c r="F28" s="1" t="s">
        <v>1940</v>
      </c>
      <c r="G28" s="22">
        <v>2196.62596322647</v>
      </c>
      <c r="H28" s="20">
        <f ca="1">NOW() - TIME(5,30,0) + (VLOOKUP(MasterTable[[#This Row],[TimeZone]], $O$3:$P$8, 2, FALSE) / 24)</f>
        <v>45990.406878125003</v>
      </c>
      <c r="I28" s="1" t="s">
        <v>1944</v>
      </c>
      <c r="J28" s="1">
        <v>0</v>
      </c>
    </row>
    <row r="29" spans="1:10" x14ac:dyDescent="0.25">
      <c r="A29" s="1" t="s">
        <v>301</v>
      </c>
      <c r="B29" s="1" t="s">
        <v>302</v>
      </c>
      <c r="C29" s="1" t="s">
        <v>1901</v>
      </c>
      <c r="D29" s="1">
        <v>58.654800000000002</v>
      </c>
      <c r="E29" s="1">
        <v>-156.1891</v>
      </c>
      <c r="F29" s="1" t="s">
        <v>1940</v>
      </c>
      <c r="G29" s="22">
        <v>2769.5358937475899</v>
      </c>
      <c r="H29" s="20">
        <f ca="1">NOW() - TIME(5,30,0) + (VLOOKUP(MasterTable[[#This Row],[TimeZone]], $O$3:$P$8, 2, FALSE) / 24)</f>
        <v>45990.406878125003</v>
      </c>
      <c r="I29" s="1" t="s">
        <v>1944</v>
      </c>
      <c r="J29" s="1">
        <v>30906.959999999999</v>
      </c>
    </row>
    <row r="30" spans="1:10" x14ac:dyDescent="0.25">
      <c r="A30" s="1" t="s">
        <v>301</v>
      </c>
      <c r="B30" s="1" t="s">
        <v>302</v>
      </c>
      <c r="C30" s="1" t="s">
        <v>1906</v>
      </c>
      <c r="D30" s="1">
        <v>58.743099999999998</v>
      </c>
      <c r="E30" s="1">
        <v>-156.70150000000001</v>
      </c>
      <c r="F30" s="1" t="s">
        <v>1940</v>
      </c>
      <c r="G30" s="22">
        <v>2788.8978195043355</v>
      </c>
      <c r="H30" s="20">
        <f ca="1">NOW() - TIME(5,30,0) + (VLOOKUP(MasterTable[[#This Row],[TimeZone]], $O$3:$P$8, 2, FALSE) / 24)</f>
        <v>45990.406878125003</v>
      </c>
      <c r="I30" s="1" t="s">
        <v>1944</v>
      </c>
      <c r="J30" s="1">
        <v>887.68</v>
      </c>
    </row>
    <row r="31" spans="1:10" x14ac:dyDescent="0.25">
      <c r="A31" s="1" t="s">
        <v>301</v>
      </c>
      <c r="B31" s="1" t="s">
        <v>302</v>
      </c>
      <c r="C31" s="1" t="s">
        <v>1917</v>
      </c>
      <c r="D31" s="1">
        <v>59.888800000000003</v>
      </c>
      <c r="E31" s="1">
        <v>-140.35749999999999</v>
      </c>
      <c r="F31" s="1" t="s">
        <v>1940</v>
      </c>
      <c r="G31" s="22">
        <v>2336.1805773614151</v>
      </c>
      <c r="H31" s="20">
        <f ca="1">NOW() - TIME(5,30,0) + (VLOOKUP(MasterTable[[#This Row],[TimeZone]], $O$3:$P$8, 2, FALSE) / 24)</f>
        <v>45990.406878125003</v>
      </c>
      <c r="I31" s="1" t="s">
        <v>1944</v>
      </c>
      <c r="J31" s="1">
        <v>9459.2800000000007</v>
      </c>
    </row>
    <row r="32" spans="1:10" x14ac:dyDescent="0.25">
      <c r="A32" s="1" t="s">
        <v>152</v>
      </c>
      <c r="B32" s="1" t="s">
        <v>153</v>
      </c>
      <c r="C32" s="1" t="s">
        <v>129</v>
      </c>
      <c r="D32" s="1">
        <v>33.554299999999998</v>
      </c>
      <c r="E32" s="1">
        <v>-86.8964</v>
      </c>
      <c r="F32" s="1" t="s">
        <v>1922</v>
      </c>
      <c r="G32" s="22">
        <v>1394.2359504519629</v>
      </c>
      <c r="H32" s="20">
        <f ca="1">NOW() - TIME(5,30,0) + (VLOOKUP(MasterTable[[#This Row],[TimeZone]], $O$3:$P$8, 2, FALSE) / 24)</f>
        <v>45990.531878125003</v>
      </c>
      <c r="I32" s="1" t="s">
        <v>1944</v>
      </c>
      <c r="J32" s="1">
        <v>1123.8</v>
      </c>
    </row>
    <row r="33" spans="1:10" x14ac:dyDescent="0.25">
      <c r="A33" s="1" t="s">
        <v>152</v>
      </c>
      <c r="B33" s="1" t="s">
        <v>153</v>
      </c>
      <c r="C33" s="1" t="s">
        <v>235</v>
      </c>
      <c r="D33" s="1">
        <v>30.787700000000001</v>
      </c>
      <c r="E33" s="1">
        <v>-88.205799999999996</v>
      </c>
      <c r="F33" s="1" t="s">
        <v>1922</v>
      </c>
      <c r="G33" s="22">
        <v>1339.7046356263152</v>
      </c>
      <c r="H33" s="20">
        <f ca="1">NOW() - TIME(5,30,0) + (VLOOKUP(MasterTable[[#This Row],[TimeZone]], $O$3:$P$8, 2, FALSE) / 24)</f>
        <v>45990.531878125003</v>
      </c>
      <c r="I33" s="1" t="s">
        <v>1944</v>
      </c>
      <c r="J33" s="1">
        <v>1644.02</v>
      </c>
    </row>
    <row r="34" spans="1:10" x14ac:dyDescent="0.25">
      <c r="A34" s="1" t="s">
        <v>152</v>
      </c>
      <c r="B34" s="1" t="s">
        <v>153</v>
      </c>
      <c r="C34" s="1" t="s">
        <v>244</v>
      </c>
      <c r="D34" s="1">
        <v>34.763100000000001</v>
      </c>
      <c r="E34" s="1">
        <v>-86.550200000000004</v>
      </c>
      <c r="F34" s="1" t="s">
        <v>1922</v>
      </c>
      <c r="G34" s="22">
        <v>1412.102397885046</v>
      </c>
      <c r="H34" s="20">
        <f ca="1">NOW() - TIME(5,30,0) + (VLOOKUP(MasterTable[[#This Row],[TimeZone]], $O$3:$P$8, 2, FALSE) / 24)</f>
        <v>45990.531878125003</v>
      </c>
      <c r="I34" s="1" t="s">
        <v>1944</v>
      </c>
      <c r="J34" s="1">
        <v>812.85</v>
      </c>
    </row>
    <row r="35" spans="1:10" x14ac:dyDescent="0.25">
      <c r="A35" s="1" t="s">
        <v>152</v>
      </c>
      <c r="B35" s="1" t="s">
        <v>153</v>
      </c>
      <c r="C35" s="1" t="s">
        <v>336</v>
      </c>
      <c r="D35" s="1">
        <v>30.727699999999999</v>
      </c>
      <c r="E35" s="1">
        <v>-87.7226</v>
      </c>
      <c r="F35" s="1" t="s">
        <v>1922</v>
      </c>
      <c r="G35" s="22">
        <v>1368.6755257273155</v>
      </c>
      <c r="H35" s="20">
        <f ca="1">NOW() - TIME(5,30,0) + (VLOOKUP(MasterTable[[#This Row],[TimeZone]], $O$3:$P$8, 2, FALSE) / 24)</f>
        <v>45990.531878125003</v>
      </c>
      <c r="I35" s="1" t="s">
        <v>1944</v>
      </c>
      <c r="J35" s="1">
        <v>2026.93</v>
      </c>
    </row>
    <row r="36" spans="1:10" x14ac:dyDescent="0.25">
      <c r="A36" s="1" t="s">
        <v>152</v>
      </c>
      <c r="B36" s="1" t="s">
        <v>153</v>
      </c>
      <c r="C36" s="1" t="s">
        <v>342</v>
      </c>
      <c r="D36" s="1">
        <v>33.2896</v>
      </c>
      <c r="E36" s="1">
        <v>-87.525099999999995</v>
      </c>
      <c r="F36" s="1" t="s">
        <v>1922</v>
      </c>
      <c r="G36" s="22">
        <v>1359.0193519934912</v>
      </c>
      <c r="H36" s="20">
        <f ca="1">NOW() - TIME(5,30,0) + (VLOOKUP(MasterTable[[#This Row],[TimeZone]], $O$3:$P$8, 2, FALSE) / 24)</f>
        <v>45990.531878125003</v>
      </c>
      <c r="I36" s="1" t="s">
        <v>1944</v>
      </c>
      <c r="J36" s="1">
        <v>1351.23</v>
      </c>
    </row>
    <row r="37" spans="1:10" x14ac:dyDescent="0.25">
      <c r="A37" s="1" t="s">
        <v>152</v>
      </c>
      <c r="B37" s="1" t="s">
        <v>153</v>
      </c>
      <c r="C37" s="1" t="s">
        <v>75</v>
      </c>
      <c r="D37" s="1">
        <v>32.220300000000002</v>
      </c>
      <c r="E37" s="1">
        <v>-86.207599999999999</v>
      </c>
      <c r="F37" s="1" t="s">
        <v>1922</v>
      </c>
      <c r="G37" s="22">
        <v>1441.7514512450875</v>
      </c>
      <c r="H37" s="20">
        <f ca="1">NOW() - TIME(5,30,0) + (VLOOKUP(MasterTable[[#This Row],[TimeZone]], $O$3:$P$8, 2, FALSE) / 24)</f>
        <v>45990.531878125003</v>
      </c>
      <c r="I37" s="1" t="s">
        <v>1944</v>
      </c>
      <c r="J37" s="1">
        <v>799.76</v>
      </c>
    </row>
    <row r="38" spans="1:10" x14ac:dyDescent="0.25">
      <c r="A38" s="1" t="s">
        <v>152</v>
      </c>
      <c r="B38" s="1" t="s">
        <v>153</v>
      </c>
      <c r="C38" s="1" t="s">
        <v>107</v>
      </c>
      <c r="D38" s="1">
        <v>33.264299999999999</v>
      </c>
      <c r="E38" s="1">
        <v>-86.660700000000006</v>
      </c>
      <c r="F38" s="1" t="s">
        <v>1922</v>
      </c>
      <c r="G38" s="22">
        <v>1408.9660880887327</v>
      </c>
      <c r="H38" s="20">
        <f ca="1">NOW() - TIME(5,30,0) + (VLOOKUP(MasterTable[[#This Row],[TimeZone]], $O$3:$P$8, 2, FALSE) / 24)</f>
        <v>45990.531878125003</v>
      </c>
      <c r="I38" s="1" t="s">
        <v>1944</v>
      </c>
      <c r="J38" s="1">
        <v>809.53</v>
      </c>
    </row>
    <row r="39" spans="1:10" x14ac:dyDescent="0.25">
      <c r="A39" s="1" t="s">
        <v>152</v>
      </c>
      <c r="B39" s="1" t="s">
        <v>153</v>
      </c>
      <c r="C39" s="1" t="s">
        <v>127</v>
      </c>
      <c r="D39" s="1">
        <v>32.601100000000002</v>
      </c>
      <c r="E39" s="1">
        <v>-85.355500000000006</v>
      </c>
      <c r="F39" s="1" t="s">
        <v>1922</v>
      </c>
      <c r="G39" s="22">
        <v>1488.2696765821645</v>
      </c>
      <c r="H39" s="20">
        <f ca="1">NOW() - TIME(5,30,0) + (VLOOKUP(MasterTable[[#This Row],[TimeZone]], $O$3:$P$8, 2, FALSE) / 24)</f>
        <v>45990.531878125003</v>
      </c>
      <c r="I39" s="1" t="s">
        <v>1944</v>
      </c>
      <c r="J39" s="1">
        <v>615.54999999999995</v>
      </c>
    </row>
    <row r="40" spans="1:10" x14ac:dyDescent="0.25">
      <c r="A40" s="1" t="s">
        <v>152</v>
      </c>
      <c r="B40" s="1" t="s">
        <v>153</v>
      </c>
      <c r="C40" s="1" t="s">
        <v>521</v>
      </c>
      <c r="D40" s="1">
        <v>34.453499999999998</v>
      </c>
      <c r="E40" s="1">
        <v>-86.852900000000005</v>
      </c>
      <c r="F40" s="1" t="s">
        <v>1922</v>
      </c>
      <c r="G40" s="22">
        <v>1394.9292496196365</v>
      </c>
      <c r="H40" s="20">
        <f ca="1">NOW() - TIME(5,30,0) + (VLOOKUP(MasterTable[[#This Row],[TimeZone]], $O$3:$P$8, 2, FALSE) / 24)</f>
        <v>45990.531878125003</v>
      </c>
      <c r="I40" s="1" t="s">
        <v>1944</v>
      </c>
      <c r="J40" s="1">
        <v>599.05999999999995</v>
      </c>
    </row>
    <row r="41" spans="1:10" x14ac:dyDescent="0.25">
      <c r="A41" s="1" t="s">
        <v>152</v>
      </c>
      <c r="B41" s="1" t="s">
        <v>153</v>
      </c>
      <c r="C41" s="1" t="s">
        <v>498</v>
      </c>
      <c r="D41" s="1">
        <v>33.7714</v>
      </c>
      <c r="E41" s="1">
        <v>-85.825999999999993</v>
      </c>
      <c r="F41" s="1" t="s">
        <v>1922</v>
      </c>
      <c r="G41" s="22">
        <v>1454.9839694142095</v>
      </c>
      <c r="H41" s="20">
        <f ca="1">NOW() - TIME(5,30,0) + (VLOOKUP(MasterTable[[#This Row],[TimeZone]], $O$3:$P$8, 2, FALSE) / 24)</f>
        <v>45990.531878125003</v>
      </c>
      <c r="I41" s="1" t="s">
        <v>1944</v>
      </c>
      <c r="J41" s="1">
        <v>612.32000000000005</v>
      </c>
    </row>
    <row r="42" spans="1:10" x14ac:dyDescent="0.25">
      <c r="A42" s="1" t="s">
        <v>152</v>
      </c>
      <c r="B42" s="1" t="s">
        <v>153</v>
      </c>
      <c r="C42" s="1" t="s">
        <v>439</v>
      </c>
      <c r="D42" s="1">
        <v>31.153199999999998</v>
      </c>
      <c r="E42" s="1">
        <v>-85.302499999999995</v>
      </c>
      <c r="F42" s="1" t="s">
        <v>1922</v>
      </c>
      <c r="G42" s="22">
        <v>1504.8653283825479</v>
      </c>
      <c r="H42" s="20">
        <f ca="1">NOW() - TIME(5,30,0) + (VLOOKUP(MasterTable[[#This Row],[TimeZone]], $O$3:$P$8, 2, FALSE) / 24)</f>
        <v>45990.531878125003</v>
      </c>
      <c r="I42" s="1" t="s">
        <v>1944</v>
      </c>
      <c r="J42" s="1">
        <v>581.65</v>
      </c>
    </row>
    <row r="43" spans="1:10" x14ac:dyDescent="0.25">
      <c r="A43" s="1" t="s">
        <v>152</v>
      </c>
      <c r="B43" s="1" t="s">
        <v>153</v>
      </c>
      <c r="C43" s="1" t="s">
        <v>564</v>
      </c>
      <c r="D43" s="1">
        <v>34.810099999999998</v>
      </c>
      <c r="E43" s="1">
        <v>-86.981399999999994</v>
      </c>
      <c r="F43" s="1" t="s">
        <v>1922</v>
      </c>
      <c r="G43" s="22">
        <v>1387.6562452666985</v>
      </c>
      <c r="H43" s="20">
        <f ca="1">NOW() - TIME(5,30,0) + (VLOOKUP(MasterTable[[#This Row],[TimeZone]], $O$3:$P$8, 2, FALSE) / 24)</f>
        <v>45990.531878125003</v>
      </c>
      <c r="I43" s="1" t="s">
        <v>1944</v>
      </c>
      <c r="J43" s="1">
        <v>607.08000000000004</v>
      </c>
    </row>
    <row r="44" spans="1:10" x14ac:dyDescent="0.25">
      <c r="A44" s="1" t="s">
        <v>152</v>
      </c>
      <c r="B44" s="1" t="s">
        <v>153</v>
      </c>
      <c r="C44" s="1" t="s">
        <v>578</v>
      </c>
      <c r="D44" s="1">
        <v>34.045299999999997</v>
      </c>
      <c r="E44" s="1">
        <v>-86.034800000000004</v>
      </c>
      <c r="F44" s="1" t="s">
        <v>1922</v>
      </c>
      <c r="G44" s="22">
        <v>1442.2392469700251</v>
      </c>
      <c r="H44" s="20">
        <f ca="1">NOW() - TIME(5,30,0) + (VLOOKUP(MasterTable[[#This Row],[TimeZone]], $O$3:$P$8, 2, FALSE) / 24)</f>
        <v>45990.531878125003</v>
      </c>
      <c r="I44" s="1" t="s">
        <v>1944</v>
      </c>
      <c r="J44" s="1">
        <v>548.75</v>
      </c>
    </row>
    <row r="45" spans="1:10" x14ac:dyDescent="0.25">
      <c r="A45" s="1" t="s">
        <v>152</v>
      </c>
      <c r="B45" s="1" t="s">
        <v>153</v>
      </c>
      <c r="C45" s="1" t="s">
        <v>600</v>
      </c>
      <c r="D45" s="1">
        <v>34.366999999999997</v>
      </c>
      <c r="E45" s="1">
        <v>-86.306600000000003</v>
      </c>
      <c r="F45" s="1" t="s">
        <v>1922</v>
      </c>
      <c r="G45" s="22">
        <v>1426.1434288638243</v>
      </c>
      <c r="H45" s="20">
        <f ca="1">NOW() - TIME(5,30,0) + (VLOOKUP(MasterTable[[#This Row],[TimeZone]], $O$3:$P$8, 2, FALSE) / 24)</f>
        <v>45990.531878125003</v>
      </c>
      <c r="I45" s="1" t="s">
        <v>1944</v>
      </c>
      <c r="J45" s="1">
        <v>623.16</v>
      </c>
    </row>
    <row r="46" spans="1:10" x14ac:dyDescent="0.25">
      <c r="A46" s="1" t="s">
        <v>152</v>
      </c>
      <c r="B46" s="1" t="s">
        <v>153</v>
      </c>
      <c r="C46" s="1" t="s">
        <v>615</v>
      </c>
      <c r="D46" s="1">
        <v>34.901400000000002</v>
      </c>
      <c r="E46" s="1">
        <v>-87.653999999999996</v>
      </c>
      <c r="F46" s="1" t="s">
        <v>1922</v>
      </c>
      <c r="G46" s="22">
        <v>1349.6266738003792</v>
      </c>
      <c r="H46" s="20">
        <f ca="1">NOW() - TIME(5,30,0) + (VLOOKUP(MasterTable[[#This Row],[TimeZone]], $O$3:$P$8, 2, FALSE) / 24)</f>
        <v>45990.531878125003</v>
      </c>
      <c r="I46" s="1" t="s">
        <v>1944</v>
      </c>
      <c r="J46" s="1">
        <v>718.78</v>
      </c>
    </row>
    <row r="47" spans="1:10" x14ac:dyDescent="0.25">
      <c r="A47" s="1" t="s">
        <v>152</v>
      </c>
      <c r="B47" s="1" t="s">
        <v>153</v>
      </c>
      <c r="C47" s="1" t="s">
        <v>328</v>
      </c>
      <c r="D47" s="1">
        <v>33.715699999999998</v>
      </c>
      <c r="E47" s="1">
        <v>-86.314599999999999</v>
      </c>
      <c r="F47" s="1" t="s">
        <v>1922</v>
      </c>
      <c r="G47" s="22">
        <v>1427.1259797015998</v>
      </c>
      <c r="H47" s="20">
        <f ca="1">NOW() - TIME(5,30,0) + (VLOOKUP(MasterTable[[#This Row],[TimeZone]], $O$3:$P$8, 2, FALSE) / 24)</f>
        <v>45990.531878125003</v>
      </c>
      <c r="I47" s="1" t="s">
        <v>1944</v>
      </c>
      <c r="J47" s="1">
        <v>653.61</v>
      </c>
    </row>
    <row r="48" spans="1:10" x14ac:dyDescent="0.25">
      <c r="A48" s="1" t="s">
        <v>152</v>
      </c>
      <c r="B48" s="1" t="s">
        <v>153</v>
      </c>
      <c r="C48" s="1" t="s">
        <v>633</v>
      </c>
      <c r="D48" s="1">
        <v>34.131900000000002</v>
      </c>
      <c r="E48" s="1">
        <v>-86.867599999999996</v>
      </c>
      <c r="F48" s="1" t="s">
        <v>1922</v>
      </c>
      <c r="G48" s="22">
        <v>1394.4312255898781</v>
      </c>
      <c r="H48" s="20">
        <f ca="1">NOW() - TIME(5,30,0) + (VLOOKUP(MasterTable[[#This Row],[TimeZone]], $O$3:$P$8, 2, FALSE) / 24)</f>
        <v>45990.531878125003</v>
      </c>
      <c r="I48" s="1" t="s">
        <v>1944</v>
      </c>
      <c r="J48" s="1">
        <v>754.82</v>
      </c>
    </row>
    <row r="49" spans="1:10" x14ac:dyDescent="0.25">
      <c r="A49" s="1" t="s">
        <v>152</v>
      </c>
      <c r="B49" s="1" t="s">
        <v>153</v>
      </c>
      <c r="C49" s="1" t="s">
        <v>636</v>
      </c>
      <c r="D49" s="1">
        <v>32.596600000000002</v>
      </c>
      <c r="E49" s="1">
        <v>-86.149199999999993</v>
      </c>
      <c r="F49" s="1" t="s">
        <v>1922</v>
      </c>
      <c r="G49" s="22">
        <v>1442.3367783577824</v>
      </c>
      <c r="H49" s="20">
        <f ca="1">NOW() - TIME(5,30,0) + (VLOOKUP(MasterTable[[#This Row],[TimeZone]], $O$3:$P$8, 2, FALSE) / 24)</f>
        <v>45990.531878125003</v>
      </c>
      <c r="I49" s="1" t="s">
        <v>1944</v>
      </c>
      <c r="J49" s="1">
        <v>657.21</v>
      </c>
    </row>
    <row r="50" spans="1:10" x14ac:dyDescent="0.25">
      <c r="A50" s="1" t="s">
        <v>152</v>
      </c>
      <c r="B50" s="1" t="s">
        <v>153</v>
      </c>
      <c r="C50" s="1" t="s">
        <v>666</v>
      </c>
      <c r="D50" s="1">
        <v>33.380099999999999</v>
      </c>
      <c r="E50" s="1">
        <v>-86.165899999999993</v>
      </c>
      <c r="F50" s="1" t="s">
        <v>1922</v>
      </c>
      <c r="G50" s="22">
        <v>1436.9590731348167</v>
      </c>
      <c r="H50" s="20">
        <f ca="1">NOW() - TIME(5,30,0) + (VLOOKUP(MasterTable[[#This Row],[TimeZone]], $O$3:$P$8, 2, FALSE) / 24)</f>
        <v>45990.531878125003</v>
      </c>
      <c r="I50" s="1" t="s">
        <v>1944</v>
      </c>
      <c r="J50" s="1">
        <v>760.25</v>
      </c>
    </row>
    <row r="51" spans="1:10" x14ac:dyDescent="0.25">
      <c r="A51" s="1" t="s">
        <v>152</v>
      </c>
      <c r="B51" s="1" t="s">
        <v>153</v>
      </c>
      <c r="C51" s="1" t="s">
        <v>133</v>
      </c>
      <c r="D51" s="1">
        <v>34.459800000000001</v>
      </c>
      <c r="E51" s="1">
        <v>-85.804100000000005</v>
      </c>
      <c r="F51" s="1" t="s">
        <v>1922</v>
      </c>
      <c r="G51" s="22">
        <v>1454.6738941957701</v>
      </c>
      <c r="H51" s="20">
        <f ca="1">NOW() - TIME(5,30,0) + (VLOOKUP(MasterTable[[#This Row],[TimeZone]], $O$3:$P$8, 2, FALSE) / 24)</f>
        <v>45990.531878125003</v>
      </c>
      <c r="I51" s="1" t="s">
        <v>1944</v>
      </c>
      <c r="J51" s="1">
        <v>778.65</v>
      </c>
    </row>
    <row r="52" spans="1:10" x14ac:dyDescent="0.25">
      <c r="A52" s="1" t="s">
        <v>152</v>
      </c>
      <c r="B52" s="1" t="s">
        <v>153</v>
      </c>
      <c r="C52" s="1" t="s">
        <v>678</v>
      </c>
      <c r="D52" s="1">
        <v>33.8033</v>
      </c>
      <c r="E52" s="1">
        <v>-87.297300000000007</v>
      </c>
      <c r="F52" s="1" t="s">
        <v>1922</v>
      </c>
      <c r="G52" s="22">
        <v>1370.4731000495144</v>
      </c>
      <c r="H52" s="20">
        <f ca="1">NOW() - TIME(5,30,0) + (VLOOKUP(MasterTable[[#This Row],[TimeZone]], $O$3:$P$8, 2, FALSE) / 24)</f>
        <v>45990.531878125003</v>
      </c>
      <c r="I52" s="1" t="s">
        <v>1944</v>
      </c>
      <c r="J52" s="1">
        <v>805.3</v>
      </c>
    </row>
    <row r="53" spans="1:10" x14ac:dyDescent="0.25">
      <c r="A53" s="1" t="s">
        <v>152</v>
      </c>
      <c r="B53" s="1" t="s">
        <v>153</v>
      </c>
      <c r="C53" s="1" t="s">
        <v>488</v>
      </c>
      <c r="D53" s="1">
        <v>33.980899999999998</v>
      </c>
      <c r="E53" s="1">
        <v>-86.567400000000006</v>
      </c>
      <c r="F53" s="1" t="s">
        <v>1922</v>
      </c>
      <c r="G53" s="22">
        <v>1411.899875083722</v>
      </c>
      <c r="H53" s="20">
        <f ca="1">NOW() - TIME(5,30,0) + (VLOOKUP(MasterTable[[#This Row],[TimeZone]], $O$3:$P$8, 2, FALSE) / 24)</f>
        <v>45990.531878125003</v>
      </c>
      <c r="I53" s="1" t="s">
        <v>1944</v>
      </c>
      <c r="J53" s="1">
        <v>650.6</v>
      </c>
    </row>
    <row r="54" spans="1:10" x14ac:dyDescent="0.25">
      <c r="A54" s="1" t="s">
        <v>152</v>
      </c>
      <c r="B54" s="1" t="s">
        <v>153</v>
      </c>
      <c r="C54" s="1" t="s">
        <v>786</v>
      </c>
      <c r="D54" s="1">
        <v>32.5349</v>
      </c>
      <c r="E54" s="1">
        <v>-86.642700000000005</v>
      </c>
      <c r="F54" s="1" t="s">
        <v>1922</v>
      </c>
      <c r="G54" s="22">
        <v>1414.1647985239292</v>
      </c>
      <c r="H54" s="20">
        <f ca="1">NOW() - TIME(5,30,0) + (VLOOKUP(MasterTable[[#This Row],[TimeZone]], $O$3:$P$8, 2, FALSE) / 24)</f>
        <v>45990.531878125003</v>
      </c>
      <c r="I54" s="1" t="s">
        <v>1944</v>
      </c>
      <c r="J54" s="1">
        <v>604.45000000000005</v>
      </c>
    </row>
    <row r="55" spans="1:10" x14ac:dyDescent="0.25">
      <c r="A55" s="1" t="s">
        <v>152</v>
      </c>
      <c r="B55" s="1" t="s">
        <v>153</v>
      </c>
      <c r="C55" s="1" t="s">
        <v>789</v>
      </c>
      <c r="D55" s="1">
        <v>32.288400000000003</v>
      </c>
      <c r="E55" s="1">
        <v>-85.184899999999999</v>
      </c>
      <c r="F55" s="1" t="s">
        <v>1922</v>
      </c>
      <c r="G55" s="22">
        <v>1500.5511581963526</v>
      </c>
      <c r="H55" s="20">
        <f ca="1">NOW() - TIME(5,30,0) + (VLOOKUP(MasterTable[[#This Row],[TimeZone]], $O$3:$P$8, 2, FALSE) / 24)</f>
        <v>45990.531878125003</v>
      </c>
      <c r="I55" s="1" t="s">
        <v>1944</v>
      </c>
      <c r="J55" s="1">
        <v>647.38</v>
      </c>
    </row>
    <row r="56" spans="1:10" x14ac:dyDescent="0.25">
      <c r="A56" s="1" t="s">
        <v>152</v>
      </c>
      <c r="B56" s="1" t="s">
        <v>153</v>
      </c>
      <c r="C56" s="1" t="s">
        <v>797</v>
      </c>
      <c r="D56" s="1">
        <v>34.700499999999998</v>
      </c>
      <c r="E56" s="1">
        <v>-87.804900000000004</v>
      </c>
      <c r="F56" s="1" t="s">
        <v>1922</v>
      </c>
      <c r="G56" s="22">
        <v>1340.8177320514535</v>
      </c>
      <c r="H56" s="20">
        <f ca="1">NOW() - TIME(5,30,0) + (VLOOKUP(MasterTable[[#This Row],[TimeZone]], $O$3:$P$8, 2, FALSE) / 24)</f>
        <v>45990.531878125003</v>
      </c>
      <c r="I56" s="1" t="s">
        <v>1944</v>
      </c>
      <c r="J56" s="1">
        <v>623.61</v>
      </c>
    </row>
    <row r="57" spans="1:10" x14ac:dyDescent="0.25">
      <c r="A57" s="1" t="s">
        <v>152</v>
      </c>
      <c r="B57" s="1" t="s">
        <v>153</v>
      </c>
      <c r="C57" s="1" t="s">
        <v>788</v>
      </c>
      <c r="D57" s="1">
        <v>31.402699999999999</v>
      </c>
      <c r="E57" s="1">
        <v>-85.988200000000006</v>
      </c>
      <c r="F57" s="1" t="s">
        <v>1922</v>
      </c>
      <c r="G57" s="22">
        <v>1462.1359684779759</v>
      </c>
      <c r="H57" s="20">
        <f ca="1">NOW() - TIME(5,30,0) + (VLOOKUP(MasterTable[[#This Row],[TimeZone]], $O$3:$P$8, 2, FALSE) / 24)</f>
        <v>45990.531878125003</v>
      </c>
      <c r="I57" s="1" t="s">
        <v>1944</v>
      </c>
      <c r="J57" s="1">
        <v>680.48</v>
      </c>
    </row>
    <row r="58" spans="1:10" x14ac:dyDescent="0.25">
      <c r="A58" s="1" t="s">
        <v>152</v>
      </c>
      <c r="B58" s="1" t="s">
        <v>153</v>
      </c>
      <c r="C58" s="1" t="s">
        <v>140</v>
      </c>
      <c r="D58" s="1">
        <v>34.779499999999999</v>
      </c>
      <c r="E58" s="1">
        <v>-85.999300000000005</v>
      </c>
      <c r="F58" s="1" t="s">
        <v>1922</v>
      </c>
      <c r="G58" s="22">
        <v>1443.3726111627204</v>
      </c>
      <c r="H58" s="20">
        <f ca="1">NOW() - TIME(5,30,0) + (VLOOKUP(MasterTable[[#This Row],[TimeZone]], $O$3:$P$8, 2, FALSE) / 24)</f>
        <v>45990.531878125003</v>
      </c>
      <c r="I58" s="1" t="s">
        <v>1944</v>
      </c>
      <c r="J58" s="1">
        <v>1126.77</v>
      </c>
    </row>
    <row r="59" spans="1:10" x14ac:dyDescent="0.25">
      <c r="A59" s="1" t="s">
        <v>152</v>
      </c>
      <c r="B59" s="1" t="s">
        <v>153</v>
      </c>
      <c r="C59" s="1" t="s">
        <v>846</v>
      </c>
      <c r="D59" s="1">
        <v>31.431799999999999</v>
      </c>
      <c r="E59" s="1">
        <v>-85.611000000000004</v>
      </c>
      <c r="F59" s="1" t="s">
        <v>1922</v>
      </c>
      <c r="G59" s="22">
        <v>1483.8067010459372</v>
      </c>
      <c r="H59" s="20">
        <f ca="1">NOW() - TIME(5,30,0) + (VLOOKUP(MasterTable[[#This Row],[TimeZone]], $O$3:$P$8, 2, FALSE) / 24)</f>
        <v>45990.531878125003</v>
      </c>
      <c r="I59" s="1" t="s">
        <v>1944</v>
      </c>
      <c r="J59" s="1">
        <v>562.66999999999996</v>
      </c>
    </row>
    <row r="60" spans="1:10" x14ac:dyDescent="0.25">
      <c r="A60" s="1" t="s">
        <v>152</v>
      </c>
      <c r="B60" s="1" t="s">
        <v>153</v>
      </c>
      <c r="C60" s="1" t="s">
        <v>885</v>
      </c>
      <c r="D60" s="1">
        <v>32.847900000000003</v>
      </c>
      <c r="E60" s="1">
        <v>-86.718800000000002</v>
      </c>
      <c r="F60" s="1" t="s">
        <v>1922</v>
      </c>
      <c r="G60" s="22">
        <v>1407.7680898485035</v>
      </c>
      <c r="H60" s="20">
        <f ca="1">NOW() - TIME(5,30,0) + (VLOOKUP(MasterTable[[#This Row],[TimeZone]], $O$3:$P$8, 2, FALSE) / 24)</f>
        <v>45990.531878125003</v>
      </c>
      <c r="I60" s="1" t="s">
        <v>1944</v>
      </c>
      <c r="J60" s="1">
        <v>700.76</v>
      </c>
    </row>
    <row r="61" spans="1:10" x14ac:dyDescent="0.25">
      <c r="A61" s="1" t="s">
        <v>152</v>
      </c>
      <c r="B61" s="1" t="s">
        <v>153</v>
      </c>
      <c r="C61" s="1" t="s">
        <v>938</v>
      </c>
      <c r="D61" s="1">
        <v>32.862400000000001</v>
      </c>
      <c r="E61" s="1">
        <v>-85.797499999999999</v>
      </c>
      <c r="F61" s="1" t="s">
        <v>1922</v>
      </c>
      <c r="G61" s="22">
        <v>1460.9551118330915</v>
      </c>
      <c r="H61" s="20">
        <f ca="1">NOW() - TIME(5,30,0) + (VLOOKUP(MasterTable[[#This Row],[TimeZone]], $O$3:$P$8, 2, FALSE) / 24)</f>
        <v>45990.531878125003</v>
      </c>
      <c r="I61" s="1" t="s">
        <v>1944</v>
      </c>
      <c r="J61" s="1">
        <v>766.23</v>
      </c>
    </row>
    <row r="62" spans="1:10" x14ac:dyDescent="0.25">
      <c r="A62" s="1" t="s">
        <v>152</v>
      </c>
      <c r="B62" s="1" t="s">
        <v>153</v>
      </c>
      <c r="C62" s="1" t="s">
        <v>979</v>
      </c>
      <c r="D62" s="1">
        <v>31.2485</v>
      </c>
      <c r="E62" s="1">
        <v>-86.451300000000003</v>
      </c>
      <c r="F62" s="1" t="s">
        <v>1922</v>
      </c>
      <c r="G62" s="22">
        <v>1436.8008271769397</v>
      </c>
      <c r="H62" s="20">
        <f ca="1">NOW() - TIME(5,30,0) + (VLOOKUP(MasterTable[[#This Row],[TimeZone]], $O$3:$P$8, 2, FALSE) / 24)</f>
        <v>45990.531878125003</v>
      </c>
      <c r="I62" s="1" t="s">
        <v>1944</v>
      </c>
      <c r="J62" s="1">
        <v>1043.8599999999999</v>
      </c>
    </row>
    <row r="63" spans="1:10" x14ac:dyDescent="0.25">
      <c r="A63" s="1" t="s">
        <v>152</v>
      </c>
      <c r="B63" s="1" t="s">
        <v>153</v>
      </c>
      <c r="C63" s="1" t="s">
        <v>20</v>
      </c>
      <c r="D63" s="1">
        <v>32.326000000000001</v>
      </c>
      <c r="E63" s="1">
        <v>-87.106499999999997</v>
      </c>
      <c r="F63" s="1" t="s">
        <v>1922</v>
      </c>
      <c r="G63" s="22">
        <v>1388.7484604680515</v>
      </c>
      <c r="H63" s="20">
        <f ca="1">NOW() - TIME(5,30,0) + (VLOOKUP(MasterTable[[#This Row],[TimeZone]], $O$3:$P$8, 2, FALSE) / 24)</f>
        <v>45990.531878125003</v>
      </c>
      <c r="I63" s="1" t="s">
        <v>1944</v>
      </c>
      <c r="J63" s="1">
        <v>993.37</v>
      </c>
    </row>
    <row r="64" spans="1:10" x14ac:dyDescent="0.25">
      <c r="A64" s="1" t="s">
        <v>152</v>
      </c>
      <c r="B64" s="1" t="s">
        <v>153</v>
      </c>
      <c r="C64" s="1" t="s">
        <v>278</v>
      </c>
      <c r="D64" s="1">
        <v>31.126100000000001</v>
      </c>
      <c r="E64" s="1">
        <v>-87.161500000000004</v>
      </c>
      <c r="F64" s="1" t="s">
        <v>1922</v>
      </c>
      <c r="G64" s="22">
        <v>1396.7254512050035</v>
      </c>
      <c r="H64" s="20">
        <f ca="1">NOW() - TIME(5,30,0) + (VLOOKUP(MasterTable[[#This Row],[TimeZone]], $O$3:$P$8, 2, FALSE) / 24)</f>
        <v>45990.531878125003</v>
      </c>
      <c r="I64" s="1" t="s">
        <v>1944</v>
      </c>
      <c r="J64" s="1">
        <v>952.95</v>
      </c>
    </row>
    <row r="65" spans="1:10" x14ac:dyDescent="0.25">
      <c r="A65" s="1" t="s">
        <v>152</v>
      </c>
      <c r="B65" s="1" t="s">
        <v>153</v>
      </c>
      <c r="C65" s="1" t="s">
        <v>849</v>
      </c>
      <c r="D65" s="1">
        <v>32.914299999999997</v>
      </c>
      <c r="E65" s="1">
        <v>-85.391999999999996</v>
      </c>
      <c r="F65" s="1" t="s">
        <v>1922</v>
      </c>
      <c r="G65" s="22">
        <v>1484.0680209070665</v>
      </c>
      <c r="H65" s="20">
        <f ca="1">NOW() - TIME(5,30,0) + (VLOOKUP(MasterTable[[#This Row],[TimeZone]], $O$3:$P$8, 2, FALSE) / 24)</f>
        <v>45990.531878125003</v>
      </c>
      <c r="I65" s="1" t="s">
        <v>1944</v>
      </c>
      <c r="J65" s="1">
        <v>603.11</v>
      </c>
    </row>
    <row r="66" spans="1:10" x14ac:dyDescent="0.25">
      <c r="A66" s="1" t="s">
        <v>152</v>
      </c>
      <c r="B66" s="1" t="s">
        <v>153</v>
      </c>
      <c r="C66" s="1" t="s">
        <v>644</v>
      </c>
      <c r="D66" s="1">
        <v>34.521700000000003</v>
      </c>
      <c r="E66" s="1">
        <v>-87.311000000000007</v>
      </c>
      <c r="F66" s="1" t="s">
        <v>1922</v>
      </c>
      <c r="G66" s="22">
        <v>1368.8205196670579</v>
      </c>
      <c r="H66" s="20">
        <f ca="1">NOW() - TIME(5,30,0) + (VLOOKUP(MasterTable[[#This Row],[TimeZone]], $O$3:$P$8, 2, FALSE) / 24)</f>
        <v>45990.531878125003</v>
      </c>
      <c r="I66" s="1" t="s">
        <v>1944</v>
      </c>
      <c r="J66" s="1">
        <v>718.07</v>
      </c>
    </row>
    <row r="67" spans="1:10" x14ac:dyDescent="0.25">
      <c r="A67" s="1" t="s">
        <v>152</v>
      </c>
      <c r="B67" s="1" t="s">
        <v>153</v>
      </c>
      <c r="C67" s="1" t="s">
        <v>783</v>
      </c>
      <c r="D67" s="1">
        <v>31.802700000000002</v>
      </c>
      <c r="E67" s="1">
        <v>-85.940899999999999</v>
      </c>
      <c r="F67" s="1" t="s">
        <v>1922</v>
      </c>
      <c r="G67" s="22">
        <v>1460.8906515479061</v>
      </c>
      <c r="H67" s="20">
        <f ca="1">NOW() - TIME(5,30,0) + (VLOOKUP(MasterTable[[#This Row],[TimeZone]], $O$3:$P$8, 2, FALSE) / 24)</f>
        <v>45990.531878125003</v>
      </c>
      <c r="I67" s="1" t="s">
        <v>1944</v>
      </c>
      <c r="J67" s="1">
        <v>672.1</v>
      </c>
    </row>
    <row r="68" spans="1:10" x14ac:dyDescent="0.25">
      <c r="A68" s="1" t="s">
        <v>152</v>
      </c>
      <c r="B68" s="1" t="s">
        <v>153</v>
      </c>
      <c r="C68" s="1" t="s">
        <v>50</v>
      </c>
      <c r="D68" s="1">
        <v>34.441699999999997</v>
      </c>
      <c r="E68" s="1">
        <v>-87.843699999999998</v>
      </c>
      <c r="F68" s="1" t="s">
        <v>1922</v>
      </c>
      <c r="G68" s="22">
        <v>1338.4757371781429</v>
      </c>
      <c r="H68" s="20">
        <f ca="1">NOW() - TIME(5,30,0) + (VLOOKUP(MasterTable[[#This Row],[TimeZone]], $O$3:$P$8, 2, FALSE) / 24)</f>
        <v>45990.531878125003</v>
      </c>
      <c r="I68" s="1" t="s">
        <v>1944</v>
      </c>
      <c r="J68" s="1">
        <v>646.51</v>
      </c>
    </row>
    <row r="69" spans="1:10" x14ac:dyDescent="0.25">
      <c r="A69" s="1" t="s">
        <v>152</v>
      </c>
      <c r="B69" s="1" t="s">
        <v>153</v>
      </c>
      <c r="C69" s="1" t="s">
        <v>88</v>
      </c>
      <c r="D69" s="1">
        <v>34.136600000000001</v>
      </c>
      <c r="E69" s="1">
        <v>-87.887100000000004</v>
      </c>
      <c r="F69" s="1" t="s">
        <v>1922</v>
      </c>
      <c r="G69" s="22">
        <v>1336.1261168554313</v>
      </c>
      <c r="H69" s="20">
        <f ca="1">NOW() - TIME(5,30,0) + (VLOOKUP(MasterTable[[#This Row],[TimeZone]], $O$3:$P$8, 2, FALSE) / 24)</f>
        <v>45990.531878125003</v>
      </c>
      <c r="I69" s="1" t="s">
        <v>1944</v>
      </c>
      <c r="J69" s="1">
        <v>743.57</v>
      </c>
    </row>
    <row r="70" spans="1:10" x14ac:dyDescent="0.25">
      <c r="A70" s="1" t="s">
        <v>152</v>
      </c>
      <c r="B70" s="1" t="s">
        <v>153</v>
      </c>
      <c r="C70" s="1" t="s">
        <v>1134</v>
      </c>
      <c r="D70" s="1">
        <v>31.094999999999999</v>
      </c>
      <c r="E70" s="1">
        <v>-85.839100000000002</v>
      </c>
      <c r="F70" s="1" t="s">
        <v>1922</v>
      </c>
      <c r="G70" s="22">
        <v>1474.2402599428806</v>
      </c>
      <c r="H70" s="20">
        <f ca="1">NOW() - TIME(5,30,0) + (VLOOKUP(MasterTable[[#This Row],[TimeZone]], $O$3:$P$8, 2, FALSE) / 24)</f>
        <v>45990.531878125003</v>
      </c>
      <c r="I70" s="1" t="s">
        <v>1944</v>
      </c>
      <c r="J70" s="1">
        <v>578.9</v>
      </c>
    </row>
    <row r="71" spans="1:10" x14ac:dyDescent="0.25">
      <c r="A71" s="1" t="s">
        <v>152</v>
      </c>
      <c r="B71" s="1" t="s">
        <v>153</v>
      </c>
      <c r="C71" s="1" t="s">
        <v>313</v>
      </c>
      <c r="D71" s="1">
        <v>34.175899999999999</v>
      </c>
      <c r="E71" s="1">
        <v>-85.603800000000007</v>
      </c>
      <c r="F71" s="1" t="s">
        <v>1922</v>
      </c>
      <c r="G71" s="22">
        <v>1466.5850372383404</v>
      </c>
      <c r="H71" s="20">
        <f ca="1">NOW() - TIME(5,30,0) + (VLOOKUP(MasterTable[[#This Row],[TimeZone]], $O$3:$P$8, 2, FALSE) / 24)</f>
        <v>45990.531878125003</v>
      </c>
      <c r="I71" s="1" t="s">
        <v>1944</v>
      </c>
      <c r="J71" s="1">
        <v>599.95000000000005</v>
      </c>
    </row>
    <row r="72" spans="1:10" x14ac:dyDescent="0.25">
      <c r="A72" s="1" t="s">
        <v>152</v>
      </c>
      <c r="B72" s="1" t="s">
        <v>153</v>
      </c>
      <c r="C72" s="1" t="s">
        <v>1178</v>
      </c>
      <c r="D72" s="1">
        <v>31.869599999999998</v>
      </c>
      <c r="E72" s="1">
        <v>-85.393199999999993</v>
      </c>
      <c r="F72" s="1" t="s">
        <v>1922</v>
      </c>
      <c r="G72" s="22">
        <v>1492.1184330135352</v>
      </c>
      <c r="H72" s="20">
        <f ca="1">NOW() - TIME(5,30,0) + (VLOOKUP(MasterTable[[#This Row],[TimeZone]], $O$3:$P$8, 2, FALSE) / 24)</f>
        <v>45990.531878125003</v>
      </c>
      <c r="I72" s="1" t="s">
        <v>1944</v>
      </c>
      <c r="J72" s="1">
        <v>904.52</v>
      </c>
    </row>
    <row r="73" spans="1:10" x14ac:dyDescent="0.25">
      <c r="A73" s="1" t="s">
        <v>152</v>
      </c>
      <c r="B73" s="1" t="s">
        <v>153</v>
      </c>
      <c r="C73" s="1" t="s">
        <v>1195</v>
      </c>
      <c r="D73" s="1">
        <v>34.1492</v>
      </c>
      <c r="E73" s="1">
        <v>-87.373699999999999</v>
      </c>
      <c r="F73" s="1" t="s">
        <v>1922</v>
      </c>
      <c r="G73" s="22">
        <v>1365.4693743418825</v>
      </c>
      <c r="H73" s="20">
        <f ca="1">NOW() - TIME(5,30,0) + (VLOOKUP(MasterTable[[#This Row],[TimeZone]], $O$3:$P$8, 2, FALSE) / 24)</f>
        <v>45990.531878125003</v>
      </c>
      <c r="I73" s="1" t="s">
        <v>1944</v>
      </c>
      <c r="J73" s="1">
        <v>631.86</v>
      </c>
    </row>
    <row r="74" spans="1:10" x14ac:dyDescent="0.25">
      <c r="A74" s="1" t="s">
        <v>152</v>
      </c>
      <c r="B74" s="1" t="s">
        <v>153</v>
      </c>
      <c r="C74" s="1" t="s">
        <v>508</v>
      </c>
      <c r="D74" s="1">
        <v>31.6767</v>
      </c>
      <c r="E74" s="1">
        <v>-87.830799999999996</v>
      </c>
      <c r="F74" s="1" t="s">
        <v>1922</v>
      </c>
      <c r="G74" s="22">
        <v>1352.0303184600582</v>
      </c>
      <c r="H74" s="20">
        <f ca="1">NOW() - TIME(5,30,0) + (VLOOKUP(MasterTable[[#This Row],[TimeZone]], $O$3:$P$8, 2, FALSE) / 24)</f>
        <v>45990.531878125003</v>
      </c>
      <c r="I74" s="1" t="s">
        <v>1944</v>
      </c>
      <c r="J74" s="1">
        <v>1252.51</v>
      </c>
    </row>
    <row r="75" spans="1:10" x14ac:dyDescent="0.25">
      <c r="A75" s="1" t="s">
        <v>152</v>
      </c>
      <c r="B75" s="1" t="s">
        <v>153</v>
      </c>
      <c r="C75" s="1" t="s">
        <v>477</v>
      </c>
      <c r="D75" s="1">
        <v>33.293799999999997</v>
      </c>
      <c r="E75" s="1">
        <v>-85.459100000000007</v>
      </c>
      <c r="F75" s="1" t="s">
        <v>1922</v>
      </c>
      <c r="G75" s="22">
        <v>1478.0720803728132</v>
      </c>
      <c r="H75" s="20">
        <f ca="1">NOW() - TIME(5,30,0) + (VLOOKUP(MasterTable[[#This Row],[TimeZone]], $O$3:$P$8, 2, FALSE) / 24)</f>
        <v>45990.531878125003</v>
      </c>
      <c r="I75" s="1" t="s">
        <v>1944</v>
      </c>
      <c r="J75" s="1">
        <v>584.11</v>
      </c>
    </row>
    <row r="76" spans="1:10" x14ac:dyDescent="0.25">
      <c r="A76" s="1" t="s">
        <v>152</v>
      </c>
      <c r="B76" s="1" t="s">
        <v>153</v>
      </c>
      <c r="C76" s="1" t="s">
        <v>467</v>
      </c>
      <c r="D76" s="1">
        <v>32.998600000000003</v>
      </c>
      <c r="E76" s="1">
        <v>-87.126499999999993</v>
      </c>
      <c r="F76" s="1" t="s">
        <v>1922</v>
      </c>
      <c r="G76" s="22">
        <v>1383.3666899984535</v>
      </c>
      <c r="H76" s="20">
        <f ca="1">NOW() - TIME(5,30,0) + (VLOOKUP(MasterTable[[#This Row],[TimeZone]], $O$3:$P$8, 2, FALSE) / 24)</f>
        <v>45990.531878125003</v>
      </c>
      <c r="I76" s="1" t="s">
        <v>1944</v>
      </c>
      <c r="J76" s="1">
        <v>626.16</v>
      </c>
    </row>
    <row r="77" spans="1:10" x14ac:dyDescent="0.25">
      <c r="A77" s="1" t="s">
        <v>152</v>
      </c>
      <c r="B77" s="1" t="s">
        <v>153</v>
      </c>
      <c r="C77" s="1" t="s">
        <v>135</v>
      </c>
      <c r="D77" s="1">
        <v>31.570900000000002</v>
      </c>
      <c r="E77" s="1">
        <v>-87.365399999999994</v>
      </c>
      <c r="F77" s="1" t="s">
        <v>1922</v>
      </c>
      <c r="G77" s="22">
        <v>1380.1601378468263</v>
      </c>
      <c r="H77" s="20">
        <f ca="1">NOW() - TIME(5,30,0) + (VLOOKUP(MasterTable[[#This Row],[TimeZone]], $O$3:$P$8, 2, FALSE) / 24)</f>
        <v>45990.531878125003</v>
      </c>
      <c r="I77" s="1" t="s">
        <v>1944</v>
      </c>
      <c r="J77" s="1">
        <v>1034.53</v>
      </c>
    </row>
    <row r="78" spans="1:10" x14ac:dyDescent="0.25">
      <c r="A78" s="1" t="s">
        <v>152</v>
      </c>
      <c r="B78" s="1" t="s">
        <v>153</v>
      </c>
      <c r="C78" s="1" t="s">
        <v>1296</v>
      </c>
      <c r="D78" s="1">
        <v>32.247700000000002</v>
      </c>
      <c r="E78" s="1">
        <v>-87.789500000000004</v>
      </c>
      <c r="F78" s="1" t="s">
        <v>1922</v>
      </c>
      <c r="G78" s="22">
        <v>1349.6598200685607</v>
      </c>
      <c r="H78" s="20">
        <f ca="1">NOW() - TIME(5,30,0) + (VLOOKUP(MasterTable[[#This Row],[TimeZone]], $O$3:$P$8, 2, FALSE) / 24)</f>
        <v>45990.531878125003</v>
      </c>
      <c r="I78" s="1" t="s">
        <v>1944</v>
      </c>
      <c r="J78" s="1">
        <v>982.85</v>
      </c>
    </row>
    <row r="79" spans="1:10" x14ac:dyDescent="0.25">
      <c r="A79" s="1" t="s">
        <v>152</v>
      </c>
      <c r="B79" s="1" t="s">
        <v>153</v>
      </c>
      <c r="C79" s="1" t="s">
        <v>583</v>
      </c>
      <c r="D79" s="1">
        <v>32.385899999999999</v>
      </c>
      <c r="E79" s="1">
        <v>-85.692700000000002</v>
      </c>
      <c r="F79" s="1" t="s">
        <v>1922</v>
      </c>
      <c r="G79" s="22">
        <v>1470.3280685316092</v>
      </c>
      <c r="H79" s="20">
        <f ca="1">NOW() - TIME(5,30,0) + (VLOOKUP(MasterTable[[#This Row],[TimeZone]], $O$3:$P$8, 2, FALSE) / 24)</f>
        <v>45990.531878125003</v>
      </c>
      <c r="I79" s="1" t="s">
        <v>1944</v>
      </c>
      <c r="J79" s="1">
        <v>613.24</v>
      </c>
    </row>
    <row r="80" spans="1:10" x14ac:dyDescent="0.25">
      <c r="A80" s="1" t="s">
        <v>152</v>
      </c>
      <c r="B80" s="1" t="s">
        <v>153</v>
      </c>
      <c r="C80" s="1" t="s">
        <v>499</v>
      </c>
      <c r="D80" s="1">
        <v>33.280799999999999</v>
      </c>
      <c r="E80" s="1">
        <v>-88.088700000000003</v>
      </c>
      <c r="F80" s="1" t="s">
        <v>1922</v>
      </c>
      <c r="G80" s="22">
        <v>1326.5505053585357</v>
      </c>
      <c r="H80" s="20">
        <f ca="1">NOW() - TIME(5,30,0) + (VLOOKUP(MasterTable[[#This Row],[TimeZone]], $O$3:$P$8, 2, FALSE) / 24)</f>
        <v>45990.531878125003</v>
      </c>
      <c r="I80" s="1" t="s">
        <v>1944</v>
      </c>
      <c r="J80" s="1">
        <v>890.05</v>
      </c>
    </row>
    <row r="81" spans="1:10" x14ac:dyDescent="0.25">
      <c r="A81" s="1" t="s">
        <v>152</v>
      </c>
      <c r="B81" s="1" t="s">
        <v>153</v>
      </c>
      <c r="C81" s="1" t="s">
        <v>245</v>
      </c>
      <c r="D81" s="1">
        <v>31.752400000000002</v>
      </c>
      <c r="E81" s="1">
        <v>-86.680300000000003</v>
      </c>
      <c r="F81" s="1" t="s">
        <v>1922</v>
      </c>
      <c r="G81" s="22">
        <v>1418.3312736910948</v>
      </c>
      <c r="H81" s="20">
        <f ca="1">NOW() - TIME(5,30,0) + (VLOOKUP(MasterTable[[#This Row],[TimeZone]], $O$3:$P$8, 2, FALSE) / 24)</f>
        <v>45990.531878125003</v>
      </c>
      <c r="I81" s="1" t="s">
        <v>1944</v>
      </c>
      <c r="J81" s="1">
        <v>777.92</v>
      </c>
    </row>
    <row r="82" spans="1:10" x14ac:dyDescent="0.25">
      <c r="A82" s="1" t="s">
        <v>152</v>
      </c>
      <c r="B82" s="1" t="s">
        <v>153</v>
      </c>
      <c r="C82" s="1" t="s">
        <v>332</v>
      </c>
      <c r="D82" s="1">
        <v>31.514700000000001</v>
      </c>
      <c r="E82" s="1">
        <v>-85.241399999999999</v>
      </c>
      <c r="F82" s="1" t="s">
        <v>1922</v>
      </c>
      <c r="G82" s="22">
        <v>1504.4623037874719</v>
      </c>
      <c r="H82" s="20">
        <f ca="1">NOW() - TIME(5,30,0) + (VLOOKUP(MasterTable[[#This Row],[TimeZone]], $O$3:$P$8, 2, FALSE) / 24)</f>
        <v>45990.531878125003</v>
      </c>
      <c r="I82" s="1" t="s">
        <v>1944</v>
      </c>
      <c r="J82" s="1">
        <v>568.33000000000004</v>
      </c>
    </row>
    <row r="83" spans="1:10" x14ac:dyDescent="0.25">
      <c r="A83" s="1" t="s">
        <v>152</v>
      </c>
      <c r="B83" s="1" t="s">
        <v>153</v>
      </c>
      <c r="C83" s="1" t="s">
        <v>279</v>
      </c>
      <c r="D83" s="1">
        <v>33.721200000000003</v>
      </c>
      <c r="E83" s="1">
        <v>-87.738799999999998</v>
      </c>
      <c r="F83" s="1" t="s">
        <v>1922</v>
      </c>
      <c r="G83" s="22">
        <v>1345.3263445833684</v>
      </c>
      <c r="H83" s="20">
        <f ca="1">NOW() - TIME(5,30,0) + (VLOOKUP(MasterTable[[#This Row],[TimeZone]], $O$3:$P$8, 2, FALSE) / 24)</f>
        <v>45990.531878125003</v>
      </c>
      <c r="I83" s="1" t="s">
        <v>1944</v>
      </c>
      <c r="J83" s="1">
        <v>629.34</v>
      </c>
    </row>
    <row r="84" spans="1:10" x14ac:dyDescent="0.25">
      <c r="A84" s="1" t="s">
        <v>152</v>
      </c>
      <c r="B84" s="1" t="s">
        <v>153</v>
      </c>
      <c r="C84" s="1" t="s">
        <v>28</v>
      </c>
      <c r="D84" s="1">
        <v>31.407599999999999</v>
      </c>
      <c r="E84" s="1">
        <v>-88.207899999999995</v>
      </c>
      <c r="F84" s="1" t="s">
        <v>1922</v>
      </c>
      <c r="G84" s="22">
        <v>1332.6587393454724</v>
      </c>
      <c r="H84" s="20">
        <f ca="1">NOW() - TIME(5,30,0) + (VLOOKUP(MasterTable[[#This Row],[TimeZone]], $O$3:$P$8, 2, FALSE) / 24)</f>
        <v>45990.531878125003</v>
      </c>
      <c r="I84" s="1" t="s">
        <v>1944</v>
      </c>
      <c r="J84" s="1">
        <v>1088.54</v>
      </c>
    </row>
    <row r="85" spans="1:10" x14ac:dyDescent="0.25">
      <c r="A85" s="1" t="s">
        <v>152</v>
      </c>
      <c r="B85" s="1" t="s">
        <v>153</v>
      </c>
      <c r="C85" s="1" t="s">
        <v>1169</v>
      </c>
      <c r="D85" s="1">
        <v>33.674500000000002</v>
      </c>
      <c r="E85" s="1">
        <v>-85.518799999999999</v>
      </c>
      <c r="F85" s="1" t="s">
        <v>1922</v>
      </c>
      <c r="G85" s="22">
        <v>1472.9615262546938</v>
      </c>
      <c r="H85" s="20">
        <f ca="1">NOW() - TIME(5,30,0) + (VLOOKUP(MasterTable[[#This Row],[TimeZone]], $O$3:$P$8, 2, FALSE) / 24)</f>
        <v>45990.531878125003</v>
      </c>
      <c r="I85" s="1" t="s">
        <v>1944</v>
      </c>
      <c r="J85" s="1">
        <v>561.02</v>
      </c>
    </row>
    <row r="86" spans="1:10" x14ac:dyDescent="0.25">
      <c r="A86" s="1" t="s">
        <v>152</v>
      </c>
      <c r="B86" s="1" t="s">
        <v>153</v>
      </c>
      <c r="C86" s="1" t="s">
        <v>1043</v>
      </c>
      <c r="D86" s="1">
        <v>32.762700000000002</v>
      </c>
      <c r="E86" s="1">
        <v>-87.629099999999994</v>
      </c>
      <c r="F86" s="1" t="s">
        <v>1922</v>
      </c>
      <c r="G86" s="22">
        <v>1355.5789150401331</v>
      </c>
      <c r="H86" s="20">
        <f ca="1">NOW() - TIME(5,30,0) + (VLOOKUP(MasterTable[[#This Row],[TimeZone]], $O$3:$P$8, 2, FALSE) / 24)</f>
        <v>45990.531878125003</v>
      </c>
      <c r="I86" s="1" t="s">
        <v>1944</v>
      </c>
      <c r="J86" s="1">
        <v>656.47</v>
      </c>
    </row>
    <row r="87" spans="1:10" x14ac:dyDescent="0.25">
      <c r="A87" s="1" t="s">
        <v>152</v>
      </c>
      <c r="B87" s="1" t="s">
        <v>153</v>
      </c>
      <c r="C87" s="1" t="s">
        <v>327</v>
      </c>
      <c r="D87" s="1">
        <v>33.268999999999998</v>
      </c>
      <c r="E87" s="1">
        <v>-85.860500000000002</v>
      </c>
      <c r="F87" s="1" t="s">
        <v>1922</v>
      </c>
      <c r="G87" s="22">
        <v>1455.0675703086206</v>
      </c>
      <c r="H87" s="20">
        <f ca="1">NOW() - TIME(5,30,0) + (VLOOKUP(MasterTable[[#This Row],[TimeZone]], $O$3:$P$8, 2, FALSE) / 24)</f>
        <v>45990.531878125003</v>
      </c>
      <c r="I87" s="1" t="s">
        <v>1944</v>
      </c>
      <c r="J87" s="1">
        <v>606</v>
      </c>
    </row>
    <row r="88" spans="1:10" x14ac:dyDescent="0.25">
      <c r="A88" s="1" t="s">
        <v>152</v>
      </c>
      <c r="B88" s="1" t="s">
        <v>153</v>
      </c>
      <c r="C88" s="1" t="s">
        <v>746</v>
      </c>
      <c r="D88" s="1">
        <v>33.7791</v>
      </c>
      <c r="E88" s="1">
        <v>-88.096900000000005</v>
      </c>
      <c r="F88" s="1" t="s">
        <v>1922</v>
      </c>
      <c r="G88" s="22">
        <v>1324.6338673585594</v>
      </c>
      <c r="H88" s="20">
        <f ca="1">NOW() - TIME(5,30,0) + (VLOOKUP(MasterTable[[#This Row],[TimeZone]], $O$3:$P$8, 2, FALSE) / 24)</f>
        <v>45990.531878125003</v>
      </c>
      <c r="I88" s="1" t="s">
        <v>1944</v>
      </c>
      <c r="J88" s="1">
        <v>605.47</v>
      </c>
    </row>
    <row r="89" spans="1:10" x14ac:dyDescent="0.25">
      <c r="A89" s="1" t="s">
        <v>152</v>
      </c>
      <c r="B89" s="1" t="s">
        <v>153</v>
      </c>
      <c r="C89" s="1" t="s">
        <v>1464</v>
      </c>
      <c r="D89" s="1">
        <v>31.7315</v>
      </c>
      <c r="E89" s="1">
        <v>-86.313599999999994</v>
      </c>
      <c r="F89" s="1" t="s">
        <v>1922</v>
      </c>
      <c r="G89" s="22">
        <v>1439.8748314610657</v>
      </c>
      <c r="H89" s="20">
        <f ca="1">NOW() - TIME(5,30,0) + (VLOOKUP(MasterTable[[#This Row],[TimeZone]], $O$3:$P$8, 2, FALSE) / 24)</f>
        <v>45990.531878125003</v>
      </c>
      <c r="I89" s="1" t="s">
        <v>1944</v>
      </c>
      <c r="J89" s="1">
        <v>610.88</v>
      </c>
    </row>
    <row r="90" spans="1:10" x14ac:dyDescent="0.25">
      <c r="A90" s="1" t="s">
        <v>152</v>
      </c>
      <c r="B90" s="1" t="s">
        <v>153</v>
      </c>
      <c r="C90" s="1" t="s">
        <v>1421</v>
      </c>
      <c r="D90" s="1">
        <v>32.019799999999996</v>
      </c>
      <c r="E90" s="1">
        <v>-88.263199999999998</v>
      </c>
      <c r="F90" s="1" t="s">
        <v>1922</v>
      </c>
      <c r="G90" s="22">
        <v>1323.8752653948136</v>
      </c>
      <c r="H90" s="20">
        <f ca="1">NOW() - TIME(5,30,0) + (VLOOKUP(MasterTable[[#This Row],[TimeZone]], $O$3:$P$8, 2, FALSE) / 24)</f>
        <v>45990.531878125003</v>
      </c>
      <c r="I90" s="1" t="s">
        <v>1944</v>
      </c>
      <c r="J90" s="1">
        <v>920.85</v>
      </c>
    </row>
    <row r="91" spans="1:10" x14ac:dyDescent="0.25">
      <c r="A91" s="1" t="s">
        <v>152</v>
      </c>
      <c r="B91" s="1" t="s">
        <v>153</v>
      </c>
      <c r="C91" s="1" t="s">
        <v>489</v>
      </c>
      <c r="D91" s="1">
        <v>32.591099999999997</v>
      </c>
      <c r="E91" s="1">
        <v>-88.198800000000006</v>
      </c>
      <c r="F91" s="1" t="s">
        <v>1922</v>
      </c>
      <c r="G91" s="22">
        <v>1323.5807967271703</v>
      </c>
      <c r="H91" s="20">
        <f ca="1">NOW() - TIME(5,30,0) + (VLOOKUP(MasterTable[[#This Row],[TimeZone]], $O$3:$P$8, 2, FALSE) / 24)</f>
        <v>45990.531878125003</v>
      </c>
      <c r="I91" s="1" t="s">
        <v>1944</v>
      </c>
      <c r="J91" s="1">
        <v>913.3</v>
      </c>
    </row>
    <row r="92" spans="1:10" x14ac:dyDescent="0.25">
      <c r="A92" s="1" t="s">
        <v>152</v>
      </c>
      <c r="B92" s="1" t="s">
        <v>153</v>
      </c>
      <c r="C92" s="1" t="s">
        <v>1516</v>
      </c>
      <c r="D92" s="1">
        <v>31.429200000000002</v>
      </c>
      <c r="E92" s="1">
        <v>-86.993700000000004</v>
      </c>
      <c r="F92" s="1" t="s">
        <v>1922</v>
      </c>
      <c r="G92" s="22">
        <v>1403.2488824578661</v>
      </c>
      <c r="H92" s="20">
        <f ca="1">NOW() - TIME(5,30,0) + (VLOOKUP(MasterTable[[#This Row],[TimeZone]], $O$3:$P$8, 2, FALSE) / 24)</f>
        <v>45990.531878125003</v>
      </c>
      <c r="I92" s="1" t="s">
        <v>1944</v>
      </c>
      <c r="J92" s="1">
        <v>852.51</v>
      </c>
    </row>
    <row r="93" spans="1:10" x14ac:dyDescent="0.25">
      <c r="A93" s="1" t="s">
        <v>152</v>
      </c>
      <c r="B93" s="1" t="s">
        <v>153</v>
      </c>
      <c r="C93" s="1" t="s">
        <v>1541</v>
      </c>
      <c r="D93" s="1">
        <v>31.9893</v>
      </c>
      <c r="E93" s="1">
        <v>-87.308199999999999</v>
      </c>
      <c r="F93" s="1" t="s">
        <v>1922</v>
      </c>
      <c r="G93" s="22">
        <v>1379.6865164495484</v>
      </c>
      <c r="H93" s="20">
        <f ca="1">NOW() - TIME(5,30,0) + (VLOOKUP(MasterTable[[#This Row],[TimeZone]], $O$3:$P$8, 2, FALSE) / 24)</f>
        <v>45990.531878125003</v>
      </c>
      <c r="I93" s="1" t="s">
        <v>1944</v>
      </c>
      <c r="J93" s="1">
        <v>907.46</v>
      </c>
    </row>
    <row r="94" spans="1:10" x14ac:dyDescent="0.25">
      <c r="A94" s="1" t="s">
        <v>152</v>
      </c>
      <c r="B94" s="1" t="s">
        <v>153</v>
      </c>
      <c r="C94" s="1" t="s">
        <v>1542</v>
      </c>
      <c r="D94" s="1">
        <v>32.936199999999999</v>
      </c>
      <c r="E94" s="1">
        <v>-86.247699999999995</v>
      </c>
      <c r="F94" s="1" t="s">
        <v>1922</v>
      </c>
      <c r="G94" s="22">
        <v>1434.4933293446184</v>
      </c>
      <c r="H94" s="20">
        <f ca="1">NOW() - TIME(5,30,0) + (VLOOKUP(MasterTable[[#This Row],[TimeZone]], $O$3:$P$8, 2, FALSE) / 24)</f>
        <v>45990.531878125003</v>
      </c>
      <c r="I94" s="1" t="s">
        <v>1944</v>
      </c>
      <c r="J94" s="1">
        <v>666.36</v>
      </c>
    </row>
    <row r="95" spans="1:10" x14ac:dyDescent="0.25">
      <c r="A95" s="1" t="s">
        <v>152</v>
      </c>
      <c r="B95" s="1" t="s">
        <v>153</v>
      </c>
      <c r="C95" s="1" t="s">
        <v>1548</v>
      </c>
      <c r="D95" s="1">
        <v>32.100499999999997</v>
      </c>
      <c r="E95" s="1">
        <v>-85.715699999999998</v>
      </c>
      <c r="F95" s="1" t="s">
        <v>1922</v>
      </c>
      <c r="G95" s="22">
        <v>1471.3104059207428</v>
      </c>
      <c r="H95" s="20">
        <f ca="1">NOW() - TIME(5,30,0) + (VLOOKUP(MasterTable[[#This Row],[TimeZone]], $O$3:$P$8, 2, FALSE) / 24)</f>
        <v>45990.531878125003</v>
      </c>
      <c r="I95" s="1" t="s">
        <v>1944</v>
      </c>
      <c r="J95" s="1">
        <v>626.05999999999995</v>
      </c>
    </row>
    <row r="96" spans="1:10" x14ac:dyDescent="0.25">
      <c r="A96" s="1" t="s">
        <v>152</v>
      </c>
      <c r="B96" s="1" t="s">
        <v>153</v>
      </c>
      <c r="C96" s="1" t="s">
        <v>532</v>
      </c>
      <c r="D96" s="1">
        <v>32.154699999999998</v>
      </c>
      <c r="E96" s="1">
        <v>-86.650099999999995</v>
      </c>
      <c r="F96" s="1" t="s">
        <v>1922</v>
      </c>
      <c r="G96" s="22">
        <v>1416.579648889862</v>
      </c>
      <c r="H96" s="20">
        <f ca="1">NOW() - TIME(5,30,0) + (VLOOKUP(MasterTable[[#This Row],[TimeZone]], $O$3:$P$8, 2, FALSE) / 24)</f>
        <v>45990.531878125003</v>
      </c>
      <c r="I96" s="1" t="s">
        <v>1944</v>
      </c>
      <c r="J96" s="1">
        <v>725.03</v>
      </c>
    </row>
    <row r="97" spans="1:10" x14ac:dyDescent="0.25">
      <c r="A97" s="1" t="s">
        <v>152</v>
      </c>
      <c r="B97" s="1" t="s">
        <v>153</v>
      </c>
      <c r="C97" s="1" t="s">
        <v>877</v>
      </c>
      <c r="D97" s="1">
        <v>32.638500000000001</v>
      </c>
      <c r="E97" s="1">
        <v>-87.294399999999996</v>
      </c>
      <c r="F97" s="1" t="s">
        <v>1922</v>
      </c>
      <c r="G97" s="22">
        <v>1375.7134662425053</v>
      </c>
      <c r="H97" s="20">
        <f ca="1">NOW() - TIME(5,30,0) + (VLOOKUP(MasterTable[[#This Row],[TimeZone]], $O$3:$P$8, 2, FALSE) / 24)</f>
        <v>45990.531878125003</v>
      </c>
      <c r="I97" s="1" t="s">
        <v>1944</v>
      </c>
      <c r="J97" s="1">
        <v>724.08</v>
      </c>
    </row>
    <row r="98" spans="1:10" x14ac:dyDescent="0.25">
      <c r="A98" s="1" t="s">
        <v>152</v>
      </c>
      <c r="B98" s="1" t="s">
        <v>153</v>
      </c>
      <c r="C98" s="1" t="s">
        <v>289</v>
      </c>
      <c r="D98" s="1">
        <v>32.853099999999998</v>
      </c>
      <c r="E98" s="1">
        <v>-87.952200000000005</v>
      </c>
      <c r="F98" s="1" t="s">
        <v>1922</v>
      </c>
      <c r="G98" s="22">
        <v>1336.3756844744478</v>
      </c>
      <c r="H98" s="20">
        <f ca="1">NOW() - TIME(5,30,0) + (VLOOKUP(MasterTable[[#This Row],[TimeZone]], $O$3:$P$8, 2, FALSE) / 24)</f>
        <v>45990.531878125003</v>
      </c>
      <c r="I98" s="1" t="s">
        <v>1944</v>
      </c>
      <c r="J98" s="1">
        <v>659.93</v>
      </c>
    </row>
    <row r="99" spans="1:10" x14ac:dyDescent="0.25">
      <c r="A99" s="1" t="s">
        <v>242</v>
      </c>
      <c r="B99" s="1" t="s">
        <v>243</v>
      </c>
      <c r="C99" s="1" t="s">
        <v>241</v>
      </c>
      <c r="D99" s="1">
        <v>34.770000000000003</v>
      </c>
      <c r="E99" s="1">
        <v>-92.311999999999998</v>
      </c>
      <c r="F99" s="1" t="s">
        <v>1922</v>
      </c>
      <c r="G99" s="22">
        <v>1085.3363186353017</v>
      </c>
      <c r="H99" s="20">
        <f ca="1">NOW() - TIME(5,30,0) + (VLOOKUP(MasterTable[[#This Row],[TimeZone]], $O$3:$P$8, 2, FALSE) / 24)</f>
        <v>45990.531878125003</v>
      </c>
      <c r="I99" s="1" t="s">
        <v>1944</v>
      </c>
      <c r="J99" s="1">
        <v>807.84</v>
      </c>
    </row>
    <row r="100" spans="1:10" x14ac:dyDescent="0.25">
      <c r="A100" s="1" t="s">
        <v>242</v>
      </c>
      <c r="B100" s="1" t="s">
        <v>243</v>
      </c>
      <c r="C100" s="1" t="s">
        <v>298</v>
      </c>
      <c r="D100" s="1">
        <v>36.338700000000003</v>
      </c>
      <c r="E100" s="1">
        <v>-94.256100000000004</v>
      </c>
      <c r="F100" s="1" t="s">
        <v>1922</v>
      </c>
      <c r="G100" s="22">
        <v>991.90023169377912</v>
      </c>
      <c r="H100" s="20">
        <f ca="1">NOW() - TIME(5,30,0) + (VLOOKUP(MasterTable[[#This Row],[TimeZone]], $O$3:$P$8, 2, FALSE) / 24)</f>
        <v>45990.531878125003</v>
      </c>
      <c r="I100" s="1" t="s">
        <v>1944</v>
      </c>
      <c r="J100" s="1">
        <v>880.24</v>
      </c>
    </row>
    <row r="101" spans="1:10" x14ac:dyDescent="0.25">
      <c r="A101" s="1" t="s">
        <v>242</v>
      </c>
      <c r="B101" s="1" t="s">
        <v>243</v>
      </c>
      <c r="C101" s="1" t="s">
        <v>28</v>
      </c>
      <c r="D101" s="1">
        <v>35.979100000000003</v>
      </c>
      <c r="E101" s="1">
        <v>-94.215599999999995</v>
      </c>
      <c r="F101" s="1" t="s">
        <v>1922</v>
      </c>
      <c r="G101" s="22">
        <v>989.33744476507093</v>
      </c>
      <c r="H101" s="20">
        <f ca="1">NOW() - TIME(5,30,0) + (VLOOKUP(MasterTable[[#This Row],[TimeZone]], $O$3:$P$8, 2, FALSE) / 24)</f>
        <v>45990.531878125003</v>
      </c>
      <c r="I101" s="1" t="s">
        <v>1944</v>
      </c>
      <c r="J101" s="1">
        <v>1088.54</v>
      </c>
    </row>
    <row r="102" spans="1:10" x14ac:dyDescent="0.25">
      <c r="A102" s="1" t="s">
        <v>242</v>
      </c>
      <c r="B102" s="1" t="s">
        <v>243</v>
      </c>
      <c r="C102" s="1" t="s">
        <v>512</v>
      </c>
      <c r="D102" s="1">
        <v>35.198900000000002</v>
      </c>
      <c r="E102" s="1">
        <v>-94.274299999999997</v>
      </c>
      <c r="F102" s="1" t="s">
        <v>1922</v>
      </c>
      <c r="G102" s="22">
        <v>977.74486420192295</v>
      </c>
      <c r="H102" s="20">
        <f ca="1">NOW() - TIME(5,30,0) + (VLOOKUP(MasterTable[[#This Row],[TimeZone]], $O$3:$P$8, 2, FALSE) / 24)</f>
        <v>45990.531878125003</v>
      </c>
      <c r="I102" s="1" t="s">
        <v>1944</v>
      </c>
      <c r="J102" s="1">
        <v>546.04</v>
      </c>
    </row>
    <row r="103" spans="1:10" x14ac:dyDescent="0.25">
      <c r="A103" s="1" t="s">
        <v>242</v>
      </c>
      <c r="B103" s="1" t="s">
        <v>243</v>
      </c>
      <c r="C103" s="1" t="s">
        <v>516</v>
      </c>
      <c r="D103" s="1">
        <v>35.146999999999998</v>
      </c>
      <c r="E103" s="1">
        <v>-92.331999999999994</v>
      </c>
      <c r="F103" s="1" t="s">
        <v>1922</v>
      </c>
      <c r="G103" s="22">
        <v>1086.3637384267595</v>
      </c>
      <c r="H103" s="20">
        <f ca="1">NOW() - TIME(5,30,0) + (VLOOKUP(MasterTable[[#This Row],[TimeZone]], $O$3:$P$8, 2, FALSE) / 24)</f>
        <v>45990.531878125003</v>
      </c>
      <c r="I103" s="1" t="s">
        <v>1944</v>
      </c>
      <c r="J103" s="1">
        <v>664.01</v>
      </c>
    </row>
    <row r="104" spans="1:10" x14ac:dyDescent="0.25">
      <c r="A104" s="1" t="s">
        <v>242</v>
      </c>
      <c r="B104" s="1" t="s">
        <v>243</v>
      </c>
      <c r="C104" s="1" t="s">
        <v>517</v>
      </c>
      <c r="D104" s="1">
        <v>34.646599999999999</v>
      </c>
      <c r="E104" s="1">
        <v>-92.676599999999993</v>
      </c>
      <c r="F104" s="1" t="s">
        <v>1922</v>
      </c>
      <c r="G104" s="22">
        <v>1064.0826836427759</v>
      </c>
      <c r="H104" s="20">
        <f ca="1">NOW() - TIME(5,30,0) + (VLOOKUP(MasterTable[[#This Row],[TimeZone]], $O$3:$P$8, 2, FALSE) / 24)</f>
        <v>45990.531878125003</v>
      </c>
      <c r="I104" s="1" t="s">
        <v>1944</v>
      </c>
      <c r="J104" s="1">
        <v>730.46</v>
      </c>
    </row>
    <row r="105" spans="1:10" x14ac:dyDescent="0.25">
      <c r="A105" s="1" t="s">
        <v>242</v>
      </c>
      <c r="B105" s="1" t="s">
        <v>243</v>
      </c>
      <c r="C105" s="1" t="s">
        <v>547</v>
      </c>
      <c r="D105" s="1">
        <v>35.830800000000004</v>
      </c>
      <c r="E105" s="1">
        <v>-90.632800000000003</v>
      </c>
      <c r="F105" s="1" t="s">
        <v>1922</v>
      </c>
      <c r="G105" s="22">
        <v>1186.2891151377428</v>
      </c>
      <c r="H105" s="20">
        <f ca="1">NOW() - TIME(5,30,0) + (VLOOKUP(MasterTable[[#This Row],[TimeZone]], $O$3:$P$8, 2, FALSE) / 24)</f>
        <v>45990.531878125003</v>
      </c>
      <c r="I105" s="1" t="s">
        <v>1944</v>
      </c>
      <c r="J105" s="1">
        <v>712.98</v>
      </c>
    </row>
    <row r="106" spans="1:10" x14ac:dyDescent="0.25">
      <c r="A106" s="1" t="s">
        <v>242</v>
      </c>
      <c r="B106" s="1" t="s">
        <v>243</v>
      </c>
      <c r="C106" s="1" t="s">
        <v>592</v>
      </c>
      <c r="D106" s="1">
        <v>34.576700000000002</v>
      </c>
      <c r="E106" s="1">
        <v>-93.150400000000005</v>
      </c>
      <c r="F106" s="1" t="s">
        <v>1922</v>
      </c>
      <c r="G106" s="22">
        <v>1036.8686266767031</v>
      </c>
      <c r="H106" s="20">
        <f ca="1">NOW() - TIME(5,30,0) + (VLOOKUP(MasterTable[[#This Row],[TimeZone]], $O$3:$P$8, 2, FALSE) / 24)</f>
        <v>45990.531878125003</v>
      </c>
      <c r="I106" s="1" t="s">
        <v>1944</v>
      </c>
      <c r="J106" s="1">
        <v>734.57</v>
      </c>
    </row>
    <row r="107" spans="1:10" x14ac:dyDescent="0.25">
      <c r="A107" s="1" t="s">
        <v>242</v>
      </c>
      <c r="B107" s="1" t="s">
        <v>243</v>
      </c>
      <c r="C107" s="1" t="s">
        <v>682</v>
      </c>
      <c r="D107" s="1">
        <v>35.256300000000003</v>
      </c>
      <c r="E107" s="1">
        <v>-91.745599999999996</v>
      </c>
      <c r="F107" s="1" t="s">
        <v>1922</v>
      </c>
      <c r="G107" s="22">
        <v>1120.034038301445</v>
      </c>
      <c r="H107" s="20">
        <f ca="1">NOW() - TIME(5,30,0) + (VLOOKUP(MasterTable[[#This Row],[TimeZone]], $O$3:$P$8, 2, FALSE) / 24)</f>
        <v>45990.531878125003</v>
      </c>
      <c r="I107" s="1" t="s">
        <v>1944</v>
      </c>
      <c r="J107" s="1">
        <v>1042.3599999999999</v>
      </c>
    </row>
    <row r="108" spans="1:10" x14ac:dyDescent="0.25">
      <c r="A108" s="1" t="s">
        <v>242</v>
      </c>
      <c r="B108" s="1" t="s">
        <v>243</v>
      </c>
      <c r="C108" s="1" t="s">
        <v>693</v>
      </c>
      <c r="D108" s="1">
        <v>34.754300000000001</v>
      </c>
      <c r="E108" s="1">
        <v>-91.888800000000003</v>
      </c>
      <c r="F108" s="1" t="s">
        <v>1922</v>
      </c>
      <c r="G108" s="22">
        <v>1109.2308879370273</v>
      </c>
      <c r="H108" s="20">
        <f ca="1">NOW() - TIME(5,30,0) + (VLOOKUP(MasterTable[[#This Row],[TimeZone]], $O$3:$P$8, 2, FALSE) / 24)</f>
        <v>45990.531878125003</v>
      </c>
      <c r="I108" s="1" t="s">
        <v>1944</v>
      </c>
      <c r="J108" s="1">
        <v>802.43</v>
      </c>
    </row>
    <row r="109" spans="1:10" x14ac:dyDescent="0.25">
      <c r="A109" s="1" t="s">
        <v>242</v>
      </c>
      <c r="B109" s="1" t="s">
        <v>243</v>
      </c>
      <c r="C109" s="1" t="s">
        <v>129</v>
      </c>
      <c r="D109" s="1">
        <v>34.268300000000004</v>
      </c>
      <c r="E109" s="1">
        <v>-91.930400000000006</v>
      </c>
      <c r="F109" s="1" t="s">
        <v>1922</v>
      </c>
      <c r="G109" s="22">
        <v>1105.1878086877257</v>
      </c>
      <c r="H109" s="20">
        <f ca="1">NOW() - TIME(5,30,0) + (VLOOKUP(MasterTable[[#This Row],[TimeZone]], $O$3:$P$8, 2, FALSE) / 24)</f>
        <v>45990.531878125003</v>
      </c>
      <c r="I109" s="1" t="s">
        <v>1944</v>
      </c>
      <c r="J109" s="1">
        <v>1123.8</v>
      </c>
    </row>
    <row r="110" spans="1:10" x14ac:dyDescent="0.25">
      <c r="A110" s="1" t="s">
        <v>242</v>
      </c>
      <c r="B110" s="1" t="s">
        <v>243</v>
      </c>
      <c r="C110" s="1" t="s">
        <v>758</v>
      </c>
      <c r="D110" s="1">
        <v>35.447899999999997</v>
      </c>
      <c r="E110" s="1">
        <v>-93.034499999999994</v>
      </c>
      <c r="F110" s="1" t="s">
        <v>1922</v>
      </c>
      <c r="G110" s="22">
        <v>1049.2561857540309</v>
      </c>
      <c r="H110" s="20">
        <f ca="1">NOW() - TIME(5,30,0) + (VLOOKUP(MasterTable[[#This Row],[TimeZone]], $O$3:$P$8, 2, FALSE) / 24)</f>
        <v>45990.531878125003</v>
      </c>
      <c r="I110" s="1" t="s">
        <v>1944</v>
      </c>
      <c r="J110" s="1">
        <v>830.79</v>
      </c>
    </row>
    <row r="111" spans="1:10" x14ac:dyDescent="0.25">
      <c r="A111" s="1" t="s">
        <v>242</v>
      </c>
      <c r="B111" s="1" t="s">
        <v>243</v>
      </c>
      <c r="C111" s="1" t="s">
        <v>655</v>
      </c>
      <c r="D111" s="1">
        <v>35.588099999999997</v>
      </c>
      <c r="E111" s="1">
        <v>-94.242800000000003</v>
      </c>
      <c r="F111" s="1" t="s">
        <v>1922</v>
      </c>
      <c r="G111" s="22">
        <v>983.31237123361029</v>
      </c>
      <c r="H111" s="20">
        <f ca="1">NOW() - TIME(5,30,0) + (VLOOKUP(MasterTable[[#This Row],[TimeZone]], $O$3:$P$8, 2, FALSE) / 24)</f>
        <v>45990.531878125003</v>
      </c>
      <c r="I111" s="1" t="s">
        <v>1944</v>
      </c>
      <c r="J111" s="1">
        <v>604.20000000000005</v>
      </c>
    </row>
    <row r="112" spans="1:10" x14ac:dyDescent="0.25">
      <c r="A112" s="1" t="s">
        <v>242</v>
      </c>
      <c r="B112" s="1" t="s">
        <v>243</v>
      </c>
      <c r="C112" s="1" t="s">
        <v>862</v>
      </c>
      <c r="D112" s="1">
        <v>35.2057</v>
      </c>
      <c r="E112" s="1">
        <v>-90.3078</v>
      </c>
      <c r="F112" s="1" t="s">
        <v>1922</v>
      </c>
      <c r="G112" s="22">
        <v>1200.6341636699069</v>
      </c>
      <c r="H112" s="20">
        <f ca="1">NOW() - TIME(5,30,0) + (VLOOKUP(MasterTable[[#This Row],[TimeZone]], $O$3:$P$8, 2, FALSE) / 24)</f>
        <v>45990.531878125003</v>
      </c>
      <c r="I112" s="1" t="s">
        <v>1944</v>
      </c>
      <c r="J112" s="1">
        <v>636.69000000000005</v>
      </c>
    </row>
    <row r="113" spans="1:10" x14ac:dyDescent="0.25">
      <c r="A113" s="1" t="s">
        <v>242</v>
      </c>
      <c r="B113" s="1" t="s">
        <v>243</v>
      </c>
      <c r="C113" s="1" t="s">
        <v>289</v>
      </c>
      <c r="D113" s="1">
        <v>36.117600000000003</v>
      </c>
      <c r="E113" s="1">
        <v>-90.559100000000001</v>
      </c>
      <c r="F113" s="1" t="s">
        <v>1922</v>
      </c>
      <c r="G113" s="22">
        <v>1192.6915296183488</v>
      </c>
      <c r="H113" s="20">
        <f ca="1">NOW() - TIME(5,30,0) + (VLOOKUP(MasterTable[[#This Row],[TimeZone]], $O$3:$P$8, 2, FALSE) / 24)</f>
        <v>45990.531878125003</v>
      </c>
      <c r="I113" s="1" t="s">
        <v>1944</v>
      </c>
      <c r="J113" s="1">
        <v>659.93</v>
      </c>
    </row>
    <row r="114" spans="1:10" x14ac:dyDescent="0.25">
      <c r="A114" s="1" t="s">
        <v>242</v>
      </c>
      <c r="B114" s="1" t="s">
        <v>243</v>
      </c>
      <c r="C114" s="1" t="s">
        <v>922</v>
      </c>
      <c r="D114" s="1">
        <v>33.312399999999997</v>
      </c>
      <c r="E114" s="1">
        <v>-93.892099999999999</v>
      </c>
      <c r="F114" s="1" t="s">
        <v>1922</v>
      </c>
      <c r="G114" s="22">
        <v>991.50427572355977</v>
      </c>
      <c r="H114" s="20">
        <f ca="1">NOW() - TIME(5,30,0) + (VLOOKUP(MasterTable[[#This Row],[TimeZone]], $O$3:$P$8, 2, FALSE) / 24)</f>
        <v>45990.531878125003</v>
      </c>
      <c r="I114" s="1" t="s">
        <v>1944</v>
      </c>
      <c r="J114" s="1">
        <v>637.48</v>
      </c>
    </row>
    <row r="115" spans="1:10" x14ac:dyDescent="0.25">
      <c r="A115" s="1" t="s">
        <v>242</v>
      </c>
      <c r="B115" s="1" t="s">
        <v>243</v>
      </c>
      <c r="C115" s="1" t="s">
        <v>927</v>
      </c>
      <c r="D115" s="1">
        <v>36.287199999999999</v>
      </c>
      <c r="E115" s="1">
        <v>-92.3369</v>
      </c>
      <c r="F115" s="1" t="s">
        <v>1922</v>
      </c>
      <c r="G115" s="22">
        <v>1096.2785763633456</v>
      </c>
      <c r="H115" s="20">
        <f ca="1">NOW() - TIME(5,30,0) + (VLOOKUP(MasterTable[[#This Row],[TimeZone]], $O$3:$P$8, 2, FALSE) / 24)</f>
        <v>45990.531878125003</v>
      </c>
      <c r="I115" s="1" t="s">
        <v>1944</v>
      </c>
      <c r="J115" s="1">
        <v>586.74</v>
      </c>
    </row>
    <row r="116" spans="1:10" x14ac:dyDescent="0.25">
      <c r="A116" s="1" t="s">
        <v>242</v>
      </c>
      <c r="B116" s="1" t="s">
        <v>243</v>
      </c>
      <c r="C116" s="1" t="s">
        <v>355</v>
      </c>
      <c r="D116" s="1">
        <v>35.7624</v>
      </c>
      <c r="E116" s="1">
        <v>-90.052199999999999</v>
      </c>
      <c r="F116" s="1" t="s">
        <v>1922</v>
      </c>
      <c r="G116" s="22">
        <v>1218.1695597940302</v>
      </c>
      <c r="H116" s="20">
        <f ca="1">NOW() - TIME(5,30,0) + (VLOOKUP(MasterTable[[#This Row],[TimeZone]], $O$3:$P$8, 2, FALSE) / 24)</f>
        <v>45990.531878125003</v>
      </c>
      <c r="I116" s="1" t="s">
        <v>1944</v>
      </c>
      <c r="J116" s="1">
        <v>919.73</v>
      </c>
    </row>
    <row r="117" spans="1:10" x14ac:dyDescent="0.25">
      <c r="A117" s="1" t="s">
        <v>242</v>
      </c>
      <c r="B117" s="1" t="s">
        <v>243</v>
      </c>
      <c r="C117" s="1" t="s">
        <v>177</v>
      </c>
      <c r="D117" s="1">
        <v>33.171300000000002</v>
      </c>
      <c r="E117" s="1">
        <v>-92.597200000000001</v>
      </c>
      <c r="F117" s="1" t="s">
        <v>1922</v>
      </c>
      <c r="G117" s="22">
        <v>1066.481585735994</v>
      </c>
      <c r="H117" s="20">
        <f ca="1">NOW() - TIME(5,30,0) + (VLOOKUP(MasterTable[[#This Row],[TimeZone]], $O$3:$P$8, 2, FALSE) / 24)</f>
        <v>45990.531878125003</v>
      </c>
      <c r="I117" s="1" t="s">
        <v>1944</v>
      </c>
      <c r="J117" s="1">
        <v>1055.27</v>
      </c>
    </row>
    <row r="118" spans="1:10" x14ac:dyDescent="0.25">
      <c r="A118" s="1" t="s">
        <v>242</v>
      </c>
      <c r="B118" s="1" t="s">
        <v>243</v>
      </c>
      <c r="C118" s="1" t="s">
        <v>975</v>
      </c>
      <c r="D118" s="1">
        <v>35.741599999999998</v>
      </c>
      <c r="E118" s="1">
        <v>-91.569699999999997</v>
      </c>
      <c r="F118" s="1" t="s">
        <v>1922</v>
      </c>
      <c r="G118" s="22">
        <v>1133.4136906156803</v>
      </c>
      <c r="H118" s="20">
        <f ca="1">NOW() - TIME(5,30,0) + (VLOOKUP(MasterTable[[#This Row],[TimeZone]], $O$3:$P$8, 2, FALSE) / 24)</f>
        <v>45990.531878125003</v>
      </c>
      <c r="I118" s="1" t="s">
        <v>1944</v>
      </c>
      <c r="J118" s="1">
        <v>771.57</v>
      </c>
    </row>
    <row r="119" spans="1:10" x14ac:dyDescent="0.25">
      <c r="A119" s="1" t="s">
        <v>242</v>
      </c>
      <c r="B119" s="1" t="s">
        <v>243</v>
      </c>
      <c r="C119" s="1" t="s">
        <v>398</v>
      </c>
      <c r="D119" s="1">
        <v>36.308599999999998</v>
      </c>
      <c r="E119" s="1">
        <v>-93.091499999999996</v>
      </c>
      <c r="F119" s="1" t="s">
        <v>1922</v>
      </c>
      <c r="G119" s="22">
        <v>1055.1314200682307</v>
      </c>
      <c r="H119" s="20">
        <f ca="1">NOW() - TIME(5,30,0) + (VLOOKUP(MasterTable[[#This Row],[TimeZone]], $O$3:$P$8, 2, FALSE) / 24)</f>
        <v>45990.531878125003</v>
      </c>
      <c r="I119" s="1" t="s">
        <v>1944</v>
      </c>
      <c r="J119" s="1">
        <v>601.82000000000005</v>
      </c>
    </row>
    <row r="120" spans="1:10" x14ac:dyDescent="0.25">
      <c r="A120" s="1" t="s">
        <v>242</v>
      </c>
      <c r="B120" s="1" t="s">
        <v>243</v>
      </c>
      <c r="C120" s="1" t="s">
        <v>1038</v>
      </c>
      <c r="D120" s="1">
        <v>34.317700000000002</v>
      </c>
      <c r="E120" s="1">
        <v>-92.946100000000001</v>
      </c>
      <c r="F120" s="1" t="s">
        <v>1922</v>
      </c>
      <c r="G120" s="22">
        <v>1047.4065636988987</v>
      </c>
      <c r="H120" s="20">
        <f ca="1">NOW() - TIME(5,30,0) + (VLOOKUP(MasterTable[[#This Row],[TimeZone]], $O$3:$P$8, 2, FALSE) / 24)</f>
        <v>45990.531878125003</v>
      </c>
      <c r="I120" s="1" t="s">
        <v>1944</v>
      </c>
      <c r="J120" s="1">
        <v>622.16</v>
      </c>
    </row>
    <row r="121" spans="1:10" x14ac:dyDescent="0.25">
      <c r="A121" s="1" t="s">
        <v>242</v>
      </c>
      <c r="B121" s="1" t="s">
        <v>243</v>
      </c>
      <c r="C121" s="1" t="s">
        <v>418</v>
      </c>
      <c r="D121" s="1">
        <v>36.341000000000001</v>
      </c>
      <c r="E121" s="1">
        <v>-93.538200000000003</v>
      </c>
      <c r="F121" s="1" t="s">
        <v>1922</v>
      </c>
      <c r="G121" s="22">
        <v>1031.1041515245208</v>
      </c>
      <c r="H121" s="20">
        <f ca="1">NOW() - TIME(5,30,0) + (VLOOKUP(MasterTable[[#This Row],[TimeZone]], $O$3:$P$8, 2, FALSE) / 24)</f>
        <v>45990.531878125003</v>
      </c>
      <c r="I121" s="1" t="s">
        <v>1944</v>
      </c>
      <c r="J121" s="1">
        <v>638.80999999999995</v>
      </c>
    </row>
    <row r="122" spans="1:10" x14ac:dyDescent="0.25">
      <c r="A122" s="1" t="s">
        <v>242</v>
      </c>
      <c r="B122" s="1" t="s">
        <v>243</v>
      </c>
      <c r="C122" s="1" t="s">
        <v>165</v>
      </c>
      <c r="D122" s="1">
        <v>35.569699999999997</v>
      </c>
      <c r="E122" s="1">
        <v>-93.4602</v>
      </c>
      <c r="F122" s="1" t="s">
        <v>1922</v>
      </c>
      <c r="G122" s="22">
        <v>1026.6291610611379</v>
      </c>
      <c r="H122" s="20">
        <f ca="1">NOW() - TIME(5,30,0) + (VLOOKUP(MasterTable[[#This Row],[TimeZone]], $O$3:$P$8, 2, FALSE) / 24)</f>
        <v>45990.531878125003</v>
      </c>
      <c r="I122" s="1" t="s">
        <v>1944</v>
      </c>
      <c r="J122" s="1">
        <v>682.74</v>
      </c>
    </row>
    <row r="123" spans="1:10" x14ac:dyDescent="0.25">
      <c r="A123" s="1" t="s">
        <v>242</v>
      </c>
      <c r="B123" s="1" t="s">
        <v>243</v>
      </c>
      <c r="C123" s="1" t="s">
        <v>1169</v>
      </c>
      <c r="D123" s="1">
        <v>35.538200000000003</v>
      </c>
      <c r="E123" s="1">
        <v>-92.026700000000005</v>
      </c>
      <c r="F123" s="1" t="s">
        <v>1922</v>
      </c>
      <c r="G123" s="22">
        <v>1106.2926797954578</v>
      </c>
      <c r="H123" s="20">
        <f ca="1">NOW() - TIME(5,30,0) + (VLOOKUP(MasterTable[[#This Row],[TimeZone]], $O$3:$P$8, 2, FALSE) / 24)</f>
        <v>45990.531878125003</v>
      </c>
      <c r="I123" s="1" t="s">
        <v>1944</v>
      </c>
      <c r="J123" s="1">
        <v>561.02</v>
      </c>
    </row>
    <row r="124" spans="1:10" x14ac:dyDescent="0.25">
      <c r="A124" s="1" t="s">
        <v>242</v>
      </c>
      <c r="B124" s="1" t="s">
        <v>243</v>
      </c>
      <c r="C124" s="1" t="s">
        <v>1212</v>
      </c>
      <c r="D124" s="1">
        <v>35.021999999999998</v>
      </c>
      <c r="E124" s="1">
        <v>-90.747799999999998</v>
      </c>
      <c r="F124" s="1" t="s">
        <v>1922</v>
      </c>
      <c r="G124" s="22">
        <v>1174.9646739053396</v>
      </c>
      <c r="H124" s="20">
        <f ca="1">NOW() - TIME(5,30,0) + (VLOOKUP(MasterTable[[#This Row],[TimeZone]], $O$3:$P$8, 2, FALSE) / 24)</f>
        <v>45990.531878125003</v>
      </c>
      <c r="I124" s="1" t="s">
        <v>1944</v>
      </c>
      <c r="J124" s="1">
        <v>642.4</v>
      </c>
    </row>
    <row r="125" spans="1:10" x14ac:dyDescent="0.25">
      <c r="A125" s="1" t="s">
        <v>242</v>
      </c>
      <c r="B125" s="1" t="s">
        <v>243</v>
      </c>
      <c r="C125" s="1" t="s">
        <v>1213</v>
      </c>
      <c r="D125" s="1">
        <v>35.573999999999998</v>
      </c>
      <c r="E125" s="1">
        <v>-90.662999999999997</v>
      </c>
      <c r="F125" s="1" t="s">
        <v>1922</v>
      </c>
      <c r="G125" s="22">
        <v>1182.7907366718114</v>
      </c>
      <c r="H125" s="20">
        <f ca="1">NOW() - TIME(5,30,0) + (VLOOKUP(MasterTable[[#This Row],[TimeZone]], $O$3:$P$8, 2, FALSE) / 24)</f>
        <v>45990.531878125003</v>
      </c>
      <c r="I125" s="1" t="s">
        <v>1944</v>
      </c>
      <c r="J125" s="1">
        <v>763.39</v>
      </c>
    </row>
    <row r="126" spans="1:10" x14ac:dyDescent="0.25">
      <c r="A126" s="1" t="s">
        <v>242</v>
      </c>
      <c r="B126" s="1" t="s">
        <v>243</v>
      </c>
      <c r="C126" s="1" t="s">
        <v>455</v>
      </c>
      <c r="D126" s="1">
        <v>33.214300000000001</v>
      </c>
      <c r="E126" s="1">
        <v>-93.2273</v>
      </c>
      <c r="F126" s="1" t="s">
        <v>1922</v>
      </c>
      <c r="G126" s="22">
        <v>1029.9908181299306</v>
      </c>
      <c r="H126" s="20">
        <f ca="1">NOW() - TIME(5,30,0) + (VLOOKUP(MasterTable[[#This Row],[TimeZone]], $O$3:$P$8, 2, FALSE) / 24)</f>
        <v>45990.531878125003</v>
      </c>
      <c r="I126" s="1" t="s">
        <v>1944</v>
      </c>
      <c r="J126" s="1">
        <v>766.86</v>
      </c>
    </row>
    <row r="127" spans="1:10" x14ac:dyDescent="0.25">
      <c r="A127" s="1" t="s">
        <v>242</v>
      </c>
      <c r="B127" s="1" t="s">
        <v>243</v>
      </c>
      <c r="C127" s="1" t="s">
        <v>458</v>
      </c>
      <c r="D127" s="1">
        <v>33.593400000000003</v>
      </c>
      <c r="E127" s="1">
        <v>-92.881900000000002</v>
      </c>
      <c r="F127" s="1" t="s">
        <v>1922</v>
      </c>
      <c r="G127" s="22">
        <v>1049.7267169731308</v>
      </c>
      <c r="H127" s="20">
        <f ca="1">NOW() - TIME(5,30,0) + (VLOOKUP(MasterTable[[#This Row],[TimeZone]], $O$3:$P$8, 2, FALSE) / 24)</f>
        <v>45990.531878125003</v>
      </c>
      <c r="I127" s="1" t="s">
        <v>1944</v>
      </c>
      <c r="J127" s="1">
        <v>739.63</v>
      </c>
    </row>
    <row r="128" spans="1:10" x14ac:dyDescent="0.25">
      <c r="A128" s="1" t="s">
        <v>242</v>
      </c>
      <c r="B128" s="1" t="s">
        <v>243</v>
      </c>
      <c r="C128" s="1" t="s">
        <v>23</v>
      </c>
      <c r="D128" s="1">
        <v>34.051000000000002</v>
      </c>
      <c r="E128" s="1">
        <v>-93.176400000000001</v>
      </c>
      <c r="F128" s="1" t="s">
        <v>1922</v>
      </c>
      <c r="G128" s="22">
        <v>1033.4520304988969</v>
      </c>
      <c r="H128" s="20">
        <f ca="1">NOW() - TIME(5,30,0) + (VLOOKUP(MasterTable[[#This Row],[TimeZone]], $O$3:$P$8, 2, FALSE) / 24)</f>
        <v>45990.531878125003</v>
      </c>
      <c r="I128" s="1" t="s">
        <v>1944</v>
      </c>
      <c r="J128" s="1">
        <v>882.6</v>
      </c>
    </row>
    <row r="129" spans="1:10" x14ac:dyDescent="0.25">
      <c r="A129" s="1" t="s">
        <v>242</v>
      </c>
      <c r="B129" s="1" t="s">
        <v>243</v>
      </c>
      <c r="C129" s="1" t="s">
        <v>837</v>
      </c>
      <c r="D129" s="1">
        <v>35.2149</v>
      </c>
      <c r="E129" s="1">
        <v>-93.7166</v>
      </c>
      <c r="F129" s="1" t="s">
        <v>1922</v>
      </c>
      <c r="G129" s="22">
        <v>1009.1237207269141</v>
      </c>
      <c r="H129" s="20">
        <f ca="1">NOW() - TIME(5,30,0) + (VLOOKUP(MasterTable[[#This Row],[TimeZone]], $O$3:$P$8, 2, FALSE) / 24)</f>
        <v>45990.531878125003</v>
      </c>
      <c r="I129" s="1" t="s">
        <v>1944</v>
      </c>
      <c r="J129" s="1">
        <v>731.5</v>
      </c>
    </row>
    <row r="130" spans="1:10" x14ac:dyDescent="0.25">
      <c r="A130" s="1" t="s">
        <v>242</v>
      </c>
      <c r="B130" s="1" t="s">
        <v>243</v>
      </c>
      <c r="C130" s="1" t="s">
        <v>1252</v>
      </c>
      <c r="D130" s="1">
        <v>35.2624</v>
      </c>
      <c r="E130" s="1">
        <v>-92.701400000000007</v>
      </c>
      <c r="F130" s="1" t="s">
        <v>1922</v>
      </c>
      <c r="G130" s="22">
        <v>1066.4183020203677</v>
      </c>
      <c r="H130" s="20">
        <f ca="1">NOW() - TIME(5,30,0) + (VLOOKUP(MasterTable[[#This Row],[TimeZone]], $O$3:$P$8, 2, FALSE) / 24)</f>
        <v>45990.531878125003</v>
      </c>
      <c r="I130" s="1" t="s">
        <v>1944</v>
      </c>
      <c r="J130" s="1">
        <v>566.66</v>
      </c>
    </row>
    <row r="131" spans="1:10" x14ac:dyDescent="0.25">
      <c r="A131" s="1" t="s">
        <v>242</v>
      </c>
      <c r="B131" s="1" t="s">
        <v>243</v>
      </c>
      <c r="C131" s="1" t="s">
        <v>1272</v>
      </c>
      <c r="D131" s="1">
        <v>35.002600000000001</v>
      </c>
      <c r="E131" s="1">
        <v>-93.410799999999995</v>
      </c>
      <c r="F131" s="1" t="s">
        <v>1922</v>
      </c>
      <c r="G131" s="22">
        <v>1024.6737015077481</v>
      </c>
      <c r="H131" s="20">
        <f ca="1">NOW() - TIME(5,30,0) + (VLOOKUP(MasterTable[[#This Row],[TimeZone]], $O$3:$P$8, 2, FALSE) / 24)</f>
        <v>45990.531878125003</v>
      </c>
      <c r="I131" s="1" t="s">
        <v>1944</v>
      </c>
      <c r="J131" s="1">
        <v>948.84</v>
      </c>
    </row>
    <row r="132" spans="1:10" x14ac:dyDescent="0.25">
      <c r="A132" s="1" t="s">
        <v>242</v>
      </c>
      <c r="B132" s="1" t="s">
        <v>243</v>
      </c>
      <c r="C132" s="1" t="s">
        <v>1286</v>
      </c>
      <c r="D132" s="1">
        <v>33.735399999999998</v>
      </c>
      <c r="E132" s="1">
        <v>-93.668400000000005</v>
      </c>
      <c r="F132" s="1" t="s">
        <v>1922</v>
      </c>
      <c r="G132" s="22">
        <v>1004.6181522640339</v>
      </c>
      <c r="H132" s="20">
        <f ca="1">NOW() - TIME(5,30,0) + (VLOOKUP(MasterTable[[#This Row],[TimeZone]], $O$3:$P$8, 2, FALSE) / 24)</f>
        <v>45990.531878125003</v>
      </c>
      <c r="I132" s="1" t="s">
        <v>1944</v>
      </c>
      <c r="J132" s="1">
        <v>741.36</v>
      </c>
    </row>
    <row r="133" spans="1:10" x14ac:dyDescent="0.25">
      <c r="A133" s="1" t="s">
        <v>242</v>
      </c>
      <c r="B133" s="1" t="s">
        <v>243</v>
      </c>
      <c r="C133" s="1" t="s">
        <v>134</v>
      </c>
      <c r="D133" s="1">
        <v>34.485799999999998</v>
      </c>
      <c r="E133" s="1">
        <v>-94.228200000000001</v>
      </c>
      <c r="F133" s="1" t="s">
        <v>1922</v>
      </c>
      <c r="G133" s="22">
        <v>975.21872891720898</v>
      </c>
      <c r="H133" s="20">
        <f ca="1">NOW() - TIME(5,30,0) + (VLOOKUP(MasterTable[[#This Row],[TimeZone]], $O$3:$P$8, 2, FALSE) / 24)</f>
        <v>45990.531878125003</v>
      </c>
      <c r="I133" s="1" t="s">
        <v>1944</v>
      </c>
      <c r="J133" s="1">
        <v>862.42</v>
      </c>
    </row>
    <row r="134" spans="1:10" x14ac:dyDescent="0.25">
      <c r="A134" s="1" t="s">
        <v>242</v>
      </c>
      <c r="B134" s="1" t="s">
        <v>243</v>
      </c>
      <c r="C134" s="1" t="s">
        <v>477</v>
      </c>
      <c r="D134" s="1">
        <v>36.341500000000003</v>
      </c>
      <c r="E134" s="1">
        <v>-91.027600000000007</v>
      </c>
      <c r="F134" s="1" t="s">
        <v>1922</v>
      </c>
      <c r="G134" s="22">
        <v>1168.8857393818867</v>
      </c>
      <c r="H134" s="20">
        <f ca="1">NOW() - TIME(5,30,0) + (VLOOKUP(MasterTable[[#This Row],[TimeZone]], $O$3:$P$8, 2, FALSE) / 24)</f>
        <v>45990.531878125003</v>
      </c>
      <c r="I134" s="1" t="s">
        <v>1944</v>
      </c>
      <c r="J134" s="1">
        <v>584.11</v>
      </c>
    </row>
    <row r="135" spans="1:10" x14ac:dyDescent="0.25">
      <c r="A135" s="1" t="s">
        <v>242</v>
      </c>
      <c r="B135" s="1" t="s">
        <v>243</v>
      </c>
      <c r="C135" s="1" t="s">
        <v>1304</v>
      </c>
      <c r="D135" s="1">
        <v>33.191200000000002</v>
      </c>
      <c r="E135" s="1">
        <v>-91.768500000000003</v>
      </c>
      <c r="F135" s="1" t="s">
        <v>1922</v>
      </c>
      <c r="G135" s="22">
        <v>1114.3466621268187</v>
      </c>
      <c r="H135" s="20">
        <f ca="1">NOW() - TIME(5,30,0) + (VLOOKUP(MasterTable[[#This Row],[TimeZone]], $O$3:$P$8, 2, FALSE) / 24)</f>
        <v>45990.531878125003</v>
      </c>
      <c r="I135" s="1" t="s">
        <v>1944</v>
      </c>
      <c r="J135" s="1">
        <v>939.08</v>
      </c>
    </row>
    <row r="136" spans="1:10" x14ac:dyDescent="0.25">
      <c r="A136" s="1" t="s">
        <v>242</v>
      </c>
      <c r="B136" s="1" t="s">
        <v>243</v>
      </c>
      <c r="C136" s="1" t="s">
        <v>590</v>
      </c>
      <c r="D136" s="1">
        <v>34.29</v>
      </c>
      <c r="E136" s="1">
        <v>-92.423699999999997</v>
      </c>
      <c r="F136" s="1" t="s">
        <v>1922</v>
      </c>
      <c r="G136" s="22">
        <v>1077.102586444573</v>
      </c>
      <c r="H136" s="20">
        <f ca="1">NOW() - TIME(5,30,0) + (VLOOKUP(MasterTable[[#This Row],[TimeZone]], $O$3:$P$8, 2, FALSE) / 24)</f>
        <v>45990.531878125003</v>
      </c>
      <c r="I136" s="1" t="s">
        <v>1944</v>
      </c>
      <c r="J136" s="1">
        <v>633.01</v>
      </c>
    </row>
    <row r="137" spans="1:10" x14ac:dyDescent="0.25">
      <c r="A137" s="1" t="s">
        <v>242</v>
      </c>
      <c r="B137" s="1" t="s">
        <v>243</v>
      </c>
      <c r="C137" s="1" t="s">
        <v>1335</v>
      </c>
      <c r="D137" s="1">
        <v>36.161200000000001</v>
      </c>
      <c r="E137" s="1">
        <v>-91.479799999999997</v>
      </c>
      <c r="F137" s="1" t="s">
        <v>1922</v>
      </c>
      <c r="G137" s="22">
        <v>1142.1679047895761</v>
      </c>
      <c r="H137" s="20">
        <f ca="1">NOW() - TIME(5,30,0) + (VLOOKUP(MasterTable[[#This Row],[TimeZone]], $O$3:$P$8, 2, FALSE) / 24)</f>
        <v>45990.531878125003</v>
      </c>
      <c r="I137" s="1" t="s">
        <v>1944</v>
      </c>
      <c r="J137" s="1">
        <v>606.35</v>
      </c>
    </row>
    <row r="138" spans="1:10" x14ac:dyDescent="0.25">
      <c r="A138" s="1" t="s">
        <v>242</v>
      </c>
      <c r="B138" s="1" t="s">
        <v>243</v>
      </c>
      <c r="C138" s="1" t="s">
        <v>50</v>
      </c>
      <c r="D138" s="1">
        <v>35.5124</v>
      </c>
      <c r="E138" s="1">
        <v>-93.890600000000006</v>
      </c>
      <c r="F138" s="1" t="s">
        <v>1922</v>
      </c>
      <c r="G138" s="22">
        <v>1002.1134917954248</v>
      </c>
      <c r="H138" s="20">
        <f ca="1">NOW() - TIME(5,30,0) + (VLOOKUP(MasterTable[[#This Row],[TimeZone]], $O$3:$P$8, 2, FALSE) / 24)</f>
        <v>45990.531878125003</v>
      </c>
      <c r="I138" s="1" t="s">
        <v>1944</v>
      </c>
      <c r="J138" s="1">
        <v>646.51</v>
      </c>
    </row>
    <row r="139" spans="1:10" x14ac:dyDescent="0.25">
      <c r="A139" s="1" t="s">
        <v>242</v>
      </c>
      <c r="B139" s="1" t="s">
        <v>243</v>
      </c>
      <c r="C139" s="1" t="s">
        <v>1340</v>
      </c>
      <c r="D139" s="1">
        <v>33.589399999999998</v>
      </c>
      <c r="E139" s="1">
        <v>-91.72</v>
      </c>
      <c r="F139" s="1" t="s">
        <v>1922</v>
      </c>
      <c r="G139" s="22">
        <v>1116.6041290883848</v>
      </c>
      <c r="H139" s="20">
        <f ca="1">NOW() - TIME(5,30,0) + (VLOOKUP(MasterTable[[#This Row],[TimeZone]], $O$3:$P$8, 2, FALSE) / 24)</f>
        <v>45990.531878125003</v>
      </c>
      <c r="I139" s="1" t="s">
        <v>1944</v>
      </c>
      <c r="J139" s="1">
        <v>835.65</v>
      </c>
    </row>
    <row r="140" spans="1:10" x14ac:dyDescent="0.25">
      <c r="A140" s="1" t="s">
        <v>242</v>
      </c>
      <c r="B140" s="1" t="s">
        <v>243</v>
      </c>
      <c r="C140" s="1" t="s">
        <v>88</v>
      </c>
      <c r="D140" s="1">
        <v>36.2684</v>
      </c>
      <c r="E140" s="1">
        <v>-92.684200000000004</v>
      </c>
      <c r="F140" s="1" t="s">
        <v>1922</v>
      </c>
      <c r="G140" s="22">
        <v>1076.9863018760775</v>
      </c>
      <c r="H140" s="20">
        <f ca="1">NOW() - TIME(5,30,0) + (VLOOKUP(MasterTable[[#This Row],[TimeZone]], $O$3:$P$8, 2, FALSE) / 24)</f>
        <v>45990.531878125003</v>
      </c>
      <c r="I140" s="1" t="s">
        <v>1944</v>
      </c>
      <c r="J140" s="1">
        <v>743.57</v>
      </c>
    </row>
    <row r="141" spans="1:10" x14ac:dyDescent="0.25">
      <c r="A141" s="1" t="s">
        <v>242</v>
      </c>
      <c r="B141" s="1" t="s">
        <v>243</v>
      </c>
      <c r="C141" s="1" t="s">
        <v>244</v>
      </c>
      <c r="D141" s="1">
        <v>36.011000000000003</v>
      </c>
      <c r="E141" s="1">
        <v>-93.724599999999995</v>
      </c>
      <c r="F141" s="1" t="s">
        <v>1922</v>
      </c>
      <c r="G141" s="22">
        <v>1016.7451231524652</v>
      </c>
      <c r="H141" s="20">
        <f ca="1">NOW() - TIME(5,30,0) + (VLOOKUP(MasterTable[[#This Row],[TimeZone]], $O$3:$P$8, 2, FALSE) / 24)</f>
        <v>45990.531878125003</v>
      </c>
      <c r="I141" s="1" t="s">
        <v>1944</v>
      </c>
      <c r="J141" s="1">
        <v>812.85</v>
      </c>
    </row>
    <row r="142" spans="1:10" x14ac:dyDescent="0.25">
      <c r="A142" s="1" t="s">
        <v>242</v>
      </c>
      <c r="B142" s="1" t="s">
        <v>243</v>
      </c>
      <c r="C142" s="1" t="s">
        <v>140</v>
      </c>
      <c r="D142" s="1">
        <v>35.599200000000003</v>
      </c>
      <c r="E142" s="1">
        <v>-91.214500000000001</v>
      </c>
      <c r="F142" s="1" t="s">
        <v>1922</v>
      </c>
      <c r="G142" s="22">
        <v>1152.1297462689633</v>
      </c>
      <c r="H142" s="20">
        <f ca="1">NOW() - TIME(5,30,0) + (VLOOKUP(MasterTable[[#This Row],[TimeZone]], $O$3:$P$8, 2, FALSE) / 24)</f>
        <v>45990.531878125003</v>
      </c>
      <c r="I142" s="1" t="s">
        <v>1944</v>
      </c>
      <c r="J142" s="1">
        <v>1126.77</v>
      </c>
    </row>
    <row r="143" spans="1:10" x14ac:dyDescent="0.25">
      <c r="A143" s="1" t="s">
        <v>242</v>
      </c>
      <c r="B143" s="1" t="s">
        <v>243</v>
      </c>
      <c r="C143" s="1" t="s">
        <v>243</v>
      </c>
      <c r="D143" s="1">
        <v>34.289200000000001</v>
      </c>
      <c r="E143" s="1">
        <v>-91.374200000000002</v>
      </c>
      <c r="F143" s="1" t="s">
        <v>1922</v>
      </c>
      <c r="G143" s="22">
        <v>1136.9747931957581</v>
      </c>
      <c r="H143" s="20">
        <f ca="1">NOW() - TIME(5,30,0) + (VLOOKUP(MasterTable[[#This Row],[TimeZone]], $O$3:$P$8, 2, FALSE) / 24)</f>
        <v>45990.531878125003</v>
      </c>
      <c r="I143" s="1" t="s">
        <v>1944</v>
      </c>
      <c r="J143" s="1">
        <v>1033.79</v>
      </c>
    </row>
    <row r="144" spans="1:10" x14ac:dyDescent="0.25">
      <c r="A144" s="1" t="s">
        <v>242</v>
      </c>
      <c r="B144" s="1" t="s">
        <v>243</v>
      </c>
      <c r="C144" s="1" t="s">
        <v>1358</v>
      </c>
      <c r="D144" s="1">
        <v>35.295699999999997</v>
      </c>
      <c r="E144" s="1">
        <v>-90.771100000000004</v>
      </c>
      <c r="F144" s="1" t="s">
        <v>1922</v>
      </c>
      <c r="G144" s="22">
        <v>1175.0341352468861</v>
      </c>
      <c r="H144" s="20">
        <f ca="1">NOW() - TIME(5,30,0) + (VLOOKUP(MasterTable[[#This Row],[TimeZone]], $O$3:$P$8, 2, FALSE) / 24)</f>
        <v>45990.531878125003</v>
      </c>
      <c r="I144" s="1" t="s">
        <v>1944</v>
      </c>
      <c r="J144" s="1">
        <v>622.33000000000004</v>
      </c>
    </row>
    <row r="145" spans="1:10" x14ac:dyDescent="0.25">
      <c r="A145" s="1" t="s">
        <v>242</v>
      </c>
      <c r="B145" s="1" t="s">
        <v>243</v>
      </c>
      <c r="C145" s="1" t="s">
        <v>644</v>
      </c>
      <c r="D145" s="1">
        <v>36.041200000000003</v>
      </c>
      <c r="E145" s="1">
        <v>-91.106999999999999</v>
      </c>
      <c r="F145" s="1" t="s">
        <v>1922</v>
      </c>
      <c r="G145" s="22">
        <v>1161.6727068375835</v>
      </c>
      <c r="H145" s="20">
        <f ca="1">NOW() - TIME(5,30,0) + (VLOOKUP(MasterTable[[#This Row],[TimeZone]], $O$3:$P$8, 2, FALSE) / 24)</f>
        <v>45990.531878125003</v>
      </c>
      <c r="I145" s="1" t="s">
        <v>1944</v>
      </c>
      <c r="J145" s="1">
        <v>718.07</v>
      </c>
    </row>
    <row r="146" spans="1:10" x14ac:dyDescent="0.25">
      <c r="A146" s="1" t="s">
        <v>242</v>
      </c>
      <c r="B146" s="1" t="s">
        <v>243</v>
      </c>
      <c r="C146" s="1" t="s">
        <v>690</v>
      </c>
      <c r="D146" s="1">
        <v>35.580599999999997</v>
      </c>
      <c r="E146" s="1">
        <v>-92.515799999999999</v>
      </c>
      <c r="F146" s="1" t="s">
        <v>1922</v>
      </c>
      <c r="G146" s="22">
        <v>1079.3423508602971</v>
      </c>
      <c r="H146" s="20">
        <f ca="1">NOW() - TIME(5,30,0) + (VLOOKUP(MasterTable[[#This Row],[TimeZone]], $O$3:$P$8, 2, FALSE) / 24)</f>
        <v>45990.531878125003</v>
      </c>
      <c r="I146" s="1" t="s">
        <v>1944</v>
      </c>
      <c r="J146" s="1">
        <v>724.32</v>
      </c>
    </row>
    <row r="147" spans="1:10" x14ac:dyDescent="0.25">
      <c r="A147" s="1" t="s">
        <v>242</v>
      </c>
      <c r="B147" s="1" t="s">
        <v>243</v>
      </c>
      <c r="C147" s="1" t="s">
        <v>1381</v>
      </c>
      <c r="D147" s="1">
        <v>34.427399999999999</v>
      </c>
      <c r="E147" s="1">
        <v>-90.8489</v>
      </c>
      <c r="F147" s="1" t="s">
        <v>1922</v>
      </c>
      <c r="G147" s="22">
        <v>1167.2239108000174</v>
      </c>
      <c r="H147" s="20">
        <f ca="1">NOW() - TIME(5,30,0) + (VLOOKUP(MasterTable[[#This Row],[TimeZone]], $O$3:$P$8, 2, FALSE) / 24)</f>
        <v>45990.531878125003</v>
      </c>
      <c r="I147" s="1" t="s">
        <v>1944</v>
      </c>
      <c r="J147" s="1">
        <v>727.29</v>
      </c>
    </row>
    <row r="148" spans="1:10" x14ac:dyDescent="0.25">
      <c r="A148" s="1" t="s">
        <v>242</v>
      </c>
      <c r="B148" s="1" t="s">
        <v>243</v>
      </c>
      <c r="C148" s="1" t="s">
        <v>599</v>
      </c>
      <c r="D148" s="1">
        <v>33.997199999999999</v>
      </c>
      <c r="E148" s="1">
        <v>-94.241200000000006</v>
      </c>
      <c r="F148" s="1" t="s">
        <v>1922</v>
      </c>
      <c r="G148" s="22">
        <v>972.37204237268838</v>
      </c>
      <c r="H148" s="20">
        <f ca="1">NOW() - TIME(5,30,0) + (VLOOKUP(MasterTable[[#This Row],[TimeZone]], $O$3:$P$8, 2, FALSE) / 24)</f>
        <v>45990.531878125003</v>
      </c>
      <c r="I148" s="1" t="s">
        <v>1944</v>
      </c>
      <c r="J148" s="1">
        <v>581.35</v>
      </c>
    </row>
    <row r="149" spans="1:10" x14ac:dyDescent="0.25">
      <c r="A149" s="1" t="s">
        <v>242</v>
      </c>
      <c r="B149" s="1" t="s">
        <v>243</v>
      </c>
      <c r="C149" s="1" t="s">
        <v>327</v>
      </c>
      <c r="D149" s="1">
        <v>36.368299999999998</v>
      </c>
      <c r="E149" s="1">
        <v>-90.417299999999997</v>
      </c>
      <c r="F149" s="1" t="s">
        <v>1922</v>
      </c>
      <c r="G149" s="22">
        <v>1202.7735498111663</v>
      </c>
      <c r="H149" s="20">
        <f ca="1">NOW() - TIME(5,30,0) + (VLOOKUP(MasterTable[[#This Row],[TimeZone]], $O$3:$P$8, 2, FALSE) / 24)</f>
        <v>45990.531878125003</v>
      </c>
      <c r="I149" s="1" t="s">
        <v>1944</v>
      </c>
      <c r="J149" s="1">
        <v>606</v>
      </c>
    </row>
    <row r="150" spans="1:10" x14ac:dyDescent="0.25">
      <c r="A150" s="1" t="s">
        <v>242</v>
      </c>
      <c r="B150" s="1" t="s">
        <v>243</v>
      </c>
      <c r="C150" s="1" t="s">
        <v>1443</v>
      </c>
      <c r="D150" s="1">
        <v>36.094900000000003</v>
      </c>
      <c r="E150" s="1">
        <v>-91.913399999999996</v>
      </c>
      <c r="F150" s="1" t="s">
        <v>1922</v>
      </c>
      <c r="G150" s="22">
        <v>1117.5620664020541</v>
      </c>
      <c r="H150" s="20">
        <f ca="1">NOW() - TIME(5,30,0) + (VLOOKUP(MasterTable[[#This Row],[TimeZone]], $O$3:$P$8, 2, FALSE) / 24)</f>
        <v>45990.531878125003</v>
      </c>
      <c r="I150" s="1" t="s">
        <v>1944</v>
      </c>
      <c r="J150" s="1">
        <v>584.02</v>
      </c>
    </row>
    <row r="151" spans="1:10" x14ac:dyDescent="0.25">
      <c r="A151" s="1" t="s">
        <v>242</v>
      </c>
      <c r="B151" s="1" t="s">
        <v>243</v>
      </c>
      <c r="C151" s="1" t="s">
        <v>632</v>
      </c>
      <c r="D151" s="1">
        <v>33.957000000000001</v>
      </c>
      <c r="E151" s="1">
        <v>-91.734399999999994</v>
      </c>
      <c r="F151" s="1" t="s">
        <v>1922</v>
      </c>
      <c r="G151" s="22">
        <v>1115.8609028185149</v>
      </c>
      <c r="H151" s="20">
        <f ca="1">NOW() - TIME(5,30,0) + (VLOOKUP(MasterTable[[#This Row],[TimeZone]], $O$3:$P$8, 2, FALSE) / 24)</f>
        <v>45990.531878125003</v>
      </c>
      <c r="I151" s="1" t="s">
        <v>1944</v>
      </c>
      <c r="J151" s="1">
        <v>572.16999999999996</v>
      </c>
    </row>
    <row r="152" spans="1:10" x14ac:dyDescent="0.25">
      <c r="A152" s="1" t="s">
        <v>242</v>
      </c>
      <c r="B152" s="1" t="s">
        <v>243</v>
      </c>
      <c r="C152" s="1" t="s">
        <v>273</v>
      </c>
      <c r="D152" s="1">
        <v>34.088900000000002</v>
      </c>
      <c r="E152" s="1">
        <v>-93.993600000000001</v>
      </c>
      <c r="F152" s="1" t="s">
        <v>1922</v>
      </c>
      <c r="G152" s="22">
        <v>986.83143903998814</v>
      </c>
      <c r="H152" s="20">
        <f ca="1">NOW() - TIME(5,30,0) + (VLOOKUP(MasterTable[[#This Row],[TimeZone]], $O$3:$P$8, 2, FALSE) / 24)</f>
        <v>45990.531878125003</v>
      </c>
      <c r="I152" s="1" t="s">
        <v>1944</v>
      </c>
      <c r="J152" s="1">
        <v>595.20000000000005</v>
      </c>
    </row>
    <row r="153" spans="1:10" x14ac:dyDescent="0.25">
      <c r="A153" s="1" t="s">
        <v>242</v>
      </c>
      <c r="B153" s="1" t="s">
        <v>243</v>
      </c>
      <c r="C153" s="1" t="s">
        <v>1050</v>
      </c>
      <c r="D153" s="1">
        <v>35.859900000000003</v>
      </c>
      <c r="E153" s="1">
        <v>-92.156800000000004</v>
      </c>
      <c r="F153" s="1" t="s">
        <v>1922</v>
      </c>
      <c r="G153" s="22">
        <v>1101.812705889567</v>
      </c>
      <c r="H153" s="20">
        <f ca="1">NOW() - TIME(5,30,0) + (VLOOKUP(MasterTable[[#This Row],[TimeZone]], $O$3:$P$8, 2, FALSE) / 24)</f>
        <v>45990.531878125003</v>
      </c>
      <c r="I153" s="1" t="s">
        <v>1944</v>
      </c>
      <c r="J153" s="1">
        <v>609.42999999999995</v>
      </c>
    </row>
    <row r="154" spans="1:10" x14ac:dyDescent="0.25">
      <c r="A154" s="1" t="s">
        <v>242</v>
      </c>
      <c r="B154" s="1" t="s">
        <v>243</v>
      </c>
      <c r="C154" s="1" t="s">
        <v>72</v>
      </c>
      <c r="D154" s="1">
        <v>36.381700000000002</v>
      </c>
      <c r="E154" s="1">
        <v>-91.818200000000004</v>
      </c>
      <c r="F154" s="1" t="s">
        <v>1922</v>
      </c>
      <c r="G154" s="22">
        <v>1125.8272397834226</v>
      </c>
      <c r="H154" s="20">
        <f ca="1">NOW() - TIME(5,30,0) + (VLOOKUP(MasterTable[[#This Row],[TimeZone]], $O$3:$P$8, 2, FALSE) / 24)</f>
        <v>45990.531878125003</v>
      </c>
      <c r="I154" s="1" t="s">
        <v>1944</v>
      </c>
      <c r="J154" s="1">
        <v>620.30999999999995</v>
      </c>
    </row>
    <row r="155" spans="1:10" x14ac:dyDescent="0.25">
      <c r="A155" s="1" t="s">
        <v>242</v>
      </c>
      <c r="B155" s="1" t="s">
        <v>243</v>
      </c>
      <c r="C155" s="1" t="s">
        <v>1502</v>
      </c>
      <c r="D155" s="1">
        <v>33.700899999999997</v>
      </c>
      <c r="E155" s="1">
        <v>-94.235200000000006</v>
      </c>
      <c r="F155" s="1" t="s">
        <v>1922</v>
      </c>
      <c r="G155" s="22">
        <v>971.99594224742611</v>
      </c>
      <c r="H155" s="20">
        <f ca="1">NOW() - TIME(5,30,0) + (VLOOKUP(MasterTable[[#This Row],[TimeZone]], $O$3:$P$8, 2, FALSE) / 24)</f>
        <v>45990.531878125003</v>
      </c>
      <c r="I155" s="1" t="s">
        <v>1944</v>
      </c>
      <c r="J155" s="1">
        <v>564.87</v>
      </c>
    </row>
    <row r="156" spans="1:10" x14ac:dyDescent="0.25">
      <c r="A156" s="1" t="s">
        <v>242</v>
      </c>
      <c r="B156" s="1" t="s">
        <v>243</v>
      </c>
      <c r="C156" s="1" t="s">
        <v>1522</v>
      </c>
      <c r="D156" s="1">
        <v>33.8309</v>
      </c>
      <c r="E156" s="1">
        <v>-91.255099999999999</v>
      </c>
      <c r="F156" s="1" t="s">
        <v>1922</v>
      </c>
      <c r="G156" s="22">
        <v>1143.2788127834701</v>
      </c>
      <c r="H156" s="20">
        <f ca="1">NOW() - TIME(5,30,0) + (VLOOKUP(MasterTable[[#This Row],[TimeZone]], $O$3:$P$8, 2, FALSE) / 24)</f>
        <v>45990.531878125003</v>
      </c>
      <c r="I156" s="1" t="s">
        <v>1944</v>
      </c>
      <c r="J156" s="1">
        <v>819.52</v>
      </c>
    </row>
    <row r="157" spans="1:10" x14ac:dyDescent="0.25">
      <c r="A157" s="1" t="s">
        <v>242</v>
      </c>
      <c r="B157" s="1" t="s">
        <v>243</v>
      </c>
      <c r="C157" s="1" t="s">
        <v>554</v>
      </c>
      <c r="D157" s="1">
        <v>33.4664</v>
      </c>
      <c r="E157" s="1">
        <v>-92.162400000000005</v>
      </c>
      <c r="F157" s="1" t="s">
        <v>1922</v>
      </c>
      <c r="G157" s="22">
        <v>1091.2037674085866</v>
      </c>
      <c r="H157" s="20">
        <f ca="1">NOW() - TIME(5,30,0) + (VLOOKUP(MasterTable[[#This Row],[TimeZone]], $O$3:$P$8, 2, FALSE) / 24)</f>
        <v>45990.531878125003</v>
      </c>
      <c r="I157" s="1" t="s">
        <v>1944</v>
      </c>
      <c r="J157" s="1">
        <v>654.38</v>
      </c>
    </row>
    <row r="158" spans="1:10" x14ac:dyDescent="0.25">
      <c r="A158" s="1" t="s">
        <v>242</v>
      </c>
      <c r="B158" s="1" t="s">
        <v>243</v>
      </c>
      <c r="C158" s="1" t="s">
        <v>783</v>
      </c>
      <c r="D158" s="1">
        <v>34.163499999999999</v>
      </c>
      <c r="E158" s="1">
        <v>-93.656400000000005</v>
      </c>
      <c r="F158" s="1" t="s">
        <v>1922</v>
      </c>
      <c r="G158" s="22">
        <v>1006.3491568066383</v>
      </c>
      <c r="H158" s="20">
        <f ca="1">NOW() - TIME(5,30,0) + (VLOOKUP(MasterTable[[#This Row],[TimeZone]], $O$3:$P$8, 2, FALSE) / 24)</f>
        <v>45990.531878125003</v>
      </c>
      <c r="I158" s="1" t="s">
        <v>1944</v>
      </c>
      <c r="J158" s="1">
        <v>672.1</v>
      </c>
    </row>
    <row r="159" spans="1:10" x14ac:dyDescent="0.25">
      <c r="A159" s="1" t="s">
        <v>242</v>
      </c>
      <c r="B159" s="1" t="s">
        <v>243</v>
      </c>
      <c r="C159" s="1" t="s">
        <v>877</v>
      </c>
      <c r="D159" s="1">
        <v>34.947499999999998</v>
      </c>
      <c r="E159" s="1">
        <v>-92.931299999999993</v>
      </c>
      <c r="F159" s="1" t="s">
        <v>1922</v>
      </c>
      <c r="G159" s="22">
        <v>1051.3298606459311</v>
      </c>
      <c r="H159" s="20">
        <f ca="1">NOW() - TIME(5,30,0) + (VLOOKUP(MasterTable[[#This Row],[TimeZone]], $O$3:$P$8, 2, FALSE) / 24)</f>
        <v>45990.531878125003</v>
      </c>
      <c r="I159" s="1" t="s">
        <v>1944</v>
      </c>
      <c r="J159" s="1">
        <v>724.08</v>
      </c>
    </row>
    <row r="160" spans="1:10" x14ac:dyDescent="0.25">
      <c r="A160" s="1" t="s">
        <v>242</v>
      </c>
      <c r="B160" s="1" t="s">
        <v>243</v>
      </c>
      <c r="C160" s="1" t="s">
        <v>1552</v>
      </c>
      <c r="D160" s="1">
        <v>33.267000000000003</v>
      </c>
      <c r="E160" s="1">
        <v>-91.293700000000001</v>
      </c>
      <c r="F160" s="1" t="s">
        <v>1922</v>
      </c>
      <c r="G160" s="22">
        <v>1141.6137996382301</v>
      </c>
      <c r="H160" s="20">
        <f ca="1">NOW() - TIME(5,30,0) + (VLOOKUP(MasterTable[[#This Row],[TimeZone]], $O$3:$P$8, 2, FALSE) / 24)</f>
        <v>45990.531878125003</v>
      </c>
      <c r="I160" s="1" t="s">
        <v>1944</v>
      </c>
      <c r="J160" s="1">
        <v>690.88</v>
      </c>
    </row>
    <row r="161" spans="1:10" x14ac:dyDescent="0.25">
      <c r="A161" s="1" t="s">
        <v>242</v>
      </c>
      <c r="B161" s="1" t="s">
        <v>243</v>
      </c>
      <c r="C161" s="1" t="s">
        <v>419</v>
      </c>
      <c r="D161" s="1">
        <v>34.860700000000001</v>
      </c>
      <c r="E161" s="1">
        <v>-94.063299999999998</v>
      </c>
      <c r="F161" s="1" t="s">
        <v>1922</v>
      </c>
      <c r="G161" s="22">
        <v>986.90302641009373</v>
      </c>
      <c r="H161" s="20">
        <f ca="1">NOW() - TIME(5,30,0) + (VLOOKUP(MasterTable[[#This Row],[TimeZone]], $O$3:$P$8, 2, FALSE) / 24)</f>
        <v>45990.531878125003</v>
      </c>
      <c r="I161" s="1" t="s">
        <v>1944</v>
      </c>
      <c r="J161" s="1">
        <v>898.09</v>
      </c>
    </row>
    <row r="162" spans="1:10" x14ac:dyDescent="0.25">
      <c r="A162" s="1" t="s">
        <v>242</v>
      </c>
      <c r="B162" s="1" t="s">
        <v>243</v>
      </c>
      <c r="C162" s="1" t="s">
        <v>75</v>
      </c>
      <c r="D162" s="1">
        <v>34.538899999999998</v>
      </c>
      <c r="E162" s="1">
        <v>-93.659599999999998</v>
      </c>
      <c r="F162" s="1" t="s">
        <v>1922</v>
      </c>
      <c r="G162" s="22">
        <v>1007.779235408618</v>
      </c>
      <c r="H162" s="20">
        <f ca="1">NOW() - TIME(5,30,0) + (VLOOKUP(MasterTable[[#This Row],[TimeZone]], $O$3:$P$8, 2, FALSE) / 24)</f>
        <v>45990.531878125003</v>
      </c>
      <c r="I162" s="1" t="s">
        <v>1944</v>
      </c>
      <c r="J162" s="1">
        <v>799.76</v>
      </c>
    </row>
    <row r="163" spans="1:10" x14ac:dyDescent="0.25">
      <c r="A163" s="1" t="s">
        <v>242</v>
      </c>
      <c r="B163" s="1" t="s">
        <v>243</v>
      </c>
      <c r="C163" s="1" t="s">
        <v>127</v>
      </c>
      <c r="D163" s="1">
        <v>34.780500000000004</v>
      </c>
      <c r="E163" s="1">
        <v>-90.780799999999999</v>
      </c>
      <c r="F163" s="1" t="s">
        <v>1922</v>
      </c>
      <c r="G163" s="22">
        <v>1172.1216359403104</v>
      </c>
      <c r="H163" s="20">
        <f ca="1">NOW() - TIME(5,30,0) + (VLOOKUP(MasterTable[[#This Row],[TimeZone]], $O$3:$P$8, 2, FALSE) / 24)</f>
        <v>45990.531878125003</v>
      </c>
      <c r="I163" s="1" t="s">
        <v>1944</v>
      </c>
      <c r="J163" s="1">
        <v>615.54999999999995</v>
      </c>
    </row>
    <row r="164" spans="1:10" x14ac:dyDescent="0.25">
      <c r="A164" s="1" t="s">
        <v>242</v>
      </c>
      <c r="B164" s="1" t="s">
        <v>243</v>
      </c>
      <c r="C164" s="1" t="s">
        <v>25</v>
      </c>
      <c r="D164" s="1">
        <v>33.664000000000001</v>
      </c>
      <c r="E164" s="1">
        <v>-93.307199999999995</v>
      </c>
      <c r="F164" s="1" t="s">
        <v>1922</v>
      </c>
      <c r="G164" s="22">
        <v>1025.2970842828813</v>
      </c>
      <c r="H164" s="20">
        <f ca="1">NOW() - TIME(5,30,0) + (VLOOKUP(MasterTable[[#This Row],[TimeZone]], $O$3:$P$8, 2, FALSE) / 24)</f>
        <v>45990.531878125003</v>
      </c>
      <c r="I164" s="1" t="s">
        <v>1944</v>
      </c>
      <c r="J164" s="1">
        <v>620.78</v>
      </c>
    </row>
    <row r="165" spans="1:10" x14ac:dyDescent="0.25">
      <c r="A165" s="1" t="s">
        <v>242</v>
      </c>
      <c r="B165" s="1" t="s">
        <v>243</v>
      </c>
      <c r="C165" s="1" t="s">
        <v>1624</v>
      </c>
      <c r="D165" s="1">
        <v>34.829799999999999</v>
      </c>
      <c r="E165" s="1">
        <v>-91.552800000000005</v>
      </c>
      <c r="F165" s="1" t="s">
        <v>1922</v>
      </c>
      <c r="G165" s="22">
        <v>1128.5938304720084</v>
      </c>
      <c r="H165" s="20">
        <f ca="1">NOW() - TIME(5,30,0) + (VLOOKUP(MasterTable[[#This Row],[TimeZone]], $O$3:$P$8, 2, FALSE) / 24)</f>
        <v>45990.531878125003</v>
      </c>
      <c r="I165" s="1" t="s">
        <v>1944</v>
      </c>
      <c r="J165" s="1">
        <v>675.76</v>
      </c>
    </row>
    <row r="166" spans="1:10" x14ac:dyDescent="0.25">
      <c r="A166" s="1" t="s">
        <v>242</v>
      </c>
      <c r="B166" s="1" t="s">
        <v>243</v>
      </c>
      <c r="C166" s="1" t="s">
        <v>1631</v>
      </c>
      <c r="D166" s="1">
        <v>35.911000000000001</v>
      </c>
      <c r="E166" s="1">
        <v>-92.6995</v>
      </c>
      <c r="F166" s="1" t="s">
        <v>1922</v>
      </c>
      <c r="G166" s="22">
        <v>1072.2343642144228</v>
      </c>
      <c r="H166" s="20">
        <f ca="1">NOW() - TIME(5,30,0) + (VLOOKUP(MasterTable[[#This Row],[TimeZone]], $O$3:$P$8, 2, FALSE) / 24)</f>
        <v>45990.531878125003</v>
      </c>
      <c r="I166" s="1" t="s">
        <v>1944</v>
      </c>
      <c r="J166" s="1">
        <v>668.51</v>
      </c>
    </row>
    <row r="167" spans="1:10" x14ac:dyDescent="0.25">
      <c r="A167" s="1" t="s">
        <v>242</v>
      </c>
      <c r="B167" s="1" t="s">
        <v>243</v>
      </c>
      <c r="C167" s="1" t="s">
        <v>294</v>
      </c>
      <c r="D167" s="1">
        <v>33.898400000000002</v>
      </c>
      <c r="E167" s="1">
        <v>-92.185199999999995</v>
      </c>
      <c r="F167" s="1" t="s">
        <v>1922</v>
      </c>
      <c r="G167" s="22">
        <v>1089.9571450509236</v>
      </c>
      <c r="H167" s="20">
        <f ca="1">NOW() - TIME(5,30,0) + (VLOOKUP(MasterTable[[#This Row],[TimeZone]], $O$3:$P$8, 2, FALSE) / 24)</f>
        <v>45990.531878125003</v>
      </c>
      <c r="I167" s="1" t="s">
        <v>1944</v>
      </c>
      <c r="J167" s="1">
        <v>598.79999999999995</v>
      </c>
    </row>
    <row r="168" spans="1:10" x14ac:dyDescent="0.25">
      <c r="A168" s="1" t="s">
        <v>242</v>
      </c>
      <c r="B168" s="1" t="s">
        <v>243</v>
      </c>
      <c r="C168" s="1" t="s">
        <v>539</v>
      </c>
      <c r="D168" s="1">
        <v>35.92</v>
      </c>
      <c r="E168" s="1">
        <v>-93.2179</v>
      </c>
      <c r="F168" s="1" t="s">
        <v>1922</v>
      </c>
      <c r="G168" s="22">
        <v>1043.6576668206133</v>
      </c>
      <c r="H168" s="20">
        <f ca="1">NOW() - TIME(5,30,0) + (VLOOKUP(MasterTable[[#This Row],[TimeZone]], $O$3:$P$8, 2, FALSE) / 24)</f>
        <v>45990.531878125003</v>
      </c>
      <c r="I168" s="1" t="s">
        <v>1944</v>
      </c>
      <c r="J168" s="1">
        <v>823.18</v>
      </c>
    </row>
    <row r="169" spans="1:10" x14ac:dyDescent="0.25">
      <c r="A169" s="1" t="s">
        <v>242</v>
      </c>
      <c r="B169" s="1" t="s">
        <v>243</v>
      </c>
      <c r="C169" s="1" t="s">
        <v>135</v>
      </c>
      <c r="D169" s="1">
        <v>34.677799999999998</v>
      </c>
      <c r="E169" s="1">
        <v>-91.203900000000004</v>
      </c>
      <c r="F169" s="1" t="s">
        <v>1922</v>
      </c>
      <c r="G169" s="22">
        <v>1147.7610554555788</v>
      </c>
      <c r="H169" s="20">
        <f ca="1">NOW() - TIME(5,30,0) + (VLOOKUP(MasterTable[[#This Row],[TimeZone]], $O$3:$P$8, 2, FALSE) / 24)</f>
        <v>45990.531878125003</v>
      </c>
      <c r="I169" s="1" t="s">
        <v>1944</v>
      </c>
      <c r="J169" s="1">
        <v>1034.53</v>
      </c>
    </row>
    <row r="170" spans="1:10" x14ac:dyDescent="0.25">
      <c r="A170" s="1" t="s">
        <v>242</v>
      </c>
      <c r="B170" s="1" t="s">
        <v>243</v>
      </c>
      <c r="C170" s="1" t="s">
        <v>20</v>
      </c>
      <c r="D170" s="1">
        <v>33.969900000000003</v>
      </c>
      <c r="E170" s="1">
        <v>-92.654399999999995</v>
      </c>
      <c r="F170" s="1" t="s">
        <v>1922</v>
      </c>
      <c r="G170" s="22">
        <v>1063.1646406177533</v>
      </c>
      <c r="H170" s="20">
        <f ca="1">NOW() - TIME(5,30,0) + (VLOOKUP(MasterTable[[#This Row],[TimeZone]], $O$3:$P$8, 2, FALSE) / 24)</f>
        <v>45990.531878125003</v>
      </c>
      <c r="I170" s="1" t="s">
        <v>1944</v>
      </c>
      <c r="J170" s="1">
        <v>993.37</v>
      </c>
    </row>
    <row r="171" spans="1:10" x14ac:dyDescent="0.25">
      <c r="A171" s="1" t="s">
        <v>242</v>
      </c>
      <c r="B171" s="1" t="s">
        <v>243</v>
      </c>
      <c r="C171" s="1" t="s">
        <v>333</v>
      </c>
      <c r="D171" s="1">
        <v>33.241599999999998</v>
      </c>
      <c r="E171" s="1">
        <v>-93.606999999999999</v>
      </c>
      <c r="F171" s="1" t="s">
        <v>1922</v>
      </c>
      <c r="G171" s="22">
        <v>1008.0177894123694</v>
      </c>
      <c r="H171" s="20">
        <f ca="1">NOW() - TIME(5,30,0) + (VLOOKUP(MasterTable[[#This Row],[TimeZone]], $O$3:$P$8, 2, FALSE) / 24)</f>
        <v>45990.531878125003</v>
      </c>
      <c r="I171" s="1" t="s">
        <v>1944</v>
      </c>
      <c r="J171" s="1">
        <v>545.07000000000005</v>
      </c>
    </row>
    <row r="172" spans="1:10" x14ac:dyDescent="0.25">
      <c r="A172" s="1" t="s">
        <v>242</v>
      </c>
      <c r="B172" s="1" t="s">
        <v>243</v>
      </c>
      <c r="C172" s="1" t="s">
        <v>1707</v>
      </c>
      <c r="D172" s="1">
        <v>35.186300000000003</v>
      </c>
      <c r="E172" s="1">
        <v>-91.243099999999998</v>
      </c>
      <c r="F172" s="1" t="s">
        <v>1922</v>
      </c>
      <c r="G172" s="22">
        <v>1147.8716176568846</v>
      </c>
      <c r="H172" s="20">
        <f ca="1">NOW() - TIME(5,30,0) + (VLOOKUP(MasterTable[[#This Row],[TimeZone]], $O$3:$P$8, 2, FALSE) / 24)</f>
        <v>45990.531878125003</v>
      </c>
      <c r="I172" s="1" t="s">
        <v>1944</v>
      </c>
      <c r="J172" s="1">
        <v>594.04999999999995</v>
      </c>
    </row>
    <row r="173" spans="1:10" x14ac:dyDescent="0.25">
      <c r="A173" s="1" t="s">
        <v>242</v>
      </c>
      <c r="B173" s="1" t="s">
        <v>243</v>
      </c>
      <c r="C173" s="1" t="s">
        <v>498</v>
      </c>
      <c r="D173" s="1">
        <v>33.558100000000003</v>
      </c>
      <c r="E173" s="1">
        <v>-92.503</v>
      </c>
      <c r="F173" s="1" t="s">
        <v>1922</v>
      </c>
      <c r="G173" s="22">
        <v>1071.5383045829367</v>
      </c>
      <c r="H173" s="20">
        <f ca="1">NOW() - TIME(5,30,0) + (VLOOKUP(MasterTable[[#This Row],[TimeZone]], $O$3:$P$8, 2, FALSE) / 24)</f>
        <v>45990.531878125003</v>
      </c>
      <c r="I173" s="1" t="s">
        <v>1944</v>
      </c>
      <c r="J173" s="1">
        <v>612.32000000000005</v>
      </c>
    </row>
    <row r="174" spans="1:10" x14ac:dyDescent="0.25">
      <c r="A174" s="1" t="s">
        <v>10</v>
      </c>
      <c r="B174" s="1" t="s">
        <v>11</v>
      </c>
      <c r="C174" s="1" t="s">
        <v>9</v>
      </c>
      <c r="D174" s="1">
        <v>33.348999999999997</v>
      </c>
      <c r="E174" s="1">
        <v>-112.4915</v>
      </c>
      <c r="F174" s="1" t="s">
        <v>1923</v>
      </c>
      <c r="G174" s="22">
        <v>119.71491084158471</v>
      </c>
      <c r="H174" s="20">
        <f ca="1">NOW() - TIME(5,30,0) + (VLOOKUP(MasterTable[[#This Row],[TimeZone]], $O$3:$P$8, 2, FALSE) / 24)</f>
        <v>45990.490211458338</v>
      </c>
      <c r="I174" s="1" t="s">
        <v>1945</v>
      </c>
      <c r="J174" s="1">
        <v>9224.27</v>
      </c>
    </row>
    <row r="175" spans="1:10" x14ac:dyDescent="0.25">
      <c r="A175" s="1" t="s">
        <v>10</v>
      </c>
      <c r="B175" s="1" t="s">
        <v>11</v>
      </c>
      <c r="C175" s="1" t="s">
        <v>78</v>
      </c>
      <c r="D175" s="1">
        <v>32.0974</v>
      </c>
      <c r="E175" s="1">
        <v>-111.7899</v>
      </c>
      <c r="F175" s="1" t="s">
        <v>1923</v>
      </c>
      <c r="G175" s="22">
        <v>51.23028570043676</v>
      </c>
      <c r="H175" s="20">
        <f ca="1">NOW() - TIME(5,30,0) + (VLOOKUP(MasterTable[[#This Row],[TimeZone]], $O$3:$P$8, 2, FALSE) / 24)</f>
        <v>45990.490211458338</v>
      </c>
      <c r="I175" s="1" t="s">
        <v>1945</v>
      </c>
      <c r="J175" s="1">
        <v>9188.83</v>
      </c>
    </row>
    <row r="176" spans="1:10" x14ac:dyDescent="0.25">
      <c r="A176" s="1" t="s">
        <v>10</v>
      </c>
      <c r="B176" s="1" t="s">
        <v>11</v>
      </c>
      <c r="C176" s="1" t="s">
        <v>220</v>
      </c>
      <c r="D176" s="1">
        <v>32.904400000000003</v>
      </c>
      <c r="E176" s="1">
        <v>-111.34480000000001</v>
      </c>
      <c r="F176" s="1" t="s">
        <v>1923</v>
      </c>
      <c r="G176" s="22">
        <v>53.091164486231243</v>
      </c>
      <c r="H176" s="20">
        <f ca="1">NOW() - TIME(5,30,0) + (VLOOKUP(MasterTable[[#This Row],[TimeZone]], $O$3:$P$8, 2, FALSE) / 24)</f>
        <v>45990.490211458338</v>
      </c>
      <c r="I176" s="1" t="s">
        <v>1945</v>
      </c>
      <c r="J176" s="1">
        <v>5374.09</v>
      </c>
    </row>
    <row r="177" spans="1:10" x14ac:dyDescent="0.25">
      <c r="A177" s="1" t="s">
        <v>10</v>
      </c>
      <c r="B177" s="1" t="s">
        <v>11</v>
      </c>
      <c r="C177" s="1" t="s">
        <v>335</v>
      </c>
      <c r="D177" s="1">
        <v>34.599800000000002</v>
      </c>
      <c r="E177" s="1">
        <v>-112.5538</v>
      </c>
      <c r="F177" s="1" t="s">
        <v>1923</v>
      </c>
      <c r="G177" s="22">
        <v>189.23035699764969</v>
      </c>
      <c r="H177" s="20">
        <f ca="1">NOW() - TIME(5,30,0) + (VLOOKUP(MasterTable[[#This Row],[TimeZone]], $O$3:$P$8, 2, FALSE) / 24)</f>
        <v>45990.490211458338</v>
      </c>
      <c r="I177" s="1" t="s">
        <v>1945</v>
      </c>
      <c r="J177" s="1">
        <v>8127.78</v>
      </c>
    </row>
    <row r="178" spans="1:10" x14ac:dyDescent="0.25">
      <c r="A178" s="1" t="s">
        <v>10</v>
      </c>
      <c r="B178" s="1" t="s">
        <v>11</v>
      </c>
      <c r="C178" s="1" t="s">
        <v>358</v>
      </c>
      <c r="D178" s="1">
        <v>35.704099999999997</v>
      </c>
      <c r="E178" s="1">
        <v>-113.75790000000001</v>
      </c>
      <c r="F178" s="1" t="s">
        <v>1923</v>
      </c>
      <c r="G178" s="22">
        <v>290.18972630152012</v>
      </c>
      <c r="H178" s="20">
        <f ca="1">NOW() - TIME(5,30,0) + (VLOOKUP(MasterTable[[#This Row],[TimeZone]], $O$3:$P$8, 2, FALSE) / 24)</f>
        <v>45990.490211458338</v>
      </c>
      <c r="I178" s="1" t="s">
        <v>1945</v>
      </c>
      <c r="J178" s="1">
        <v>13469.71</v>
      </c>
    </row>
    <row r="179" spans="1:10" x14ac:dyDescent="0.25">
      <c r="A179" s="1" t="s">
        <v>10</v>
      </c>
      <c r="B179" s="1" t="s">
        <v>11</v>
      </c>
      <c r="C179" s="1" t="s">
        <v>368</v>
      </c>
      <c r="D179" s="1">
        <v>32.769500000000001</v>
      </c>
      <c r="E179" s="1">
        <v>-113.90560000000001</v>
      </c>
      <c r="F179" s="1" t="s">
        <v>1923</v>
      </c>
      <c r="G179" s="22">
        <v>177.69072431984708</v>
      </c>
      <c r="H179" s="20">
        <f ca="1">NOW() - TIME(5,30,0) + (VLOOKUP(MasterTable[[#This Row],[TimeZone]], $O$3:$P$8, 2, FALSE) / 24)</f>
        <v>45990.490211458338</v>
      </c>
      <c r="I179" s="1" t="s">
        <v>1945</v>
      </c>
      <c r="J179" s="1">
        <v>5518.96</v>
      </c>
    </row>
    <row r="180" spans="1:10" x14ac:dyDescent="0.25">
      <c r="A180" s="1" t="s">
        <v>10</v>
      </c>
      <c r="B180" s="1" t="s">
        <v>11</v>
      </c>
      <c r="C180" s="1" t="s">
        <v>479</v>
      </c>
      <c r="D180" s="1">
        <v>35.838700000000003</v>
      </c>
      <c r="E180" s="1">
        <v>-111.7705</v>
      </c>
      <c r="F180" s="1" t="s">
        <v>1923</v>
      </c>
      <c r="G180" s="22">
        <v>254.55257822687764</v>
      </c>
      <c r="H180" s="20">
        <f ca="1">NOW() - TIME(5,30,0) + (VLOOKUP(MasterTable[[#This Row],[TimeZone]], $O$3:$P$8, 2, FALSE) / 24)</f>
        <v>45990.490211458338</v>
      </c>
      <c r="I180" s="1" t="s">
        <v>1945</v>
      </c>
      <c r="J180" s="1">
        <v>18661.21</v>
      </c>
    </row>
    <row r="181" spans="1:10" x14ac:dyDescent="0.25">
      <c r="A181" s="1" t="s">
        <v>10</v>
      </c>
      <c r="B181" s="1" t="s">
        <v>11</v>
      </c>
      <c r="C181" s="1" t="s">
        <v>519</v>
      </c>
      <c r="D181" s="1">
        <v>31.8796</v>
      </c>
      <c r="E181" s="1">
        <v>-109.7512</v>
      </c>
      <c r="F181" s="1" t="s">
        <v>1923</v>
      </c>
      <c r="G181" s="22">
        <v>72.777533636748487</v>
      </c>
      <c r="H181" s="20">
        <f ca="1">NOW() - TIME(5,30,0) + (VLOOKUP(MasterTable[[#This Row],[TimeZone]], $O$3:$P$8, 2, FALSE) / 24)</f>
        <v>45990.490211458338</v>
      </c>
      <c r="I181" s="1" t="s">
        <v>1945</v>
      </c>
      <c r="J181" s="1">
        <v>6218.77</v>
      </c>
    </row>
    <row r="182" spans="1:10" x14ac:dyDescent="0.25">
      <c r="A182" s="1" t="s">
        <v>10</v>
      </c>
      <c r="B182" s="1" t="s">
        <v>11</v>
      </c>
      <c r="C182" s="1" t="s">
        <v>563</v>
      </c>
      <c r="D182" s="1">
        <v>35.3996</v>
      </c>
      <c r="E182" s="1">
        <v>-110.3214</v>
      </c>
      <c r="F182" s="1" t="s">
        <v>1923</v>
      </c>
      <c r="G182" s="22">
        <v>222.31464196612293</v>
      </c>
      <c r="H182" s="20">
        <f ca="1">NOW() - TIME(5,30,0) + (VLOOKUP(MasterTable[[#This Row],[TimeZone]], $O$3:$P$8, 2, FALSE) / 24)</f>
        <v>45990.490211458338</v>
      </c>
      <c r="I182" s="1" t="s">
        <v>1945</v>
      </c>
      <c r="J182" s="1">
        <v>9959.49</v>
      </c>
    </row>
    <row r="183" spans="1:10" x14ac:dyDescent="0.25">
      <c r="A183" s="1" t="s">
        <v>10</v>
      </c>
      <c r="B183" s="1" t="s">
        <v>11</v>
      </c>
      <c r="C183" s="1" t="s">
        <v>743</v>
      </c>
      <c r="D183" s="1">
        <v>35.395499999999998</v>
      </c>
      <c r="E183" s="1">
        <v>-109.4888</v>
      </c>
      <c r="F183" s="1" t="s">
        <v>1923</v>
      </c>
      <c r="G183" s="22">
        <v>234.31279191019485</v>
      </c>
      <c r="H183" s="20">
        <f ca="1">NOW() - TIME(5,30,0) + (VLOOKUP(MasterTable[[#This Row],[TimeZone]], $O$3:$P$8, 2, FALSE) / 24)</f>
        <v>45990.490211458338</v>
      </c>
      <c r="I183" s="1" t="s">
        <v>1945</v>
      </c>
      <c r="J183" s="1">
        <v>11218.42</v>
      </c>
    </row>
    <row r="184" spans="1:10" x14ac:dyDescent="0.25">
      <c r="A184" s="1" t="s">
        <v>10</v>
      </c>
      <c r="B184" s="1" t="s">
        <v>11</v>
      </c>
      <c r="C184" s="1" t="s">
        <v>819</v>
      </c>
      <c r="D184" s="1">
        <v>33.799700000000001</v>
      </c>
      <c r="E184" s="1">
        <v>-110.8116</v>
      </c>
      <c r="F184" s="1" t="s">
        <v>1923</v>
      </c>
      <c r="G184" s="22">
        <v>109.23902708908356</v>
      </c>
      <c r="H184" s="20">
        <f ca="1">NOW() - TIME(5,30,0) + (VLOOKUP(MasterTable[[#This Row],[TimeZone]], $O$3:$P$8, 2, FALSE) / 24)</f>
        <v>45990.490211458338</v>
      </c>
      <c r="I184" s="1" t="s">
        <v>1945</v>
      </c>
      <c r="J184" s="1">
        <v>4795.74</v>
      </c>
    </row>
    <row r="185" spans="1:10" x14ac:dyDescent="0.25">
      <c r="A185" s="1" t="s">
        <v>10</v>
      </c>
      <c r="B185" s="1" t="s">
        <v>11</v>
      </c>
      <c r="C185" s="1" t="s">
        <v>320</v>
      </c>
      <c r="D185" s="1">
        <v>31.5259</v>
      </c>
      <c r="E185" s="1">
        <v>-110.84650000000001</v>
      </c>
      <c r="F185" s="1" t="s">
        <v>1923</v>
      </c>
      <c r="G185" s="22">
        <v>48.306722234632389</v>
      </c>
      <c r="H185" s="20">
        <f ca="1">NOW() - TIME(5,30,0) + (VLOOKUP(MasterTable[[#This Row],[TimeZone]], $O$3:$P$8, 2, FALSE) / 24)</f>
        <v>45990.490211458338</v>
      </c>
      <c r="I185" s="1" t="s">
        <v>1945</v>
      </c>
      <c r="J185" s="1">
        <v>1238.1099999999999</v>
      </c>
    </row>
    <row r="186" spans="1:10" x14ac:dyDescent="0.25">
      <c r="A186" s="1" t="s">
        <v>10</v>
      </c>
      <c r="B186" s="1" t="s">
        <v>11</v>
      </c>
      <c r="C186" s="1" t="s">
        <v>966</v>
      </c>
      <c r="D186" s="1">
        <v>32.932600000000001</v>
      </c>
      <c r="E186" s="1">
        <v>-109.8875</v>
      </c>
      <c r="F186" s="1" t="s">
        <v>1923</v>
      </c>
      <c r="G186" s="22">
        <v>77.927426640193715</v>
      </c>
      <c r="H186" s="20">
        <f ca="1">NOW() - TIME(5,30,0) + (VLOOKUP(MasterTable[[#This Row],[TimeZone]], $O$3:$P$8, 2, FALSE) / 24)</f>
        <v>45990.490211458338</v>
      </c>
      <c r="I186" s="1" t="s">
        <v>1945</v>
      </c>
      <c r="J186" s="1">
        <v>4641.1400000000003</v>
      </c>
    </row>
    <row r="187" spans="1:10" x14ac:dyDescent="0.25">
      <c r="A187" s="1" t="s">
        <v>10</v>
      </c>
      <c r="B187" s="1" t="s">
        <v>11</v>
      </c>
      <c r="C187" s="1" t="s">
        <v>1362</v>
      </c>
      <c r="D187" s="1">
        <v>33.729399999999998</v>
      </c>
      <c r="E187" s="1">
        <v>-113.9815</v>
      </c>
      <c r="F187" s="1" t="s">
        <v>1923</v>
      </c>
      <c r="G187" s="22">
        <v>205.4422659650522</v>
      </c>
      <c r="H187" s="20">
        <f ca="1">NOW() - TIME(5,30,0) + (VLOOKUP(MasterTable[[#This Row],[TimeZone]], $O$3:$P$8, 2, FALSE) / 24)</f>
        <v>45990.490211458338</v>
      </c>
      <c r="I187" s="1" t="s">
        <v>1945</v>
      </c>
      <c r="J187" s="1">
        <v>4513.3599999999997</v>
      </c>
    </row>
    <row r="188" spans="1:10" x14ac:dyDescent="0.25">
      <c r="A188" s="1" t="s">
        <v>10</v>
      </c>
      <c r="B188" s="1" t="s">
        <v>11</v>
      </c>
      <c r="C188" s="1" t="s">
        <v>1575</v>
      </c>
      <c r="D188" s="1">
        <v>33.215200000000003</v>
      </c>
      <c r="E188" s="1">
        <v>-109.2402</v>
      </c>
      <c r="F188" s="1" t="s">
        <v>1923</v>
      </c>
      <c r="G188" s="22">
        <v>119.67509643719225</v>
      </c>
      <c r="H188" s="20">
        <f ca="1">NOW() - TIME(5,30,0) + (VLOOKUP(MasterTable[[#This Row],[TimeZone]], $O$3:$P$8, 2, FALSE) / 24)</f>
        <v>45990.490211458338</v>
      </c>
      <c r="I188" s="1" t="s">
        <v>1945</v>
      </c>
      <c r="J188" s="1">
        <v>1848.42</v>
      </c>
    </row>
    <row r="189" spans="1:10" x14ac:dyDescent="0.25">
      <c r="A189" s="1" t="s">
        <v>1</v>
      </c>
      <c r="B189" s="1" t="s">
        <v>2</v>
      </c>
      <c r="C189" s="1" t="s">
        <v>0</v>
      </c>
      <c r="D189" s="1">
        <v>34.321899999999999</v>
      </c>
      <c r="E189" s="1">
        <v>-118.2247</v>
      </c>
      <c r="F189" s="1" t="s">
        <v>1924</v>
      </c>
      <c r="G189" s="22">
        <v>445.76683586626001</v>
      </c>
      <c r="H189" s="20">
        <f ca="1">NOW() - TIME(5,30,0) + (VLOOKUP(MasterTable[[#This Row],[TimeZone]], $O$3:$P$8, 2, FALSE) / 24)</f>
        <v>45990.448544791667</v>
      </c>
      <c r="I189" s="1" t="s">
        <v>1944</v>
      </c>
      <c r="J189" s="1">
        <v>4752.32</v>
      </c>
    </row>
    <row r="190" spans="1:10" x14ac:dyDescent="0.25">
      <c r="A190" s="1" t="s">
        <v>1</v>
      </c>
      <c r="B190" s="1" t="s">
        <v>2</v>
      </c>
      <c r="C190" s="1" t="s">
        <v>12</v>
      </c>
      <c r="D190" s="1">
        <v>33.034300000000002</v>
      </c>
      <c r="E190" s="1">
        <v>-116.735</v>
      </c>
      <c r="F190" s="1" t="s">
        <v>1924</v>
      </c>
      <c r="G190" s="22">
        <v>342.59935828198974</v>
      </c>
      <c r="H190" s="20">
        <f ca="1">NOW() - TIME(5,30,0) + (VLOOKUP(MasterTable[[#This Row],[TimeZone]], $O$3:$P$8, 2, FALSE) / 24)</f>
        <v>45990.448544791667</v>
      </c>
      <c r="I190" s="1" t="s">
        <v>1944</v>
      </c>
      <c r="J190" s="1">
        <v>4525.5200000000004</v>
      </c>
    </row>
    <row r="191" spans="1:10" x14ac:dyDescent="0.25">
      <c r="A191" s="1" t="s">
        <v>1</v>
      </c>
      <c r="B191" s="1" t="s">
        <v>2</v>
      </c>
      <c r="C191" s="1" t="s">
        <v>13</v>
      </c>
      <c r="D191" s="1">
        <v>33.703099999999999</v>
      </c>
      <c r="E191" s="1">
        <v>-117.76090000000001</v>
      </c>
      <c r="F191" s="1" t="s">
        <v>1924</v>
      </c>
      <c r="G191" s="22">
        <v>409.13993806926322</v>
      </c>
      <c r="H191" s="20">
        <f ca="1">NOW() - TIME(5,30,0) + (VLOOKUP(MasterTable[[#This Row],[TimeZone]], $O$3:$P$8, 2, FALSE) / 24)</f>
        <v>45990.448544791667</v>
      </c>
      <c r="I191" s="1" t="s">
        <v>1944</v>
      </c>
      <c r="J191" s="1">
        <v>947.98</v>
      </c>
    </row>
    <row r="192" spans="1:10" x14ac:dyDescent="0.25">
      <c r="A192" s="1" t="s">
        <v>1</v>
      </c>
      <c r="B192" s="1" t="s">
        <v>2</v>
      </c>
      <c r="C192" s="1" t="s">
        <v>21</v>
      </c>
      <c r="D192" s="1">
        <v>33.743699999999997</v>
      </c>
      <c r="E192" s="1">
        <v>-115.99379999999999</v>
      </c>
      <c r="F192" s="1" t="s">
        <v>1924</v>
      </c>
      <c r="G192" s="22">
        <v>311.92359326608312</v>
      </c>
      <c r="H192" s="20">
        <f ca="1">NOW() - TIME(5,30,0) + (VLOOKUP(MasterTable[[#This Row],[TimeZone]], $O$3:$P$8, 2, FALSE) / 24)</f>
        <v>45990.448544791667</v>
      </c>
      <c r="I192" s="1" t="s">
        <v>1944</v>
      </c>
      <c r="J192" s="1">
        <v>7303.13</v>
      </c>
    </row>
    <row r="193" spans="1:10" x14ac:dyDescent="0.25">
      <c r="A193" s="1" t="s">
        <v>1</v>
      </c>
      <c r="B193" s="1" t="s">
        <v>2</v>
      </c>
      <c r="C193" s="1" t="s">
        <v>29</v>
      </c>
      <c r="D193" s="1">
        <v>34.8414</v>
      </c>
      <c r="E193" s="1">
        <v>-116.1785</v>
      </c>
      <c r="F193" s="1" t="s">
        <v>1924</v>
      </c>
      <c r="G193" s="22">
        <v>352.44933614768718</v>
      </c>
      <c r="H193" s="20">
        <f ca="1">NOW() - TIME(5,30,0) + (VLOOKUP(MasterTable[[#This Row],[TimeZone]], $O$3:$P$8, 2, FALSE) / 24)</f>
        <v>45990.448544791667</v>
      </c>
      <c r="I193" s="1" t="s">
        <v>1944</v>
      </c>
      <c r="J193" s="1">
        <v>20105.32</v>
      </c>
    </row>
    <row r="194" spans="1:10" x14ac:dyDescent="0.25">
      <c r="A194" s="1" t="s">
        <v>1</v>
      </c>
      <c r="B194" s="1" t="s">
        <v>2</v>
      </c>
      <c r="C194" s="1" t="s">
        <v>33</v>
      </c>
      <c r="D194" s="1">
        <v>37.2318</v>
      </c>
      <c r="E194" s="1">
        <v>-121.6951</v>
      </c>
      <c r="F194" s="1" t="s">
        <v>1924</v>
      </c>
      <c r="G194" s="22">
        <v>702.06385863181868</v>
      </c>
      <c r="H194" s="20">
        <f ca="1">NOW() - TIME(5,30,0) + (VLOOKUP(MasterTable[[#This Row],[TimeZone]], $O$3:$P$8, 2, FALSE) / 24)</f>
        <v>45990.448544791667</v>
      </c>
      <c r="I194" s="1" t="s">
        <v>1944</v>
      </c>
      <c r="J194" s="1">
        <v>1304.01</v>
      </c>
    </row>
    <row r="195" spans="1:10" x14ac:dyDescent="0.25">
      <c r="A195" s="1" t="s">
        <v>1</v>
      </c>
      <c r="B195" s="1" t="s">
        <v>2</v>
      </c>
      <c r="C195" s="1" t="s">
        <v>37</v>
      </c>
      <c r="D195" s="1">
        <v>37.646900000000002</v>
      </c>
      <c r="E195" s="1">
        <v>-121.8887</v>
      </c>
      <c r="F195" s="1" t="s">
        <v>1924</v>
      </c>
      <c r="G195" s="22">
        <v>724.59497760517604</v>
      </c>
      <c r="H195" s="20">
        <f ca="1">NOW() - TIME(5,30,0) + (VLOOKUP(MasterTable[[#This Row],[TimeZone]], $O$3:$P$8, 2, FALSE) / 24)</f>
        <v>45990.448544791667</v>
      </c>
      <c r="I195" s="1" t="s">
        <v>1944</v>
      </c>
      <c r="J195" s="1">
        <v>821.15</v>
      </c>
    </row>
    <row r="196" spans="1:10" x14ac:dyDescent="0.25">
      <c r="A196" s="1" t="s">
        <v>1</v>
      </c>
      <c r="B196" s="1" t="s">
        <v>2</v>
      </c>
      <c r="C196" s="1" t="s">
        <v>41</v>
      </c>
      <c r="D196" s="1">
        <v>38.449300000000001</v>
      </c>
      <c r="E196" s="1">
        <v>-121.3443</v>
      </c>
      <c r="F196" s="1" t="s">
        <v>1924</v>
      </c>
      <c r="G196" s="22">
        <v>727.21544694022487</v>
      </c>
      <c r="H196" s="20">
        <f ca="1">NOW() - TIME(5,30,0) + (VLOOKUP(MasterTable[[#This Row],[TimeZone]], $O$3:$P$8, 2, FALSE) / 24)</f>
        <v>45990.448544791667</v>
      </c>
      <c r="I196" s="1" t="s">
        <v>1944</v>
      </c>
      <c r="J196" s="1">
        <v>995.48</v>
      </c>
    </row>
    <row r="197" spans="1:10" x14ac:dyDescent="0.25">
      <c r="A197" s="1" t="s">
        <v>1</v>
      </c>
      <c r="B197" s="1" t="s">
        <v>2</v>
      </c>
      <c r="C197" s="1" t="s">
        <v>63</v>
      </c>
      <c r="D197" s="1">
        <v>37.919199999999996</v>
      </c>
      <c r="E197" s="1">
        <v>-121.92749999999999</v>
      </c>
      <c r="F197" s="1" t="s">
        <v>1924</v>
      </c>
      <c r="G197" s="22">
        <v>735.42839705487415</v>
      </c>
      <c r="H197" s="20">
        <f ca="1">NOW() - TIME(5,30,0) + (VLOOKUP(MasterTable[[#This Row],[TimeZone]], $O$3:$P$8, 2, FALSE) / 24)</f>
        <v>45990.448544791667</v>
      </c>
      <c r="I197" s="1" t="s">
        <v>1944</v>
      </c>
      <c r="J197" s="1">
        <v>802.15</v>
      </c>
    </row>
    <row r="198" spans="1:10" x14ac:dyDescent="0.25">
      <c r="A198" s="1" t="s">
        <v>1</v>
      </c>
      <c r="B198" s="1" t="s">
        <v>2</v>
      </c>
      <c r="C198" s="1" t="s">
        <v>79</v>
      </c>
      <c r="D198" s="1">
        <v>36.758200000000002</v>
      </c>
      <c r="E198" s="1">
        <v>-119.6493</v>
      </c>
      <c r="F198" s="1" t="s">
        <v>1924</v>
      </c>
      <c r="G198" s="22">
        <v>587.01312362202475</v>
      </c>
      <c r="H198" s="20">
        <f ca="1">NOW() - TIME(5,30,0) + (VLOOKUP(MasterTable[[#This Row],[TimeZone]], $O$3:$P$8, 2, FALSE) / 24)</f>
        <v>45990.448544791667</v>
      </c>
      <c r="I198" s="1" t="s">
        <v>1944</v>
      </c>
      <c r="J198" s="1">
        <v>6017.42</v>
      </c>
    </row>
    <row r="199" spans="1:10" x14ac:dyDescent="0.25">
      <c r="A199" s="1" t="s">
        <v>1</v>
      </c>
      <c r="B199" s="1" t="s">
        <v>2</v>
      </c>
      <c r="C199" s="1" t="s">
        <v>110</v>
      </c>
      <c r="D199" s="1">
        <v>35.342599999999997</v>
      </c>
      <c r="E199" s="1">
        <v>-118.73009999999999</v>
      </c>
      <c r="F199" s="1" t="s">
        <v>1924</v>
      </c>
      <c r="G199" s="22">
        <v>497.13780120097226</v>
      </c>
      <c r="H199" s="20">
        <f ca="1">NOW() - TIME(5,30,0) + (VLOOKUP(MasterTable[[#This Row],[TimeZone]], $O$3:$P$8, 2, FALSE) / 24)</f>
        <v>45990.448544791667</v>
      </c>
      <c r="I199" s="1" t="s">
        <v>1944</v>
      </c>
      <c r="J199" s="1">
        <v>8161.42</v>
      </c>
    </row>
    <row r="200" spans="1:10" x14ac:dyDescent="0.25">
      <c r="A200" s="1" t="s">
        <v>1</v>
      </c>
      <c r="B200" s="1" t="s">
        <v>2</v>
      </c>
      <c r="C200" s="1" t="s">
        <v>118</v>
      </c>
      <c r="D200" s="1">
        <v>34.456099999999999</v>
      </c>
      <c r="E200" s="1">
        <v>-119.0836</v>
      </c>
      <c r="F200" s="1" t="s">
        <v>1924</v>
      </c>
      <c r="G200" s="22">
        <v>495.36620899519903</v>
      </c>
      <c r="H200" s="20">
        <f ca="1">NOW() - TIME(5,30,0) + (VLOOKUP(MasterTable[[#This Row],[TimeZone]], $O$3:$P$8, 2, FALSE) / 24)</f>
        <v>45990.448544791667</v>
      </c>
      <c r="I200" s="1" t="s">
        <v>1944</v>
      </c>
      <c r="J200" s="1">
        <v>2208.1999999999998</v>
      </c>
    </row>
    <row r="201" spans="1:10" x14ac:dyDescent="0.25">
      <c r="A201" s="1" t="s">
        <v>1</v>
      </c>
      <c r="B201" s="1" t="s">
        <v>2</v>
      </c>
      <c r="C201" s="1" t="s">
        <v>119</v>
      </c>
      <c r="D201" s="1">
        <v>37.755600000000001</v>
      </c>
      <c r="E201" s="1">
        <v>-122.44499999999999</v>
      </c>
      <c r="F201" s="1" t="s">
        <v>1924</v>
      </c>
      <c r="G201" s="22">
        <v>755.04915434693953</v>
      </c>
      <c r="H201" s="20">
        <f ca="1">NOW() - TIME(5,30,0) + (VLOOKUP(MasterTable[[#This Row],[TimeZone]], $O$3:$P$8, 2, FALSE) / 24)</f>
        <v>45990.448544791667</v>
      </c>
      <c r="I201" s="1" t="s">
        <v>1944</v>
      </c>
      <c r="J201" s="1">
        <v>231.92</v>
      </c>
    </row>
    <row r="202" spans="1:10" x14ac:dyDescent="0.25">
      <c r="A202" s="1" t="s">
        <v>1</v>
      </c>
      <c r="B202" s="1" t="s">
        <v>2</v>
      </c>
      <c r="C202" s="1" t="s">
        <v>128</v>
      </c>
      <c r="D202" s="1">
        <v>37.934800000000003</v>
      </c>
      <c r="E202" s="1">
        <v>-121.2714</v>
      </c>
      <c r="F202" s="1" t="s">
        <v>1924</v>
      </c>
      <c r="G202" s="22">
        <v>704.99776944281837</v>
      </c>
      <c r="H202" s="20">
        <f ca="1">NOW() - TIME(5,30,0) + (VLOOKUP(MasterTable[[#This Row],[TimeZone]], $O$3:$P$8, 2, FALSE) / 24)</f>
        <v>45990.448544791667</v>
      </c>
      <c r="I202" s="1" t="s">
        <v>1944</v>
      </c>
      <c r="J202" s="1">
        <v>1426.25</v>
      </c>
    </row>
    <row r="203" spans="1:10" x14ac:dyDescent="0.25">
      <c r="A203" s="1" t="s">
        <v>1</v>
      </c>
      <c r="B203" s="1" t="s">
        <v>2</v>
      </c>
      <c r="C203" s="1" t="s">
        <v>136</v>
      </c>
      <c r="D203" s="1">
        <v>37.422800000000002</v>
      </c>
      <c r="E203" s="1">
        <v>-122.3291</v>
      </c>
      <c r="F203" s="1" t="s">
        <v>1924</v>
      </c>
      <c r="G203" s="22">
        <v>739.15732798054785</v>
      </c>
      <c r="H203" s="20">
        <f ca="1">NOW() - TIME(5,30,0) + (VLOOKUP(MasterTable[[#This Row],[TimeZone]], $O$3:$P$8, 2, FALSE) / 24)</f>
        <v>45990.448544791667</v>
      </c>
      <c r="I203" s="1" t="s">
        <v>1944</v>
      </c>
      <c r="J203" s="1">
        <v>741.01</v>
      </c>
    </row>
    <row r="204" spans="1:10" x14ac:dyDescent="0.25">
      <c r="A204" s="1" t="s">
        <v>1</v>
      </c>
      <c r="B204" s="1" t="s">
        <v>2</v>
      </c>
      <c r="C204" s="1" t="s">
        <v>182</v>
      </c>
      <c r="D204" s="1">
        <v>37.559100000000001</v>
      </c>
      <c r="E204" s="1">
        <v>-120.99769999999999</v>
      </c>
      <c r="F204" s="1" t="s">
        <v>1924</v>
      </c>
      <c r="G204" s="22">
        <v>678.95514369481248</v>
      </c>
      <c r="H204" s="20">
        <f ca="1">NOW() - TIME(5,30,0) + (VLOOKUP(MasterTable[[#This Row],[TimeZone]], $O$3:$P$8, 2, FALSE) / 24)</f>
        <v>45990.448544791667</v>
      </c>
      <c r="I204" s="1" t="s">
        <v>1944</v>
      </c>
      <c r="J204" s="1">
        <v>1514.67</v>
      </c>
    </row>
    <row r="205" spans="1:10" x14ac:dyDescent="0.25">
      <c r="A205" s="1" t="s">
        <v>1</v>
      </c>
      <c r="B205" s="1" t="s">
        <v>2</v>
      </c>
      <c r="C205" s="1" t="s">
        <v>206</v>
      </c>
      <c r="D205" s="1">
        <v>38.529000000000003</v>
      </c>
      <c r="E205" s="1">
        <v>-122.8882</v>
      </c>
      <c r="F205" s="1" t="s">
        <v>1924</v>
      </c>
      <c r="G205" s="22">
        <v>801.50543403616894</v>
      </c>
      <c r="H205" s="20">
        <f ca="1">NOW() - TIME(5,30,0) + (VLOOKUP(MasterTable[[#This Row],[TimeZone]], $O$3:$P$8, 2, FALSE) / 24)</f>
        <v>45990.448544791667</v>
      </c>
      <c r="I205" s="1" t="s">
        <v>1944</v>
      </c>
      <c r="J205" s="1">
        <v>1768.23</v>
      </c>
    </row>
    <row r="206" spans="1:10" x14ac:dyDescent="0.25">
      <c r="A206" s="1" t="s">
        <v>1</v>
      </c>
      <c r="B206" s="1" t="s">
        <v>2</v>
      </c>
      <c r="C206" s="1" t="s">
        <v>208</v>
      </c>
      <c r="D206" s="1">
        <v>36.220199999999998</v>
      </c>
      <c r="E206" s="1">
        <v>-118.8005</v>
      </c>
      <c r="F206" s="1" t="s">
        <v>1924</v>
      </c>
      <c r="G206" s="22">
        <v>527.66525341215129</v>
      </c>
      <c r="H206" s="20">
        <f ca="1">NOW() - TIME(5,30,0) + (VLOOKUP(MasterTable[[#This Row],[TimeZone]], $O$3:$P$8, 2, FALSE) / 24)</f>
        <v>45990.448544791667</v>
      </c>
      <c r="I206" s="1" t="s">
        <v>1944</v>
      </c>
      <c r="J206" s="1">
        <v>4839.09</v>
      </c>
    </row>
    <row r="207" spans="1:10" x14ac:dyDescent="0.25">
      <c r="A207" s="1" t="s">
        <v>1</v>
      </c>
      <c r="B207" s="1" t="s">
        <v>2</v>
      </c>
      <c r="C207" s="1" t="s">
        <v>219</v>
      </c>
      <c r="D207" s="1">
        <v>38.270000000000003</v>
      </c>
      <c r="E207" s="1">
        <v>-121.9328</v>
      </c>
      <c r="F207" s="1" t="s">
        <v>1924</v>
      </c>
      <c r="G207" s="22">
        <v>747.74781045889972</v>
      </c>
      <c r="H207" s="20">
        <f ca="1">NOW() - TIME(5,30,0) + (VLOOKUP(MasterTable[[#This Row],[TimeZone]], $O$3:$P$8, 2, FALSE) / 24)</f>
        <v>45990.448544791667</v>
      </c>
      <c r="I207" s="1" t="s">
        <v>1944</v>
      </c>
      <c r="J207" s="1">
        <v>906.67</v>
      </c>
    </row>
    <row r="208" spans="1:10" x14ac:dyDescent="0.25">
      <c r="A208" s="1" t="s">
        <v>1</v>
      </c>
      <c r="B208" s="1" t="s">
        <v>2</v>
      </c>
      <c r="C208" s="1" t="s">
        <v>222</v>
      </c>
      <c r="D208" s="1">
        <v>34.672899999999998</v>
      </c>
      <c r="E208" s="1">
        <v>-120.01690000000001</v>
      </c>
      <c r="F208" s="1" t="s">
        <v>1924</v>
      </c>
      <c r="G208" s="22">
        <v>550.54397645415577</v>
      </c>
      <c r="H208" s="20">
        <f ca="1">NOW() - TIME(5,30,0) + (VLOOKUP(MasterTable[[#This Row],[TimeZone]], $O$3:$P$8, 2, FALSE) / 24)</f>
        <v>45990.448544791667</v>
      </c>
      <c r="I208" s="1" t="s">
        <v>1944</v>
      </c>
      <c r="J208" s="1">
        <v>3789.08</v>
      </c>
    </row>
    <row r="209" spans="1:10" x14ac:dyDescent="0.25">
      <c r="A209" s="1" t="s">
        <v>1</v>
      </c>
      <c r="B209" s="1" t="s">
        <v>2</v>
      </c>
      <c r="C209" s="1" t="s">
        <v>224</v>
      </c>
      <c r="D209" s="1">
        <v>36.217100000000002</v>
      </c>
      <c r="E209" s="1">
        <v>-121.2388</v>
      </c>
      <c r="F209" s="1" t="s">
        <v>1924</v>
      </c>
      <c r="G209" s="22">
        <v>650.18862901711918</v>
      </c>
      <c r="H209" s="20">
        <f ca="1">NOW() - TIME(5,30,0) + (VLOOKUP(MasterTable[[#This Row],[TimeZone]], $O$3:$P$8, 2, FALSE) / 24)</f>
        <v>45990.448544791667</v>
      </c>
      <c r="I209" s="1" t="s">
        <v>1944</v>
      </c>
      <c r="J209" s="1">
        <v>3771.07</v>
      </c>
    </row>
    <row r="210" spans="1:10" x14ac:dyDescent="0.25">
      <c r="A210" s="1" t="s">
        <v>1</v>
      </c>
      <c r="B210" s="1" t="s">
        <v>2</v>
      </c>
      <c r="C210" s="1" t="s">
        <v>236</v>
      </c>
      <c r="D210" s="1">
        <v>39.063400000000001</v>
      </c>
      <c r="E210" s="1">
        <v>-120.71769999999999</v>
      </c>
      <c r="F210" s="1" t="s">
        <v>1924</v>
      </c>
      <c r="G210" s="22">
        <v>724.302147744065</v>
      </c>
      <c r="H210" s="20">
        <f ca="1">NOW() - TIME(5,30,0) + (VLOOKUP(MasterTable[[#This Row],[TimeZone]], $O$3:$P$8, 2, FALSE) / 24)</f>
        <v>45990.448544791667</v>
      </c>
      <c r="I210" s="1" t="s">
        <v>1944</v>
      </c>
      <c r="J210" s="1">
        <v>1502.78</v>
      </c>
    </row>
    <row r="211" spans="1:10" x14ac:dyDescent="0.25">
      <c r="A211" s="1" t="s">
        <v>1</v>
      </c>
      <c r="B211" s="1" t="s">
        <v>2</v>
      </c>
      <c r="C211" s="1" t="s">
        <v>304</v>
      </c>
      <c r="D211" s="1">
        <v>37.191899999999997</v>
      </c>
      <c r="E211" s="1">
        <v>-120.71769999999999</v>
      </c>
      <c r="F211" s="1" t="s">
        <v>1924</v>
      </c>
      <c r="G211" s="22">
        <v>653.11209961167572</v>
      </c>
      <c r="H211" s="20">
        <f ca="1">NOW() - TIME(5,30,0) + (VLOOKUP(MasterTable[[#This Row],[TimeZone]], $O$3:$P$8, 2, FALSE) / 24)</f>
        <v>45990.448544791667</v>
      </c>
      <c r="I211" s="1" t="s">
        <v>1944</v>
      </c>
      <c r="J211" s="1">
        <v>1971.87</v>
      </c>
    </row>
    <row r="212" spans="1:10" x14ac:dyDescent="0.25">
      <c r="A212" s="1" t="s">
        <v>1</v>
      </c>
      <c r="B212" s="1" t="s">
        <v>2</v>
      </c>
      <c r="C212" s="1" t="s">
        <v>308</v>
      </c>
      <c r="D212" s="1">
        <v>35.387099999999997</v>
      </c>
      <c r="E212" s="1">
        <v>-120.4044</v>
      </c>
      <c r="F212" s="1" t="s">
        <v>1924</v>
      </c>
      <c r="G212" s="22">
        <v>586.1646312390061</v>
      </c>
      <c r="H212" s="20">
        <f ca="1">NOW() - TIME(5,30,0) + (VLOOKUP(MasterTable[[#This Row],[TimeZone]], $O$3:$P$8, 2, FALSE) / 24)</f>
        <v>45990.448544791667</v>
      </c>
      <c r="I212" s="1" t="s">
        <v>1944</v>
      </c>
      <c r="J212" s="1">
        <v>3615.54</v>
      </c>
    </row>
    <row r="213" spans="1:10" x14ac:dyDescent="0.25">
      <c r="A213" s="1" t="s">
        <v>1</v>
      </c>
      <c r="B213" s="1" t="s">
        <v>2</v>
      </c>
      <c r="C213" s="1" t="s">
        <v>320</v>
      </c>
      <c r="D213" s="1">
        <v>37.056199999999997</v>
      </c>
      <c r="E213" s="1">
        <v>-122.0018</v>
      </c>
      <c r="F213" s="1" t="s">
        <v>1924</v>
      </c>
      <c r="G213" s="22">
        <v>712.07755440228289</v>
      </c>
      <c r="H213" s="20">
        <f ca="1">NOW() - TIME(5,30,0) + (VLOOKUP(MasterTable[[#This Row],[TimeZone]], $O$3:$P$8, 2, FALSE) / 24)</f>
        <v>45990.448544791667</v>
      </c>
      <c r="I213" s="1" t="s">
        <v>1944</v>
      </c>
      <c r="J213" s="1">
        <v>1238.1099999999999</v>
      </c>
    </row>
    <row r="214" spans="1:10" x14ac:dyDescent="0.25">
      <c r="A214" s="1" t="s">
        <v>1</v>
      </c>
      <c r="B214" s="1" t="s">
        <v>2</v>
      </c>
      <c r="C214" s="1" t="s">
        <v>324</v>
      </c>
      <c r="D214" s="1">
        <v>38.073500000000003</v>
      </c>
      <c r="E214" s="1">
        <v>-122.7236</v>
      </c>
      <c r="F214" s="1" t="s">
        <v>1924</v>
      </c>
      <c r="G214" s="22">
        <v>778.63291683730927</v>
      </c>
      <c r="H214" s="20">
        <f ca="1">NOW() - TIME(5,30,0) + (VLOOKUP(MasterTable[[#This Row],[TimeZone]], $O$3:$P$8, 2, FALSE) / 24)</f>
        <v>45990.448544791667</v>
      </c>
      <c r="I214" s="1" t="s">
        <v>1944</v>
      </c>
      <c r="J214" s="1">
        <v>828.2</v>
      </c>
    </row>
    <row r="215" spans="1:10" x14ac:dyDescent="0.25">
      <c r="A215" s="1" t="s">
        <v>1</v>
      </c>
      <c r="B215" s="1" t="s">
        <v>2</v>
      </c>
      <c r="C215" s="1" t="s">
        <v>357</v>
      </c>
      <c r="D215" s="1">
        <v>38.686599999999999</v>
      </c>
      <c r="E215" s="1">
        <v>-121.9011</v>
      </c>
      <c r="F215" s="1" t="s">
        <v>1924</v>
      </c>
      <c r="G215" s="22">
        <v>761.38075521945746</v>
      </c>
      <c r="H215" s="20">
        <f ca="1">NOW() - TIME(5,30,0) + (VLOOKUP(MasterTable[[#This Row],[TimeZone]], $O$3:$P$8, 2, FALSE) / 24)</f>
        <v>45990.448544791667</v>
      </c>
      <c r="I215" s="1" t="s">
        <v>1944</v>
      </c>
      <c r="J215" s="1">
        <v>1022.89</v>
      </c>
    </row>
    <row r="216" spans="1:10" x14ac:dyDescent="0.25">
      <c r="A216" s="1" t="s">
        <v>1</v>
      </c>
      <c r="B216" s="1" t="s">
        <v>2</v>
      </c>
      <c r="C216" s="1" t="s">
        <v>363</v>
      </c>
      <c r="D216" s="1">
        <v>39.666899999999998</v>
      </c>
      <c r="E216" s="1">
        <v>-121.6007</v>
      </c>
      <c r="F216" s="1" t="s">
        <v>1924</v>
      </c>
      <c r="G216" s="22">
        <v>787.11928500851832</v>
      </c>
      <c r="H216" s="20">
        <f ca="1">NOW() - TIME(5,30,0) + (VLOOKUP(MasterTable[[#This Row],[TimeZone]], $O$3:$P$8, 2, FALSE) / 24)</f>
        <v>45990.448544791667</v>
      </c>
      <c r="I216" s="1" t="s">
        <v>1944</v>
      </c>
      <c r="J216" s="1">
        <v>1677.11</v>
      </c>
    </row>
    <row r="217" spans="1:10" x14ac:dyDescent="0.25">
      <c r="A217" s="1" t="s">
        <v>1</v>
      </c>
      <c r="B217" s="1" t="s">
        <v>2</v>
      </c>
      <c r="C217" s="1" t="s">
        <v>388</v>
      </c>
      <c r="D217" s="1">
        <v>38.778700000000001</v>
      </c>
      <c r="E217" s="1">
        <v>-120.5247</v>
      </c>
      <c r="F217" s="1" t="s">
        <v>1924</v>
      </c>
      <c r="G217" s="22">
        <v>704.10563615187266</v>
      </c>
      <c r="H217" s="20">
        <f ca="1">NOW() - TIME(5,30,0) + (VLOOKUP(MasterTable[[#This Row],[TimeZone]], $O$3:$P$8, 2, FALSE) / 24)</f>
        <v>45990.448544791667</v>
      </c>
      <c r="I217" s="1" t="s">
        <v>1944</v>
      </c>
      <c r="J217" s="1">
        <v>1788.1</v>
      </c>
    </row>
    <row r="218" spans="1:10" x14ac:dyDescent="0.25">
      <c r="A218" s="1" t="s">
        <v>1</v>
      </c>
      <c r="B218" s="1" t="s">
        <v>2</v>
      </c>
      <c r="C218" s="1" t="s">
        <v>402</v>
      </c>
      <c r="D218" s="1">
        <v>40.7637</v>
      </c>
      <c r="E218" s="1">
        <v>-122.04049999999999</v>
      </c>
      <c r="F218" s="1" t="s">
        <v>1924</v>
      </c>
      <c r="G218" s="22">
        <v>852.78393725681076</v>
      </c>
      <c r="H218" s="20">
        <f ca="1">NOW() - TIME(5,30,0) + (VLOOKUP(MasterTable[[#This Row],[TimeZone]], $O$3:$P$8, 2, FALSE) / 24)</f>
        <v>45990.448544791667</v>
      </c>
      <c r="I218" s="1" t="s">
        <v>1944</v>
      </c>
      <c r="J218" s="1">
        <v>3847.44</v>
      </c>
    </row>
    <row r="219" spans="1:10" x14ac:dyDescent="0.25">
      <c r="A219" s="1" t="s">
        <v>1</v>
      </c>
      <c r="B219" s="1" t="s">
        <v>2</v>
      </c>
      <c r="C219" s="1" t="s">
        <v>408</v>
      </c>
      <c r="D219" s="1">
        <v>33.039499999999997</v>
      </c>
      <c r="E219" s="1">
        <v>-115.3653</v>
      </c>
      <c r="F219" s="1" t="s">
        <v>1924</v>
      </c>
      <c r="G219" s="22">
        <v>264.38630139217668</v>
      </c>
      <c r="H219" s="20">
        <f ca="1">NOW() - TIME(5,30,0) + (VLOOKUP(MasterTable[[#This Row],[TimeZone]], $O$3:$P$8, 2, FALSE) / 24)</f>
        <v>45990.448544791667</v>
      </c>
      <c r="I219" s="1" t="s">
        <v>1945</v>
      </c>
      <c r="J219" s="1">
        <v>4481.7299999999996</v>
      </c>
    </row>
    <row r="220" spans="1:10" x14ac:dyDescent="0.25">
      <c r="A220" s="1" t="s">
        <v>1</v>
      </c>
      <c r="B220" s="1" t="s">
        <v>2</v>
      </c>
      <c r="C220" s="1" t="s">
        <v>459</v>
      </c>
      <c r="D220" s="1">
        <v>37.218000000000004</v>
      </c>
      <c r="E220" s="1">
        <v>-119.7627</v>
      </c>
      <c r="F220" s="1" t="s">
        <v>1924</v>
      </c>
      <c r="G220" s="22">
        <v>608.6745498450565</v>
      </c>
      <c r="H220" s="20">
        <f ca="1">NOW() - TIME(5,30,0) + (VLOOKUP(MasterTable[[#This Row],[TimeZone]], $O$3:$P$8, 2, FALSE) / 24)</f>
        <v>45990.448544791667</v>
      </c>
      <c r="I220" s="1" t="s">
        <v>1944</v>
      </c>
      <c r="J220" s="1">
        <v>2153.3200000000002</v>
      </c>
    </row>
    <row r="221" spans="1:10" x14ac:dyDescent="0.25">
      <c r="A221" s="1" t="s">
        <v>1</v>
      </c>
      <c r="B221" s="1" t="s">
        <v>2</v>
      </c>
      <c r="C221" s="1" t="s">
        <v>17</v>
      </c>
      <c r="D221" s="1">
        <v>36.075200000000002</v>
      </c>
      <c r="E221" s="1">
        <v>-119.8155</v>
      </c>
      <c r="F221" s="1" t="s">
        <v>1924</v>
      </c>
      <c r="G221" s="22">
        <v>573.48257556639805</v>
      </c>
      <c r="H221" s="20">
        <f ca="1">NOW() - TIME(5,30,0) + (VLOOKUP(MasterTable[[#This Row],[TimeZone]], $O$3:$P$8, 2, FALSE) / 24)</f>
        <v>45990.448544791667</v>
      </c>
      <c r="I221" s="1" t="s">
        <v>1944</v>
      </c>
      <c r="J221" s="1">
        <v>1391.49</v>
      </c>
    </row>
    <row r="222" spans="1:10" x14ac:dyDescent="0.25">
      <c r="A222" s="1" t="s">
        <v>1</v>
      </c>
      <c r="B222" s="1" t="s">
        <v>2</v>
      </c>
      <c r="C222" s="1" t="s">
        <v>494</v>
      </c>
      <c r="D222" s="1">
        <v>38.506999999999998</v>
      </c>
      <c r="E222" s="1">
        <v>-122.3306</v>
      </c>
      <c r="F222" s="1" t="s">
        <v>1924</v>
      </c>
      <c r="G222" s="22">
        <v>774.63104608875994</v>
      </c>
      <c r="H222" s="20">
        <f ca="1">NOW() - TIME(5,30,0) + (VLOOKUP(MasterTable[[#This Row],[TimeZone]], $O$3:$P$8, 2, FALSE) / 24)</f>
        <v>45990.448544791667</v>
      </c>
      <c r="I222" s="1" t="s">
        <v>1944</v>
      </c>
      <c r="J222" s="1">
        <v>788.27</v>
      </c>
    </row>
    <row r="223" spans="1:10" x14ac:dyDescent="0.25">
      <c r="A223" s="1" t="s">
        <v>1</v>
      </c>
      <c r="B223" s="1" t="s">
        <v>2</v>
      </c>
      <c r="C223" s="1" t="s">
        <v>495</v>
      </c>
      <c r="D223" s="1">
        <v>40.699300000000001</v>
      </c>
      <c r="E223" s="1">
        <v>-123.87560000000001</v>
      </c>
      <c r="F223" s="1" t="s">
        <v>1924</v>
      </c>
      <c r="G223" s="22">
        <v>926.12884126283348</v>
      </c>
      <c r="H223" s="20">
        <f ca="1">NOW() - TIME(5,30,0) + (VLOOKUP(MasterTable[[#This Row],[TimeZone]], $O$3:$P$8, 2, FALSE) / 24)</f>
        <v>45990.448544791667</v>
      </c>
      <c r="I223" s="1" t="s">
        <v>1944</v>
      </c>
      <c r="J223" s="1">
        <v>4052.22</v>
      </c>
    </row>
    <row r="224" spans="1:10" x14ac:dyDescent="0.25">
      <c r="A224" s="1" t="s">
        <v>1</v>
      </c>
      <c r="B224" s="1" t="s">
        <v>2</v>
      </c>
      <c r="C224" s="1" t="s">
        <v>25</v>
      </c>
      <c r="D224" s="1">
        <v>39.301299999999998</v>
      </c>
      <c r="E224" s="1">
        <v>-120.7689</v>
      </c>
      <c r="F224" s="1" t="s">
        <v>1924</v>
      </c>
      <c r="G224" s="22">
        <v>736.61550958465068</v>
      </c>
      <c r="H224" s="20">
        <f ca="1">NOW() - TIME(5,30,0) + (VLOOKUP(MasterTable[[#This Row],[TimeZone]], $O$3:$P$8, 2, FALSE) / 24)</f>
        <v>45990.448544791667</v>
      </c>
      <c r="I224" s="1" t="s">
        <v>1944</v>
      </c>
      <c r="J224" s="1">
        <v>620.78</v>
      </c>
    </row>
    <row r="225" spans="1:10" x14ac:dyDescent="0.25">
      <c r="A225" s="1" t="s">
        <v>1</v>
      </c>
      <c r="B225" s="1" t="s">
        <v>2</v>
      </c>
      <c r="C225" s="1" t="s">
        <v>596</v>
      </c>
      <c r="D225" s="1">
        <v>39.034599999999998</v>
      </c>
      <c r="E225" s="1">
        <v>-121.6948</v>
      </c>
      <c r="F225" s="1" t="s">
        <v>1924</v>
      </c>
      <c r="G225" s="22">
        <v>765.4499937900614</v>
      </c>
      <c r="H225" s="20">
        <f ca="1">NOW() - TIME(5,30,0) + (VLOOKUP(MasterTable[[#This Row],[TimeZone]], $O$3:$P$8, 2, FALSE) / 24)</f>
        <v>45990.448544791667</v>
      </c>
      <c r="I225" s="1" t="s">
        <v>1944</v>
      </c>
      <c r="J225" s="1">
        <v>608.58000000000004</v>
      </c>
    </row>
    <row r="226" spans="1:10" x14ac:dyDescent="0.25">
      <c r="A226" s="1" t="s">
        <v>1</v>
      </c>
      <c r="B226" s="1" t="s">
        <v>2</v>
      </c>
      <c r="C226" s="1" t="s">
        <v>631</v>
      </c>
      <c r="D226" s="1">
        <v>39.440199999999997</v>
      </c>
      <c r="E226" s="1">
        <v>-123.39149999999999</v>
      </c>
      <c r="F226" s="1" t="s">
        <v>1924</v>
      </c>
      <c r="G226" s="22">
        <v>856.78815611411278</v>
      </c>
      <c r="H226" s="20">
        <f ca="1">NOW() - TIME(5,30,0) + (VLOOKUP(MasterTable[[#This Row],[TimeZone]], $O$3:$P$8, 2, FALSE) / 24)</f>
        <v>45990.448544791667</v>
      </c>
      <c r="I226" s="1" t="s">
        <v>1944</v>
      </c>
      <c r="J226" s="1">
        <v>3878.14</v>
      </c>
    </row>
    <row r="227" spans="1:10" x14ac:dyDescent="0.25">
      <c r="A227" s="1" t="s">
        <v>1</v>
      </c>
      <c r="B227" s="1" t="s">
        <v>2</v>
      </c>
      <c r="C227" s="1" t="s">
        <v>656</v>
      </c>
      <c r="D227" s="1">
        <v>39.268999999999998</v>
      </c>
      <c r="E227" s="1">
        <v>-121.35129999999999</v>
      </c>
      <c r="F227" s="1" t="s">
        <v>1924</v>
      </c>
      <c r="G227" s="22">
        <v>759.93046976921744</v>
      </c>
      <c r="H227" s="20">
        <f ca="1">NOW() - TIME(5,30,0) + (VLOOKUP(MasterTable[[#This Row],[TimeZone]], $O$3:$P$8, 2, FALSE) / 24)</f>
        <v>45990.448544791667</v>
      </c>
      <c r="I227" s="1" t="s">
        <v>1944</v>
      </c>
      <c r="J227" s="1">
        <v>643.73</v>
      </c>
    </row>
    <row r="228" spans="1:10" x14ac:dyDescent="0.25">
      <c r="A228" s="1" t="s">
        <v>1</v>
      </c>
      <c r="B228" s="1" t="s">
        <v>2</v>
      </c>
      <c r="C228" s="1" t="s">
        <v>142</v>
      </c>
      <c r="D228" s="1">
        <v>39.1</v>
      </c>
      <c r="E228" s="1">
        <v>-122.7534</v>
      </c>
      <c r="F228" s="1" t="s">
        <v>1924</v>
      </c>
      <c r="G228" s="22">
        <v>815.38796150045209</v>
      </c>
      <c r="H228" s="20">
        <f ca="1">NOW() - TIME(5,30,0) + (VLOOKUP(MasterTable[[#This Row],[TimeZone]], $O$3:$P$8, 2, FALSE) / 24)</f>
        <v>45990.448544791667</v>
      </c>
      <c r="I228" s="1" t="s">
        <v>1944</v>
      </c>
      <c r="J228" s="1">
        <v>1329.48</v>
      </c>
    </row>
    <row r="229" spans="1:10" x14ac:dyDescent="0.25">
      <c r="A229" s="1" t="s">
        <v>1</v>
      </c>
      <c r="B229" s="1" t="s">
        <v>2</v>
      </c>
      <c r="C229" s="1" t="s">
        <v>738</v>
      </c>
      <c r="D229" s="1">
        <v>36.605699999999999</v>
      </c>
      <c r="E229" s="1">
        <v>-121.075</v>
      </c>
      <c r="F229" s="1" t="s">
        <v>1924</v>
      </c>
      <c r="G229" s="22">
        <v>652.50113937412709</v>
      </c>
      <c r="H229" s="20">
        <f ca="1">NOW() - TIME(5,30,0) + (VLOOKUP(MasterTable[[#This Row],[TimeZone]], $O$3:$P$8, 2, FALSE) / 24)</f>
        <v>45990.448544791667</v>
      </c>
      <c r="I229" s="1" t="s">
        <v>1944</v>
      </c>
      <c r="J229" s="1">
        <v>1390.73</v>
      </c>
    </row>
    <row r="230" spans="1:10" x14ac:dyDescent="0.25">
      <c r="A230" s="1" t="s">
        <v>1</v>
      </c>
      <c r="B230" s="1" t="s">
        <v>2</v>
      </c>
      <c r="C230" s="1" t="s">
        <v>744</v>
      </c>
      <c r="D230" s="1">
        <v>40.125599999999999</v>
      </c>
      <c r="E230" s="1">
        <v>-122.2341</v>
      </c>
      <c r="F230" s="1" t="s">
        <v>1924</v>
      </c>
      <c r="G230" s="22">
        <v>833.04990611741425</v>
      </c>
      <c r="H230" s="20">
        <f ca="1">NOW() - TIME(5,30,0) + (VLOOKUP(MasterTable[[#This Row],[TimeZone]], $O$3:$P$8, 2, FALSE) / 24)</f>
        <v>45990.448544791667</v>
      </c>
      <c r="I230" s="1" t="s">
        <v>1944</v>
      </c>
      <c r="J230" s="1">
        <v>2962.27</v>
      </c>
    </row>
    <row r="231" spans="1:10" x14ac:dyDescent="0.25">
      <c r="A231" s="1" t="s">
        <v>1</v>
      </c>
      <c r="B231" s="1" t="s">
        <v>2</v>
      </c>
      <c r="C231" s="1" t="s">
        <v>811</v>
      </c>
      <c r="D231" s="1">
        <v>38.0276</v>
      </c>
      <c r="E231" s="1">
        <v>-119.95480000000001</v>
      </c>
      <c r="F231" s="1" t="s">
        <v>1924</v>
      </c>
      <c r="G231" s="22">
        <v>648.49639801054809</v>
      </c>
      <c r="H231" s="20">
        <f ca="1">NOW() - TIME(5,30,0) + (VLOOKUP(MasterTable[[#This Row],[TimeZone]], $O$3:$P$8, 2, FALSE) / 24)</f>
        <v>45990.448544791667</v>
      </c>
      <c r="I231" s="1" t="s">
        <v>1944</v>
      </c>
      <c r="J231" s="1">
        <v>2274.34</v>
      </c>
    </row>
    <row r="232" spans="1:10" x14ac:dyDescent="0.25">
      <c r="A232" s="1" t="s">
        <v>1</v>
      </c>
      <c r="B232" s="1" t="s">
        <v>2</v>
      </c>
      <c r="C232" s="1" t="s">
        <v>876</v>
      </c>
      <c r="D232" s="1">
        <v>38.204599999999999</v>
      </c>
      <c r="E232" s="1">
        <v>-120.55410000000001</v>
      </c>
      <c r="F232" s="1" t="s">
        <v>1924</v>
      </c>
      <c r="G232" s="22">
        <v>682.20760383580625</v>
      </c>
      <c r="H232" s="20">
        <f ca="1">NOW() - TIME(5,30,0) + (VLOOKUP(MasterTable[[#This Row],[TimeZone]], $O$3:$P$8, 2, FALSE) / 24)</f>
        <v>45990.448544791667</v>
      </c>
      <c r="I232" s="1" t="s">
        <v>1944</v>
      </c>
      <c r="J232" s="1">
        <v>1036.8399999999999</v>
      </c>
    </row>
    <row r="233" spans="1:10" x14ac:dyDescent="0.25">
      <c r="A233" s="1" t="s">
        <v>1</v>
      </c>
      <c r="B233" s="1" t="s">
        <v>2</v>
      </c>
      <c r="C233" s="1" t="s">
        <v>904</v>
      </c>
      <c r="D233" s="1">
        <v>41.592700000000001</v>
      </c>
      <c r="E233" s="1">
        <v>-122.54040000000001</v>
      </c>
      <c r="F233" s="1" t="s">
        <v>1924</v>
      </c>
      <c r="G233" s="22">
        <v>909.96826583240772</v>
      </c>
      <c r="H233" s="20">
        <f ca="1">NOW() - TIME(5,30,0) + (VLOOKUP(MasterTable[[#This Row],[TimeZone]], $O$3:$P$8, 2, FALSE) / 24)</f>
        <v>45990.448544791667</v>
      </c>
      <c r="I233" s="1" t="s">
        <v>1944</v>
      </c>
      <c r="J233" s="1">
        <v>6347.46</v>
      </c>
    </row>
    <row r="234" spans="1:10" x14ac:dyDescent="0.25">
      <c r="A234" s="1" t="s">
        <v>1</v>
      </c>
      <c r="B234" s="1" t="s">
        <v>2</v>
      </c>
      <c r="C234" s="1" t="s">
        <v>939</v>
      </c>
      <c r="D234" s="1">
        <v>38.446399999999997</v>
      </c>
      <c r="E234" s="1">
        <v>-120.6511</v>
      </c>
      <c r="F234" s="1" t="s">
        <v>1924</v>
      </c>
      <c r="G234" s="22">
        <v>696.06230528333856</v>
      </c>
      <c r="H234" s="20">
        <f ca="1">NOW() - TIME(5,30,0) + (VLOOKUP(MasterTable[[#This Row],[TimeZone]], $O$3:$P$8, 2, FALSE) / 24)</f>
        <v>45990.448544791667</v>
      </c>
      <c r="I234" s="1" t="s">
        <v>1944</v>
      </c>
      <c r="J234" s="1">
        <v>604.69000000000005</v>
      </c>
    </row>
    <row r="235" spans="1:10" x14ac:dyDescent="0.25">
      <c r="A235" s="1" t="s">
        <v>1</v>
      </c>
      <c r="B235" s="1" t="s">
        <v>2</v>
      </c>
      <c r="C235" s="1" t="s">
        <v>1054</v>
      </c>
      <c r="D235" s="1">
        <v>40.6736</v>
      </c>
      <c r="E235" s="1">
        <v>-120.5943</v>
      </c>
      <c r="F235" s="1" t="s">
        <v>1924</v>
      </c>
      <c r="G235" s="22">
        <v>792.58459354529305</v>
      </c>
      <c r="H235" s="20">
        <f ca="1">NOW() - TIME(5,30,0) + (VLOOKUP(MasterTable[[#This Row],[TimeZone]], $O$3:$P$8, 2, FALSE) / 24)</f>
        <v>45990.448544791667</v>
      </c>
      <c r="I235" s="1" t="s">
        <v>1944</v>
      </c>
      <c r="J235" s="1">
        <v>4720.37</v>
      </c>
    </row>
    <row r="236" spans="1:10" x14ac:dyDescent="0.25">
      <c r="A236" s="1" t="s">
        <v>1</v>
      </c>
      <c r="B236" s="1" t="s">
        <v>2</v>
      </c>
      <c r="C236" s="1" t="s">
        <v>1096</v>
      </c>
      <c r="D236" s="1">
        <v>39.598100000000002</v>
      </c>
      <c r="E236" s="1">
        <v>-122.39190000000001</v>
      </c>
      <c r="F236" s="1" t="s">
        <v>1924</v>
      </c>
      <c r="G236" s="22">
        <v>818.27517926404107</v>
      </c>
      <c r="H236" s="20">
        <f ca="1">NOW() - TIME(5,30,0) + (VLOOKUP(MasterTable[[#This Row],[TimeZone]], $O$3:$P$8, 2, FALSE) / 24)</f>
        <v>45990.448544791667</v>
      </c>
      <c r="I236" s="1" t="s">
        <v>1944</v>
      </c>
      <c r="J236" s="1">
        <v>1327.16</v>
      </c>
    </row>
    <row r="237" spans="1:10" x14ac:dyDescent="0.25">
      <c r="A237" s="1" t="s">
        <v>1</v>
      </c>
      <c r="B237" s="1" t="s">
        <v>2</v>
      </c>
      <c r="C237" s="1" t="s">
        <v>1120</v>
      </c>
      <c r="D237" s="1">
        <v>41.743099999999998</v>
      </c>
      <c r="E237" s="1">
        <v>-123.8972</v>
      </c>
      <c r="F237" s="1" t="s">
        <v>1924</v>
      </c>
      <c r="G237" s="22">
        <v>970.26805003847301</v>
      </c>
      <c r="H237" s="20">
        <f ca="1">NOW() - TIME(5,30,0) + (VLOOKUP(MasterTable[[#This Row],[TimeZone]], $O$3:$P$8, 2, FALSE) / 24)</f>
        <v>45990.448544791667</v>
      </c>
      <c r="I237" s="1" t="s">
        <v>1944</v>
      </c>
      <c r="J237" s="1">
        <v>1229.75</v>
      </c>
    </row>
    <row r="238" spans="1:10" x14ac:dyDescent="0.25">
      <c r="A238" s="1" t="s">
        <v>1</v>
      </c>
      <c r="B238" s="1" t="s">
        <v>2</v>
      </c>
      <c r="C238" s="1" t="s">
        <v>1232</v>
      </c>
      <c r="D238" s="1">
        <v>39.177500000000002</v>
      </c>
      <c r="E238" s="1">
        <v>-122.23699999999999</v>
      </c>
      <c r="F238" s="1" t="s">
        <v>1924</v>
      </c>
      <c r="G238" s="22">
        <v>795.04749671783065</v>
      </c>
      <c r="H238" s="20">
        <f ca="1">NOW() - TIME(5,30,0) + (VLOOKUP(MasterTable[[#This Row],[TimeZone]], $O$3:$P$8, 2, FALSE) / 24)</f>
        <v>45990.448544791667</v>
      </c>
      <c r="I238" s="1" t="s">
        <v>1944</v>
      </c>
      <c r="J238" s="1">
        <v>1156.22</v>
      </c>
    </row>
    <row r="239" spans="1:10" x14ac:dyDescent="0.25">
      <c r="A239" s="1" t="s">
        <v>1</v>
      </c>
      <c r="B239" s="1" t="s">
        <v>2</v>
      </c>
      <c r="C239" s="1" t="s">
        <v>1288</v>
      </c>
      <c r="D239" s="1">
        <v>40.004600000000003</v>
      </c>
      <c r="E239" s="1">
        <v>-120.8385</v>
      </c>
      <c r="F239" s="1" t="s">
        <v>1924</v>
      </c>
      <c r="G239" s="22">
        <v>770.61890927950708</v>
      </c>
      <c r="H239" s="20">
        <f ca="1">NOW() - TIME(5,30,0) + (VLOOKUP(MasterTable[[#This Row],[TimeZone]], $O$3:$P$8, 2, FALSE) / 24)</f>
        <v>45990.448544791667</v>
      </c>
      <c r="I239" s="1" t="s">
        <v>1944</v>
      </c>
      <c r="J239" s="1">
        <v>2613.48</v>
      </c>
    </row>
    <row r="240" spans="1:10" x14ac:dyDescent="0.25">
      <c r="A240" s="1" t="s">
        <v>1</v>
      </c>
      <c r="B240" s="1" t="s">
        <v>2</v>
      </c>
      <c r="C240" s="1" t="s">
        <v>1301</v>
      </c>
      <c r="D240" s="1">
        <v>36.511099999999999</v>
      </c>
      <c r="E240" s="1">
        <v>-117.41070000000001</v>
      </c>
      <c r="F240" s="1" t="s">
        <v>1924</v>
      </c>
      <c r="G240" s="22">
        <v>473.73270523134494</v>
      </c>
      <c r="H240" s="20">
        <f ca="1">NOW() - TIME(5,30,0) + (VLOOKUP(MasterTable[[#This Row],[TimeZone]], $O$3:$P$8, 2, FALSE) / 24)</f>
        <v>45990.448544791667</v>
      </c>
      <c r="I240" s="1" t="s">
        <v>1944</v>
      </c>
      <c r="J240" s="1">
        <v>10226.98</v>
      </c>
    </row>
    <row r="241" spans="1:10" x14ac:dyDescent="0.25">
      <c r="A241" s="1" t="s">
        <v>1</v>
      </c>
      <c r="B241" s="1" t="s">
        <v>2</v>
      </c>
      <c r="C241" s="1" t="s">
        <v>1346</v>
      </c>
      <c r="D241" s="1">
        <v>37.581499999999998</v>
      </c>
      <c r="E241" s="1">
        <v>-119.9054</v>
      </c>
      <c r="F241" s="1" t="s">
        <v>1924</v>
      </c>
      <c r="G241" s="22">
        <v>628.82980997986169</v>
      </c>
      <c r="H241" s="20">
        <f ca="1">NOW() - TIME(5,30,0) + (VLOOKUP(MasterTable[[#This Row],[TimeZone]], $O$3:$P$8, 2, FALSE) / 24)</f>
        <v>45990.448544791667</v>
      </c>
      <c r="I241" s="1" t="s">
        <v>1944</v>
      </c>
      <c r="J241" s="1">
        <v>1462.79</v>
      </c>
    </row>
    <row r="242" spans="1:10" x14ac:dyDescent="0.25">
      <c r="A242" s="1" t="s">
        <v>1</v>
      </c>
      <c r="B242" s="1" t="s">
        <v>2</v>
      </c>
      <c r="C242" s="1" t="s">
        <v>1382</v>
      </c>
      <c r="D242" s="1">
        <v>40.650700000000001</v>
      </c>
      <c r="E242" s="1">
        <v>-123.1126</v>
      </c>
      <c r="F242" s="1" t="s">
        <v>1924</v>
      </c>
      <c r="G242" s="22">
        <v>891.81335400235469</v>
      </c>
      <c r="H242" s="20">
        <f ca="1">NOW() - TIME(5,30,0) + (VLOOKUP(MasterTable[[#This Row],[TimeZone]], $O$3:$P$8, 2, FALSE) / 24)</f>
        <v>45990.448544791667</v>
      </c>
      <c r="I242" s="1" t="s">
        <v>1944</v>
      </c>
      <c r="J242" s="1">
        <v>3207.54</v>
      </c>
    </row>
    <row r="243" spans="1:10" x14ac:dyDescent="0.25">
      <c r="A243" s="1" t="s">
        <v>1</v>
      </c>
      <c r="B243" s="1" t="s">
        <v>2</v>
      </c>
      <c r="C243" s="1" t="s">
        <v>1461</v>
      </c>
      <c r="D243" s="1">
        <v>37.939100000000003</v>
      </c>
      <c r="E243" s="1">
        <v>-118.88679999999999</v>
      </c>
      <c r="F243" s="1" t="s">
        <v>1924</v>
      </c>
      <c r="G243" s="22">
        <v>598.4608260143018</v>
      </c>
      <c r="H243" s="20">
        <f ca="1">NOW() - TIME(5,30,0) + (VLOOKUP(MasterTable[[#This Row],[TimeZone]], $O$3:$P$8, 2, FALSE) / 24)</f>
        <v>45990.448544791667</v>
      </c>
      <c r="I243" s="1" t="s">
        <v>1944</v>
      </c>
      <c r="J243" s="1">
        <v>3131.8</v>
      </c>
    </row>
    <row r="244" spans="1:10" x14ac:dyDescent="0.25">
      <c r="A244" s="1" t="s">
        <v>1</v>
      </c>
      <c r="B244" s="1" t="s">
        <v>2</v>
      </c>
      <c r="C244" s="1" t="s">
        <v>1601</v>
      </c>
      <c r="D244" s="1">
        <v>41.589799999999997</v>
      </c>
      <c r="E244" s="1">
        <v>-120.72499999999999</v>
      </c>
      <c r="F244" s="1" t="s">
        <v>1924</v>
      </c>
      <c r="G244" s="22">
        <v>842.67205023899339</v>
      </c>
      <c r="H244" s="20">
        <f ca="1">NOW() - TIME(5,30,0) + (VLOOKUP(MasterTable[[#This Row],[TimeZone]], $O$3:$P$8, 2, FALSE) / 24)</f>
        <v>45990.448544791667</v>
      </c>
      <c r="I244" s="1" t="s">
        <v>1944</v>
      </c>
      <c r="J244" s="1">
        <v>4203.37</v>
      </c>
    </row>
    <row r="245" spans="1:10" x14ac:dyDescent="0.25">
      <c r="A245" s="1" t="s">
        <v>1</v>
      </c>
      <c r="B245" s="1" t="s">
        <v>2</v>
      </c>
      <c r="C245" s="1" t="s">
        <v>1512</v>
      </c>
      <c r="D245" s="1">
        <v>39.580300000000001</v>
      </c>
      <c r="E245" s="1">
        <v>-120.51609999999999</v>
      </c>
      <c r="F245" s="1" t="s">
        <v>1924</v>
      </c>
      <c r="G245" s="22">
        <v>738.49387842341025</v>
      </c>
      <c r="H245" s="20">
        <f ca="1">NOW() - TIME(5,30,0) + (VLOOKUP(MasterTable[[#This Row],[TimeZone]], $O$3:$P$8, 2, FALSE) / 24)</f>
        <v>45990.448544791667</v>
      </c>
      <c r="I245" s="1" t="s">
        <v>1944</v>
      </c>
      <c r="J245" s="1">
        <v>961.97</v>
      </c>
    </row>
    <row r="246" spans="1:10" x14ac:dyDescent="0.25">
      <c r="A246" s="1" t="s">
        <v>1</v>
      </c>
      <c r="B246" s="1" t="s">
        <v>2</v>
      </c>
      <c r="C246" s="1" t="s">
        <v>1877</v>
      </c>
      <c r="D246" s="1">
        <v>38.597200000000001</v>
      </c>
      <c r="E246" s="1">
        <v>-119.8207</v>
      </c>
      <c r="F246" s="1" t="s">
        <v>1924</v>
      </c>
      <c r="G246" s="22">
        <v>666.43836862523938</v>
      </c>
      <c r="H246" s="20">
        <f ca="1">NOW() - TIME(5,30,0) + (VLOOKUP(MasterTable[[#This Row],[TimeZone]], $O$3:$P$8, 2, FALSE) / 24)</f>
        <v>45990.448544791667</v>
      </c>
      <c r="I246" s="1" t="s">
        <v>1944</v>
      </c>
      <c r="J246" s="1">
        <v>743.19</v>
      </c>
    </row>
    <row r="247" spans="1:10" x14ac:dyDescent="0.25">
      <c r="A247" s="1" t="s">
        <v>137</v>
      </c>
      <c r="B247" s="1" t="s">
        <v>138</v>
      </c>
      <c r="C247" s="1" t="s">
        <v>113</v>
      </c>
      <c r="D247" s="1">
        <v>38.832099999999997</v>
      </c>
      <c r="E247" s="1">
        <v>-104.5254</v>
      </c>
      <c r="F247" s="1" t="s">
        <v>1923</v>
      </c>
      <c r="G247" s="22">
        <v>581.20235908593963</v>
      </c>
      <c r="H247" s="20">
        <f ca="1">NOW() - TIME(5,30,0) + (VLOOKUP(MasterTable[[#This Row],[TimeZone]], $O$3:$P$8, 2, FALSE) / 24)</f>
        <v>45990.490211458338</v>
      </c>
      <c r="I247" s="1" t="s">
        <v>1944</v>
      </c>
      <c r="J247" s="1">
        <v>2129.56</v>
      </c>
    </row>
    <row r="248" spans="1:10" x14ac:dyDescent="0.25">
      <c r="A248" s="1" t="s">
        <v>137</v>
      </c>
      <c r="B248" s="1" t="s">
        <v>138</v>
      </c>
      <c r="C248" s="1" t="s">
        <v>141</v>
      </c>
      <c r="D248" s="1">
        <v>39.762</v>
      </c>
      <c r="E248" s="1">
        <v>-104.8758</v>
      </c>
      <c r="F248" s="1" t="s">
        <v>1923</v>
      </c>
      <c r="G248" s="22">
        <v>620.82607835404281</v>
      </c>
      <c r="H248" s="20">
        <f ca="1">NOW() - TIME(5,30,0) + (VLOOKUP(MasterTable[[#This Row],[TimeZone]], $O$3:$P$8, 2, FALSE) / 24)</f>
        <v>45990.490211458338</v>
      </c>
      <c r="I248" s="1" t="s">
        <v>1944</v>
      </c>
      <c r="J248" s="1">
        <v>154.94</v>
      </c>
    </row>
    <row r="249" spans="1:10" x14ac:dyDescent="0.25">
      <c r="A249" s="1" t="s">
        <v>137</v>
      </c>
      <c r="B249" s="1" t="s">
        <v>138</v>
      </c>
      <c r="C249" s="1" t="s">
        <v>158</v>
      </c>
      <c r="D249" s="1">
        <v>39.649799999999999</v>
      </c>
      <c r="E249" s="1">
        <v>-104.33929999999999</v>
      </c>
      <c r="F249" s="1" t="s">
        <v>1923</v>
      </c>
      <c r="G249" s="22">
        <v>631.43734130156054</v>
      </c>
      <c r="H249" s="20">
        <f ca="1">NOW() - TIME(5,30,0) + (VLOOKUP(MasterTable[[#This Row],[TimeZone]], $O$3:$P$8, 2, FALSE) / 24)</f>
        <v>45990.490211458338</v>
      </c>
      <c r="I249" s="1" t="s">
        <v>1944</v>
      </c>
      <c r="J249" s="1">
        <v>805.43</v>
      </c>
    </row>
    <row r="250" spans="1:10" x14ac:dyDescent="0.25">
      <c r="A250" s="1" t="s">
        <v>137</v>
      </c>
      <c r="B250" s="1" t="s">
        <v>138</v>
      </c>
      <c r="C250" s="1" t="s">
        <v>129</v>
      </c>
      <c r="D250" s="1">
        <v>39.586399999999998</v>
      </c>
      <c r="E250" s="1">
        <v>-105.2505</v>
      </c>
      <c r="F250" s="1" t="s">
        <v>1923</v>
      </c>
      <c r="G250" s="22">
        <v>599.58026061366434</v>
      </c>
      <c r="H250" s="20">
        <f ca="1">NOW() - TIME(5,30,0) + (VLOOKUP(MasterTable[[#This Row],[TimeZone]], $O$3:$P$8, 2, FALSE) / 24)</f>
        <v>45990.490211458338</v>
      </c>
      <c r="I250" s="1" t="s">
        <v>1944</v>
      </c>
      <c r="J250" s="1">
        <v>1123.8</v>
      </c>
    </row>
    <row r="251" spans="1:10" x14ac:dyDescent="0.25">
      <c r="A251" s="1" t="s">
        <v>137</v>
      </c>
      <c r="B251" s="1" t="s">
        <v>138</v>
      </c>
      <c r="C251" s="1" t="s">
        <v>193</v>
      </c>
      <c r="D251" s="1">
        <v>39.873600000000003</v>
      </c>
      <c r="E251" s="1">
        <v>-104.3378</v>
      </c>
      <c r="F251" s="1" t="s">
        <v>1923</v>
      </c>
      <c r="G251" s="22">
        <v>643.79486902147846</v>
      </c>
      <c r="H251" s="20">
        <f ca="1">NOW() - TIME(5,30,0) + (VLOOKUP(MasterTable[[#This Row],[TimeZone]], $O$3:$P$8, 2, FALSE) / 24)</f>
        <v>45990.490211458338</v>
      </c>
      <c r="I251" s="1" t="s">
        <v>1944</v>
      </c>
      <c r="J251" s="1">
        <v>1197.71</v>
      </c>
    </row>
    <row r="252" spans="1:10" x14ac:dyDescent="0.25">
      <c r="A252" s="1" t="s">
        <v>137</v>
      </c>
      <c r="B252" s="1" t="s">
        <v>138</v>
      </c>
      <c r="C252" s="1" t="s">
        <v>170</v>
      </c>
      <c r="D252" s="1">
        <v>39.329799999999999</v>
      </c>
      <c r="E252" s="1">
        <v>-104.9293</v>
      </c>
      <c r="F252" s="1" t="s">
        <v>1923</v>
      </c>
      <c r="G252" s="22">
        <v>594.8575094210081</v>
      </c>
      <c r="H252" s="20">
        <f ca="1">NOW() - TIME(5,30,0) + (VLOOKUP(MasterTable[[#This Row],[TimeZone]], $O$3:$P$8, 2, FALSE) / 24)</f>
        <v>45990.490211458338</v>
      </c>
      <c r="I252" s="1" t="s">
        <v>1944</v>
      </c>
      <c r="J252" s="1">
        <v>842.75</v>
      </c>
    </row>
    <row r="253" spans="1:10" x14ac:dyDescent="0.25">
      <c r="A253" s="1" t="s">
        <v>137</v>
      </c>
      <c r="B253" s="1" t="s">
        <v>138</v>
      </c>
      <c r="C253" s="1" t="s">
        <v>261</v>
      </c>
      <c r="D253" s="1">
        <v>40.666400000000003</v>
      </c>
      <c r="E253" s="1">
        <v>-105.4611</v>
      </c>
      <c r="F253" s="1" t="s">
        <v>1923</v>
      </c>
      <c r="G253" s="22">
        <v>657.49998254648006</v>
      </c>
      <c r="H253" s="20">
        <f ca="1">NOW() - TIME(5,30,0) + (VLOOKUP(MasterTable[[#This Row],[TimeZone]], $O$3:$P$8, 2, FALSE) / 24)</f>
        <v>45990.490211458338</v>
      </c>
      <c r="I253" s="1" t="s">
        <v>1944</v>
      </c>
      <c r="J253" s="1">
        <v>2633.86</v>
      </c>
    </row>
    <row r="254" spans="1:10" x14ac:dyDescent="0.25">
      <c r="A254" s="1" t="s">
        <v>137</v>
      </c>
      <c r="B254" s="1" t="s">
        <v>138</v>
      </c>
      <c r="C254" s="1" t="s">
        <v>268</v>
      </c>
      <c r="D254" s="1">
        <v>40.5548</v>
      </c>
      <c r="E254" s="1">
        <v>-104.3925</v>
      </c>
      <c r="F254" s="1" t="s">
        <v>1923</v>
      </c>
      <c r="G254" s="22">
        <v>680.42315228556481</v>
      </c>
      <c r="H254" s="20">
        <f ca="1">NOW() - TIME(5,30,0) + (VLOOKUP(MasterTable[[#This Row],[TimeZone]], $O$3:$P$8, 2, FALSE) / 24)</f>
        <v>45990.490211458338</v>
      </c>
      <c r="I254" s="1" t="s">
        <v>1944</v>
      </c>
      <c r="J254" s="1">
        <v>4021.56</v>
      </c>
    </row>
    <row r="255" spans="1:10" x14ac:dyDescent="0.25">
      <c r="A255" s="1" t="s">
        <v>137</v>
      </c>
      <c r="B255" s="1" t="s">
        <v>138</v>
      </c>
      <c r="C255" s="1" t="s">
        <v>275</v>
      </c>
      <c r="D255" s="1">
        <v>40.092500000000001</v>
      </c>
      <c r="E255" s="1">
        <v>-105.35769999999999</v>
      </c>
      <c r="F255" s="1" t="s">
        <v>1923</v>
      </c>
      <c r="G255" s="22">
        <v>626.00087421831074</v>
      </c>
      <c r="H255" s="20">
        <f ca="1">NOW() - TIME(5,30,0) + (VLOOKUP(MasterTable[[#This Row],[TimeZone]], $O$3:$P$8, 2, FALSE) / 24)</f>
        <v>45990.490211458338</v>
      </c>
      <c r="I255" s="1" t="s">
        <v>1944</v>
      </c>
      <c r="J255" s="1">
        <v>751.37</v>
      </c>
    </row>
    <row r="256" spans="1:10" x14ac:dyDescent="0.25">
      <c r="A256" s="1" t="s">
        <v>137</v>
      </c>
      <c r="B256" s="1" t="s">
        <v>138</v>
      </c>
      <c r="C256" s="1" t="s">
        <v>431</v>
      </c>
      <c r="D256" s="1">
        <v>38.173499999999997</v>
      </c>
      <c r="E256" s="1">
        <v>-104.5127</v>
      </c>
      <c r="F256" s="1" t="s">
        <v>1923</v>
      </c>
      <c r="G256" s="22">
        <v>547.6719906342995</v>
      </c>
      <c r="H256" s="20">
        <f ca="1">NOW() - TIME(5,30,0) + (VLOOKUP(MasterTable[[#This Row],[TimeZone]], $O$3:$P$8, 2, FALSE) / 24)</f>
        <v>45990.490211458338</v>
      </c>
      <c r="I256" s="1" t="s">
        <v>1944</v>
      </c>
      <c r="J256" s="1">
        <v>2397.73</v>
      </c>
    </row>
    <row r="257" spans="1:10" x14ac:dyDescent="0.25">
      <c r="A257" s="1" t="s">
        <v>137</v>
      </c>
      <c r="B257" s="1" t="s">
        <v>138</v>
      </c>
      <c r="C257" s="1" t="s">
        <v>464</v>
      </c>
      <c r="D257" s="1">
        <v>39.018300000000004</v>
      </c>
      <c r="E257" s="1">
        <v>-108.46639999999999</v>
      </c>
      <c r="F257" s="1" t="s">
        <v>1923</v>
      </c>
      <c r="G257" s="22">
        <v>489.47667454671387</v>
      </c>
      <c r="H257" s="20">
        <f ca="1">NOW() - TIME(5,30,0) + (VLOOKUP(MasterTable[[#This Row],[TimeZone]], $O$3:$P$8, 2, FALSE) / 24)</f>
        <v>45990.490211458338</v>
      </c>
      <c r="I257" s="1" t="s">
        <v>1944</v>
      </c>
      <c r="J257" s="1">
        <v>3341.11</v>
      </c>
    </row>
    <row r="258" spans="1:10" x14ac:dyDescent="0.25">
      <c r="A258" s="1" t="s">
        <v>137</v>
      </c>
      <c r="B258" s="1" t="s">
        <v>138</v>
      </c>
      <c r="C258" s="1" t="s">
        <v>692</v>
      </c>
      <c r="D258" s="1">
        <v>39.954099999999997</v>
      </c>
      <c r="E258" s="1">
        <v>-105.0527</v>
      </c>
      <c r="F258" s="1" t="s">
        <v>1923</v>
      </c>
      <c r="G258" s="22">
        <v>626.56513082951903</v>
      </c>
      <c r="H258" s="20">
        <f ca="1">NOW() - TIME(5,30,0) + (VLOOKUP(MasterTable[[#This Row],[TimeZone]], $O$3:$P$8, 2, FALSE) / 24)</f>
        <v>45990.490211458338</v>
      </c>
      <c r="I258" s="1" t="s">
        <v>1944</v>
      </c>
      <c r="J258" s="1">
        <v>0</v>
      </c>
    </row>
    <row r="259" spans="1:10" x14ac:dyDescent="0.25">
      <c r="A259" s="1" t="s">
        <v>137</v>
      </c>
      <c r="B259" s="1" t="s">
        <v>138</v>
      </c>
      <c r="C259" s="1" t="s">
        <v>765</v>
      </c>
      <c r="D259" s="1">
        <v>39.599299999999999</v>
      </c>
      <c r="E259" s="1">
        <v>-107.904</v>
      </c>
      <c r="F259" s="1" t="s">
        <v>1923</v>
      </c>
      <c r="G259" s="22">
        <v>537.0087550591096</v>
      </c>
      <c r="H259" s="20">
        <f ca="1">NOW() - TIME(5,30,0) + (VLOOKUP(MasterTable[[#This Row],[TimeZone]], $O$3:$P$8, 2, FALSE) / 24)</f>
        <v>45990.490211458338</v>
      </c>
      <c r="I259" s="1" t="s">
        <v>1944</v>
      </c>
      <c r="J259" s="1">
        <v>2955.76</v>
      </c>
    </row>
    <row r="260" spans="1:10" x14ac:dyDescent="0.25">
      <c r="A260" s="1" t="s">
        <v>137</v>
      </c>
      <c r="B260" s="1" t="s">
        <v>138</v>
      </c>
      <c r="C260" s="1" t="s">
        <v>805</v>
      </c>
      <c r="D260" s="1">
        <v>37.2866</v>
      </c>
      <c r="E260" s="1">
        <v>-107.8433</v>
      </c>
      <c r="F260" s="1" t="s">
        <v>1923</v>
      </c>
      <c r="G260" s="22">
        <v>391.23796774153618</v>
      </c>
      <c r="H260" s="20">
        <f ca="1">NOW() - TIME(5,30,0) + (VLOOKUP(MasterTable[[#This Row],[TimeZone]], $O$3:$P$8, 2, FALSE) / 24)</f>
        <v>45990.490211458338</v>
      </c>
      <c r="I260" s="1" t="s">
        <v>1944</v>
      </c>
      <c r="J260" s="1">
        <v>1699.93</v>
      </c>
    </row>
    <row r="261" spans="1:10" x14ac:dyDescent="0.25">
      <c r="A261" s="1" t="s">
        <v>137</v>
      </c>
      <c r="B261" s="1" t="s">
        <v>138</v>
      </c>
      <c r="C261" s="1" t="s">
        <v>807</v>
      </c>
      <c r="D261" s="1">
        <v>39.627800000000001</v>
      </c>
      <c r="E261" s="1">
        <v>-106.6953</v>
      </c>
      <c r="F261" s="1" t="s">
        <v>1923</v>
      </c>
      <c r="G261" s="22">
        <v>563.67030451775906</v>
      </c>
      <c r="H261" s="20">
        <f ca="1">NOW() - TIME(5,30,0) + (VLOOKUP(MasterTable[[#This Row],[TimeZone]], $O$3:$P$8, 2, FALSE) / 24)</f>
        <v>45990.490211458338</v>
      </c>
      <c r="I261" s="1" t="s">
        <v>1944</v>
      </c>
      <c r="J261" s="1">
        <v>1691.8</v>
      </c>
    </row>
    <row r="262" spans="1:10" x14ac:dyDescent="0.25">
      <c r="A262" s="1" t="s">
        <v>137</v>
      </c>
      <c r="B262" s="1" t="s">
        <v>138</v>
      </c>
      <c r="C262" s="1" t="s">
        <v>848</v>
      </c>
      <c r="D262" s="1">
        <v>38.473100000000002</v>
      </c>
      <c r="E262" s="1">
        <v>-105.4395</v>
      </c>
      <c r="F262" s="1" t="s">
        <v>1923</v>
      </c>
      <c r="G262" s="22">
        <v>530.9971922489076</v>
      </c>
      <c r="H262" s="20">
        <f ca="1">NOW() - TIME(5,30,0) + (VLOOKUP(MasterTable[[#This Row],[TimeZone]], $O$3:$P$8, 2, FALSE) / 24)</f>
        <v>45990.490211458338</v>
      </c>
      <c r="I262" s="1" t="s">
        <v>1944</v>
      </c>
      <c r="J262" s="1">
        <v>1533.95</v>
      </c>
    </row>
    <row r="263" spans="1:10" x14ac:dyDescent="0.25">
      <c r="A263" s="1" t="s">
        <v>137</v>
      </c>
      <c r="B263" s="1" t="s">
        <v>138</v>
      </c>
      <c r="C263" s="1" t="s">
        <v>914</v>
      </c>
      <c r="D263" s="1">
        <v>38.402200000000001</v>
      </c>
      <c r="E263" s="1">
        <v>-108.2692</v>
      </c>
      <c r="F263" s="1" t="s">
        <v>1923</v>
      </c>
      <c r="G263" s="22">
        <v>452.51710463799986</v>
      </c>
      <c r="H263" s="20">
        <f ca="1">NOW() - TIME(5,30,0) + (VLOOKUP(MasterTable[[#This Row],[TimeZone]], $O$3:$P$8, 2, FALSE) / 24)</f>
        <v>45990.490211458338</v>
      </c>
      <c r="I263" s="1" t="s">
        <v>1944</v>
      </c>
      <c r="J263" s="1">
        <v>2242.5700000000002</v>
      </c>
    </row>
    <row r="264" spans="1:10" x14ac:dyDescent="0.25">
      <c r="A264" s="1" t="s">
        <v>137</v>
      </c>
      <c r="B264" s="1" t="s">
        <v>138</v>
      </c>
      <c r="C264" s="1" t="s">
        <v>991</v>
      </c>
      <c r="D264" s="1">
        <v>38.861400000000003</v>
      </c>
      <c r="E264" s="1">
        <v>-107.8629</v>
      </c>
      <c r="F264" s="1" t="s">
        <v>1923</v>
      </c>
      <c r="G264" s="22">
        <v>489.96823700525533</v>
      </c>
      <c r="H264" s="20">
        <f ca="1">NOW() - TIME(5,30,0) + (VLOOKUP(MasterTable[[#This Row],[TimeZone]], $O$3:$P$8, 2, FALSE) / 24)</f>
        <v>45990.490211458338</v>
      </c>
      <c r="I264" s="1" t="s">
        <v>1944</v>
      </c>
      <c r="J264" s="1">
        <v>1148.52</v>
      </c>
    </row>
    <row r="265" spans="1:10" x14ac:dyDescent="0.25">
      <c r="A265" s="1" t="s">
        <v>137</v>
      </c>
      <c r="B265" s="1" t="s">
        <v>138</v>
      </c>
      <c r="C265" s="1" t="s">
        <v>187</v>
      </c>
      <c r="D265" s="1">
        <v>39.6342</v>
      </c>
      <c r="E265" s="1">
        <v>-106.1164</v>
      </c>
      <c r="F265" s="1" t="s">
        <v>1923</v>
      </c>
      <c r="G265" s="22">
        <v>578.35381411409503</v>
      </c>
      <c r="H265" s="20">
        <f ca="1">NOW() - TIME(5,30,0) + (VLOOKUP(MasterTable[[#This Row],[TimeZone]], $O$3:$P$8, 2, FALSE) / 24)</f>
        <v>45990.490211458338</v>
      </c>
      <c r="I265" s="1" t="s">
        <v>1944</v>
      </c>
      <c r="J265" s="1">
        <v>619.25</v>
      </c>
    </row>
    <row r="266" spans="1:10" x14ac:dyDescent="0.25">
      <c r="A266" s="1" t="s">
        <v>137</v>
      </c>
      <c r="B266" s="1" t="s">
        <v>138</v>
      </c>
      <c r="C266" s="1" t="s">
        <v>521</v>
      </c>
      <c r="D266" s="1">
        <v>40.262599999999999</v>
      </c>
      <c r="E266" s="1">
        <v>-103.80970000000001</v>
      </c>
      <c r="F266" s="1" t="s">
        <v>1923</v>
      </c>
      <c r="G266" s="22">
        <v>682.09528595039762</v>
      </c>
      <c r="H266" s="20">
        <f ca="1">NOW() - TIME(5,30,0) + (VLOOKUP(MasterTable[[#This Row],[TimeZone]], $O$3:$P$8, 2, FALSE) / 24)</f>
        <v>45990.490211458338</v>
      </c>
      <c r="I266" s="1" t="s">
        <v>1944</v>
      </c>
      <c r="J266" s="1">
        <v>599.05999999999995</v>
      </c>
    </row>
    <row r="267" spans="1:10" x14ac:dyDescent="0.25">
      <c r="A267" s="1" t="s">
        <v>137</v>
      </c>
      <c r="B267" s="1" t="s">
        <v>138</v>
      </c>
      <c r="C267" s="1" t="s">
        <v>1122</v>
      </c>
      <c r="D267" s="1">
        <v>39.286499999999997</v>
      </c>
      <c r="E267" s="1">
        <v>-104.1357</v>
      </c>
      <c r="F267" s="1" t="s">
        <v>1923</v>
      </c>
      <c r="G267" s="22">
        <v>618.68941102859571</v>
      </c>
      <c r="H267" s="20">
        <f ca="1">NOW() - TIME(5,30,0) + (VLOOKUP(MasterTable[[#This Row],[TimeZone]], $O$3:$P$8, 2, FALSE) / 24)</f>
        <v>45990.490211458338</v>
      </c>
      <c r="I267" s="1" t="s">
        <v>1944</v>
      </c>
      <c r="J267" s="1">
        <v>1850.89</v>
      </c>
    </row>
    <row r="268" spans="1:10" x14ac:dyDescent="0.25">
      <c r="A268" s="1" t="s">
        <v>137</v>
      </c>
      <c r="B268" s="1" t="s">
        <v>138</v>
      </c>
      <c r="C268" s="1" t="s">
        <v>1139</v>
      </c>
      <c r="D268" s="1">
        <v>37.3386</v>
      </c>
      <c r="E268" s="1">
        <v>-108.5966</v>
      </c>
      <c r="F268" s="1" t="s">
        <v>1923</v>
      </c>
      <c r="G268" s="22">
        <v>377.443762932374</v>
      </c>
      <c r="H268" s="20">
        <f ca="1">NOW() - TIME(5,30,0) + (VLOOKUP(MasterTable[[#This Row],[TimeZone]], $O$3:$P$8, 2, FALSE) / 24)</f>
        <v>45990.490211458338</v>
      </c>
      <c r="I268" s="1" t="s">
        <v>1944</v>
      </c>
      <c r="J268" s="1">
        <v>2039.97</v>
      </c>
    </row>
    <row r="269" spans="1:10" x14ac:dyDescent="0.25">
      <c r="A269" s="1" t="s">
        <v>137</v>
      </c>
      <c r="B269" s="1" t="s">
        <v>138</v>
      </c>
      <c r="C269" s="1" t="s">
        <v>1171</v>
      </c>
      <c r="D269" s="1">
        <v>40.485199999999999</v>
      </c>
      <c r="E269" s="1">
        <v>-106.9913</v>
      </c>
      <c r="F269" s="1" t="s">
        <v>1923</v>
      </c>
      <c r="G269" s="22">
        <v>611.3587574145082</v>
      </c>
      <c r="H269" s="20">
        <f ca="1">NOW() - TIME(5,30,0) + (VLOOKUP(MasterTable[[#This Row],[TimeZone]], $O$3:$P$8, 2, FALSE) / 24)</f>
        <v>45990.490211458338</v>
      </c>
      <c r="I269" s="1" t="s">
        <v>1944</v>
      </c>
      <c r="J269" s="1">
        <v>2368.02</v>
      </c>
    </row>
    <row r="270" spans="1:10" x14ac:dyDescent="0.25">
      <c r="A270" s="1" t="s">
        <v>137</v>
      </c>
      <c r="B270" s="1" t="s">
        <v>138</v>
      </c>
      <c r="C270" s="1" t="s">
        <v>1177</v>
      </c>
      <c r="D270" s="1">
        <v>38.882399999999997</v>
      </c>
      <c r="E270" s="1">
        <v>-105.1617</v>
      </c>
      <c r="F270" s="1" t="s">
        <v>1923</v>
      </c>
      <c r="G270" s="22">
        <v>562.59844096228971</v>
      </c>
      <c r="H270" s="20">
        <f ca="1">NOW() - TIME(5,30,0) + (VLOOKUP(MasterTable[[#This Row],[TimeZone]], $O$3:$P$8, 2, FALSE) / 24)</f>
        <v>45990.490211458338</v>
      </c>
      <c r="I270" s="1" t="s">
        <v>1944</v>
      </c>
      <c r="J270" s="1">
        <v>558.96</v>
      </c>
    </row>
    <row r="271" spans="1:10" x14ac:dyDescent="0.25">
      <c r="A271" s="1" t="s">
        <v>137</v>
      </c>
      <c r="B271" s="1" t="s">
        <v>138</v>
      </c>
      <c r="C271" s="1" t="s">
        <v>837</v>
      </c>
      <c r="D271" s="1">
        <v>40.724699999999999</v>
      </c>
      <c r="E271" s="1">
        <v>-103.1101</v>
      </c>
      <c r="F271" s="1" t="s">
        <v>1923</v>
      </c>
      <c r="G271" s="22">
        <v>729.93496028537868</v>
      </c>
      <c r="H271" s="20">
        <f ca="1">NOW() - TIME(5,30,0) + (VLOOKUP(MasterTable[[#This Row],[TimeZone]], $O$3:$P$8, 2, FALSE) / 24)</f>
        <v>45990.490211458338</v>
      </c>
      <c r="I271" s="1" t="s">
        <v>1944</v>
      </c>
      <c r="J271" s="1">
        <v>731.5</v>
      </c>
    </row>
    <row r="272" spans="1:10" x14ac:dyDescent="0.25">
      <c r="A272" s="1" t="s">
        <v>137</v>
      </c>
      <c r="B272" s="1" t="s">
        <v>138</v>
      </c>
      <c r="C272" s="1" t="s">
        <v>1280</v>
      </c>
      <c r="D272" s="1">
        <v>38.747</v>
      </c>
      <c r="E272" s="1">
        <v>-106.19410000000001</v>
      </c>
      <c r="F272" s="1" t="s">
        <v>1923</v>
      </c>
      <c r="G272" s="22">
        <v>523.43588759505803</v>
      </c>
      <c r="H272" s="20">
        <f ca="1">NOW() - TIME(5,30,0) + (VLOOKUP(MasterTable[[#This Row],[TimeZone]], $O$3:$P$8, 2, FALSE) / 24)</f>
        <v>45990.490211458338</v>
      </c>
      <c r="I272" s="1" t="s">
        <v>1944</v>
      </c>
      <c r="J272" s="1">
        <v>1015.01</v>
      </c>
    </row>
    <row r="273" spans="1:10" x14ac:dyDescent="0.25">
      <c r="A273" s="1" t="s">
        <v>137</v>
      </c>
      <c r="B273" s="1" t="s">
        <v>138</v>
      </c>
      <c r="C273" s="1" t="s">
        <v>719</v>
      </c>
      <c r="D273" s="1">
        <v>37.9026</v>
      </c>
      <c r="E273" s="1">
        <v>-103.7165</v>
      </c>
      <c r="F273" s="1" t="s">
        <v>1923</v>
      </c>
      <c r="G273" s="22">
        <v>565.65371383814329</v>
      </c>
      <c r="H273" s="20">
        <f ca="1">NOW() - TIME(5,30,0) + (VLOOKUP(MasterTable[[#This Row],[TimeZone]], $O$3:$P$8, 2, FALSE) / 24)</f>
        <v>45990.490211458338</v>
      </c>
      <c r="I273" s="1" t="s">
        <v>1944</v>
      </c>
      <c r="J273" s="1">
        <v>1269.74</v>
      </c>
    </row>
    <row r="274" spans="1:10" x14ac:dyDescent="0.25">
      <c r="A274" s="1" t="s">
        <v>137</v>
      </c>
      <c r="B274" s="1" t="s">
        <v>138</v>
      </c>
      <c r="C274" s="1" t="s">
        <v>1078</v>
      </c>
      <c r="D274" s="1">
        <v>39.119399999999999</v>
      </c>
      <c r="E274" s="1">
        <v>-105.71720000000001</v>
      </c>
      <c r="F274" s="1" t="s">
        <v>1923</v>
      </c>
      <c r="G274" s="22">
        <v>558.9150869171641</v>
      </c>
      <c r="H274" s="20">
        <f ca="1">NOW() - TIME(5,30,0) + (VLOOKUP(MasterTable[[#This Row],[TimeZone]], $O$3:$P$8, 2, FALSE) / 24)</f>
        <v>45990.490211458338</v>
      </c>
      <c r="I274" s="1" t="s">
        <v>1944</v>
      </c>
      <c r="J274" s="1">
        <v>2210.69</v>
      </c>
    </row>
    <row r="275" spans="1:10" x14ac:dyDescent="0.25">
      <c r="A275" s="1" t="s">
        <v>137</v>
      </c>
      <c r="B275" s="1" t="s">
        <v>138</v>
      </c>
      <c r="C275" s="1" t="s">
        <v>1339</v>
      </c>
      <c r="D275" s="1">
        <v>38.666699999999999</v>
      </c>
      <c r="E275" s="1">
        <v>-107.0316</v>
      </c>
      <c r="F275" s="1" t="s">
        <v>1923</v>
      </c>
      <c r="G275" s="22">
        <v>496.24626964864757</v>
      </c>
      <c r="H275" s="20">
        <f ca="1">NOW() - TIME(5,30,0) + (VLOOKUP(MasterTable[[#This Row],[TimeZone]], $O$3:$P$8, 2, FALSE) / 24)</f>
        <v>45990.490211458338</v>
      </c>
      <c r="I275" s="1" t="s">
        <v>1944</v>
      </c>
      <c r="J275" s="1">
        <v>3259.75</v>
      </c>
    </row>
    <row r="276" spans="1:10" x14ac:dyDescent="0.25">
      <c r="A276" s="1" t="s">
        <v>137</v>
      </c>
      <c r="B276" s="1" t="s">
        <v>138</v>
      </c>
      <c r="C276" s="1" t="s">
        <v>1343</v>
      </c>
      <c r="D276" s="1">
        <v>39.217100000000002</v>
      </c>
      <c r="E276" s="1">
        <v>-106.9166</v>
      </c>
      <c r="F276" s="1" t="s">
        <v>1923</v>
      </c>
      <c r="G276" s="22">
        <v>532.98983539294363</v>
      </c>
      <c r="H276" s="20">
        <f ca="1">NOW() - TIME(5,30,0) + (VLOOKUP(MasterTable[[#This Row],[TimeZone]], $O$3:$P$8, 2, FALSE) / 24)</f>
        <v>45990.490211458338</v>
      </c>
      <c r="I276" s="1" t="s">
        <v>1944</v>
      </c>
      <c r="J276" s="1">
        <v>973.23</v>
      </c>
    </row>
    <row r="277" spans="1:10" x14ac:dyDescent="0.25">
      <c r="A277" s="1" t="s">
        <v>137</v>
      </c>
      <c r="B277" s="1" t="s">
        <v>138</v>
      </c>
      <c r="C277" s="1" t="s">
        <v>1364</v>
      </c>
      <c r="D277" s="1">
        <v>37.572899999999997</v>
      </c>
      <c r="E277" s="1">
        <v>-105.78830000000001</v>
      </c>
      <c r="F277" s="1" t="s">
        <v>1923</v>
      </c>
      <c r="G277" s="22">
        <v>470.47040804706</v>
      </c>
      <c r="H277" s="20">
        <f ca="1">NOW() - TIME(5,30,0) + (VLOOKUP(MasterTable[[#This Row],[TimeZone]], $O$3:$P$8, 2, FALSE) / 24)</f>
        <v>45990.490211458338</v>
      </c>
      <c r="I277" s="1" t="s">
        <v>1944</v>
      </c>
      <c r="J277" s="1">
        <v>723.53</v>
      </c>
    </row>
    <row r="278" spans="1:10" x14ac:dyDescent="0.25">
      <c r="A278" s="1" t="s">
        <v>137</v>
      </c>
      <c r="B278" s="1" t="s">
        <v>138</v>
      </c>
      <c r="C278" s="1" t="s">
        <v>1383</v>
      </c>
      <c r="D278" s="1">
        <v>40.102600000000002</v>
      </c>
      <c r="E278" s="1">
        <v>-106.1183</v>
      </c>
      <c r="F278" s="1" t="s">
        <v>1923</v>
      </c>
      <c r="G278" s="22">
        <v>606.77265303860281</v>
      </c>
      <c r="H278" s="20">
        <f ca="1">NOW() - TIME(5,30,0) + (VLOOKUP(MasterTable[[#This Row],[TimeZone]], $O$3:$P$8, 2, FALSE) / 24)</f>
        <v>45990.490211458338</v>
      </c>
      <c r="I278" s="1" t="s">
        <v>1944</v>
      </c>
      <c r="J278" s="1">
        <v>1869.6</v>
      </c>
    </row>
    <row r="279" spans="1:10" x14ac:dyDescent="0.25">
      <c r="A279" s="1" t="s">
        <v>137</v>
      </c>
      <c r="B279" s="1" t="s">
        <v>138</v>
      </c>
      <c r="C279" s="1" t="s">
        <v>1419</v>
      </c>
      <c r="D279" s="1">
        <v>37.315800000000003</v>
      </c>
      <c r="E279" s="1">
        <v>-104.03870000000001</v>
      </c>
      <c r="F279" s="1" t="s">
        <v>1923</v>
      </c>
      <c r="G279" s="22">
        <v>525.77442297086895</v>
      </c>
      <c r="H279" s="20">
        <f ca="1">NOW() - TIME(5,30,0) + (VLOOKUP(MasterTable[[#This Row],[TimeZone]], $O$3:$P$8, 2, FALSE) / 24)</f>
        <v>45990.490211458338</v>
      </c>
      <c r="I279" s="1" t="s">
        <v>1944</v>
      </c>
      <c r="J279" s="1">
        <v>4775.42</v>
      </c>
    </row>
    <row r="280" spans="1:10" x14ac:dyDescent="0.25">
      <c r="A280" s="1" t="s">
        <v>137</v>
      </c>
      <c r="B280" s="1" t="s">
        <v>138</v>
      </c>
      <c r="C280" s="1" t="s">
        <v>1450</v>
      </c>
      <c r="D280" s="1">
        <v>37.1935</v>
      </c>
      <c r="E280" s="1">
        <v>-107.0483</v>
      </c>
      <c r="F280" s="1" t="s">
        <v>1923</v>
      </c>
      <c r="G280" s="22">
        <v>408.0049935941372</v>
      </c>
      <c r="H280" s="20">
        <f ca="1">NOW() - TIME(5,30,0) + (VLOOKUP(MasterTable[[#This Row],[TimeZone]], $O$3:$P$8, 2, FALSE) / 24)</f>
        <v>45990.490211458338</v>
      </c>
      <c r="I280" s="1" t="s">
        <v>1944</v>
      </c>
      <c r="J280" s="1">
        <v>1355.48</v>
      </c>
    </row>
    <row r="281" spans="1:10" x14ac:dyDescent="0.25">
      <c r="A281" s="1" t="s">
        <v>137</v>
      </c>
      <c r="B281" s="1" t="s">
        <v>138</v>
      </c>
      <c r="C281" s="1" t="s">
        <v>1458</v>
      </c>
      <c r="D281" s="1">
        <v>40.618400000000001</v>
      </c>
      <c r="E281" s="1">
        <v>-108.20740000000001</v>
      </c>
      <c r="F281" s="1" t="s">
        <v>1923</v>
      </c>
      <c r="G281" s="22">
        <v>599.47523219641892</v>
      </c>
      <c r="H281" s="20">
        <f ca="1">NOW() - TIME(5,30,0) + (VLOOKUP(MasterTable[[#This Row],[TimeZone]], $O$3:$P$8, 2, FALSE) / 24)</f>
        <v>45990.490211458338</v>
      </c>
      <c r="I281" s="1" t="s">
        <v>1944</v>
      </c>
      <c r="J281" s="1">
        <v>4750.9399999999996</v>
      </c>
    </row>
    <row r="282" spans="1:10" x14ac:dyDescent="0.25">
      <c r="A282" s="1" t="s">
        <v>137</v>
      </c>
      <c r="B282" s="1" t="s">
        <v>138</v>
      </c>
      <c r="C282" s="1" t="s">
        <v>1504</v>
      </c>
      <c r="D282" s="1">
        <v>37.955199999999998</v>
      </c>
      <c r="E282" s="1">
        <v>-102.3934</v>
      </c>
      <c r="F282" s="1" t="s">
        <v>1923</v>
      </c>
      <c r="G282" s="22">
        <v>623.77676030356099</v>
      </c>
      <c r="H282" s="20">
        <f ca="1">NOW() - TIME(5,30,0) + (VLOOKUP(MasterTable[[#This Row],[TimeZone]], $O$3:$P$8, 2, FALSE) / 24)</f>
        <v>45990.490211458338</v>
      </c>
      <c r="I282" s="1" t="s">
        <v>1944</v>
      </c>
      <c r="J282" s="1">
        <v>1644.35</v>
      </c>
    </row>
    <row r="283" spans="1:10" x14ac:dyDescent="0.25">
      <c r="A283" s="1" t="s">
        <v>137</v>
      </c>
      <c r="B283" s="1" t="s">
        <v>138</v>
      </c>
      <c r="C283" s="1" t="s">
        <v>1517</v>
      </c>
      <c r="D283" s="1">
        <v>37.582500000000003</v>
      </c>
      <c r="E283" s="1">
        <v>-106.3832</v>
      </c>
      <c r="F283" s="1" t="s">
        <v>1923</v>
      </c>
      <c r="G283" s="22">
        <v>450.96267164239538</v>
      </c>
      <c r="H283" s="20">
        <f ca="1">NOW() - TIME(5,30,0) + (VLOOKUP(MasterTable[[#This Row],[TimeZone]], $O$3:$P$8, 2, FALSE) / 24)</f>
        <v>45990.490211458338</v>
      </c>
      <c r="I283" s="1" t="s">
        <v>1944</v>
      </c>
      <c r="J283" s="1">
        <v>912.14</v>
      </c>
    </row>
    <row r="284" spans="1:10" x14ac:dyDescent="0.25">
      <c r="A284" s="1" t="s">
        <v>137</v>
      </c>
      <c r="B284" s="1" t="s">
        <v>138</v>
      </c>
      <c r="C284" s="1" t="s">
        <v>368</v>
      </c>
      <c r="D284" s="1">
        <v>40.002899999999997</v>
      </c>
      <c r="E284" s="1">
        <v>-102.4243</v>
      </c>
      <c r="F284" s="1" t="s">
        <v>1923</v>
      </c>
      <c r="G284" s="22">
        <v>716.44009414330469</v>
      </c>
      <c r="H284" s="20">
        <f ca="1">NOW() - TIME(5,30,0) + (VLOOKUP(MasterTable[[#This Row],[TimeZone]], $O$3:$P$8, 2, FALSE) / 24)</f>
        <v>45990.490211458338</v>
      </c>
      <c r="I284" s="1" t="s">
        <v>1944</v>
      </c>
      <c r="J284" s="1">
        <v>5518.96</v>
      </c>
    </row>
    <row r="285" spans="1:10" x14ac:dyDescent="0.25">
      <c r="A285" s="1" t="s">
        <v>137</v>
      </c>
      <c r="B285" s="1" t="s">
        <v>138</v>
      </c>
      <c r="C285" s="1" t="s">
        <v>1579</v>
      </c>
      <c r="D285" s="1">
        <v>39.689100000000003</v>
      </c>
      <c r="E285" s="1">
        <v>-105.6444</v>
      </c>
      <c r="F285" s="1" t="s">
        <v>1923</v>
      </c>
      <c r="G285" s="22">
        <v>594.28992488381721</v>
      </c>
      <c r="H285" s="20">
        <f ca="1">NOW() - TIME(5,30,0) + (VLOOKUP(MasterTable[[#This Row],[TimeZone]], $O$3:$P$8, 2, FALSE) / 24)</f>
        <v>45990.490211458338</v>
      </c>
      <c r="I285" s="1" t="s">
        <v>1944</v>
      </c>
      <c r="J285" s="1">
        <v>396.46</v>
      </c>
    </row>
    <row r="286" spans="1:10" x14ac:dyDescent="0.25">
      <c r="A286" s="1" t="s">
        <v>137</v>
      </c>
      <c r="B286" s="1" t="s">
        <v>138</v>
      </c>
      <c r="C286" s="1" t="s">
        <v>1125</v>
      </c>
      <c r="D286" s="1">
        <v>38.003799999999998</v>
      </c>
      <c r="E286" s="1">
        <v>-108.4059</v>
      </c>
      <c r="F286" s="1" t="s">
        <v>1923</v>
      </c>
      <c r="G286" s="22">
        <v>424.12040917397678</v>
      </c>
      <c r="H286" s="20">
        <f ca="1">NOW() - TIME(5,30,0) + (VLOOKUP(MasterTable[[#This Row],[TimeZone]], $O$3:$P$8, 2, FALSE) / 24)</f>
        <v>45990.490211458338</v>
      </c>
      <c r="I286" s="1" t="s">
        <v>1944</v>
      </c>
      <c r="J286" s="1">
        <v>1288.49</v>
      </c>
    </row>
    <row r="287" spans="1:10" x14ac:dyDescent="0.25">
      <c r="A287" s="1" t="s">
        <v>137</v>
      </c>
      <c r="B287" s="1" t="s">
        <v>138</v>
      </c>
      <c r="C287" s="1" t="s">
        <v>1646</v>
      </c>
      <c r="D287" s="1">
        <v>37.200699999999998</v>
      </c>
      <c r="E287" s="1">
        <v>-106.19159999999999</v>
      </c>
      <c r="F287" s="1" t="s">
        <v>1923</v>
      </c>
      <c r="G287" s="22">
        <v>436.54107022395652</v>
      </c>
      <c r="H287" s="20">
        <f ca="1">NOW() - TIME(5,30,0) + (VLOOKUP(MasterTable[[#This Row],[TimeZone]], $O$3:$P$8, 2, FALSE) / 24)</f>
        <v>45990.490211458338</v>
      </c>
      <c r="I287" s="1" t="s">
        <v>1944</v>
      </c>
      <c r="J287" s="1">
        <v>1290.8699999999999</v>
      </c>
    </row>
    <row r="288" spans="1:10" x14ac:dyDescent="0.25">
      <c r="A288" s="1" t="s">
        <v>137</v>
      </c>
      <c r="B288" s="1" t="s">
        <v>138</v>
      </c>
      <c r="C288" s="1" t="s">
        <v>142</v>
      </c>
      <c r="D288" s="1">
        <v>39.202500000000001</v>
      </c>
      <c r="E288" s="1">
        <v>-106.34480000000001</v>
      </c>
      <c r="F288" s="1" t="s">
        <v>1923</v>
      </c>
      <c r="G288" s="22">
        <v>546.3733112517757</v>
      </c>
      <c r="H288" s="20">
        <f ca="1">NOW() - TIME(5,30,0) + (VLOOKUP(MasterTable[[#This Row],[TimeZone]], $O$3:$P$8, 2, FALSE) / 24)</f>
        <v>45990.490211458338</v>
      </c>
      <c r="I288" s="1" t="s">
        <v>1944</v>
      </c>
      <c r="J288" s="1">
        <v>1329.48</v>
      </c>
    </row>
    <row r="289" spans="1:10" x14ac:dyDescent="0.25">
      <c r="A289" s="1" t="s">
        <v>137</v>
      </c>
      <c r="B289" s="1" t="s">
        <v>138</v>
      </c>
      <c r="C289" s="1" t="s">
        <v>1668</v>
      </c>
      <c r="D289" s="1">
        <v>39.305500000000002</v>
      </c>
      <c r="E289" s="1">
        <v>-102.60299999999999</v>
      </c>
      <c r="F289" s="1" t="s">
        <v>1923</v>
      </c>
      <c r="G289" s="22">
        <v>675.67531265445973</v>
      </c>
      <c r="H289" s="20">
        <f ca="1">NOW() - TIME(5,30,0) + (VLOOKUP(MasterTable[[#This Row],[TimeZone]], $O$3:$P$8, 2, FALSE) / 24)</f>
        <v>45990.490211458338</v>
      </c>
      <c r="I289" s="1" t="s">
        <v>1944</v>
      </c>
      <c r="J289" s="1">
        <v>2161.56</v>
      </c>
    </row>
    <row r="290" spans="1:10" x14ac:dyDescent="0.25">
      <c r="A290" s="1" t="s">
        <v>137</v>
      </c>
      <c r="B290" s="1" t="s">
        <v>138</v>
      </c>
      <c r="C290" s="1" t="s">
        <v>1673</v>
      </c>
      <c r="D290" s="1">
        <v>37.684699999999999</v>
      </c>
      <c r="E290" s="1">
        <v>-104.9606</v>
      </c>
      <c r="F290" s="1" t="s">
        <v>1923</v>
      </c>
      <c r="G290" s="22">
        <v>506.36065193286242</v>
      </c>
      <c r="H290" s="20">
        <f ca="1">NOW() - TIME(5,30,0) + (VLOOKUP(MasterTable[[#This Row],[TimeZone]], $O$3:$P$8, 2, FALSE) / 24)</f>
        <v>45990.490211458338</v>
      </c>
      <c r="I290" s="1" t="s">
        <v>1944</v>
      </c>
      <c r="J290" s="1">
        <v>1593.24</v>
      </c>
    </row>
    <row r="291" spans="1:10" x14ac:dyDescent="0.25">
      <c r="A291" s="1" t="s">
        <v>137</v>
      </c>
      <c r="B291" s="1" t="s">
        <v>138</v>
      </c>
      <c r="C291" s="1" t="s">
        <v>1690</v>
      </c>
      <c r="D291" s="1">
        <v>39.979799999999997</v>
      </c>
      <c r="E291" s="1">
        <v>-108.2171</v>
      </c>
      <c r="F291" s="1" t="s">
        <v>1923</v>
      </c>
      <c r="G291" s="22">
        <v>556.91601637016129</v>
      </c>
      <c r="H291" s="20">
        <f ca="1">NOW() - TIME(5,30,0) + (VLOOKUP(MasterTable[[#This Row],[TimeZone]], $O$3:$P$8, 2, FALSE) / 24)</f>
        <v>45990.490211458338</v>
      </c>
      <c r="I291" s="1" t="s">
        <v>1944</v>
      </c>
      <c r="J291" s="1">
        <v>3222.91</v>
      </c>
    </row>
    <row r="292" spans="1:10" x14ac:dyDescent="0.25">
      <c r="A292" s="1" t="s">
        <v>137</v>
      </c>
      <c r="B292" s="1" t="s">
        <v>138</v>
      </c>
      <c r="C292" s="1" t="s">
        <v>1691</v>
      </c>
      <c r="D292" s="1">
        <v>38.080500000000001</v>
      </c>
      <c r="E292" s="1">
        <v>-106.28149999999999</v>
      </c>
      <c r="F292" s="1" t="s">
        <v>1923</v>
      </c>
      <c r="G292" s="22">
        <v>482.2785925818381</v>
      </c>
      <c r="H292" s="20">
        <f ca="1">NOW() - TIME(5,30,0) + (VLOOKUP(MasterTable[[#This Row],[TimeZone]], $O$3:$P$8, 2, FALSE) / 24)</f>
        <v>45990.490211458338</v>
      </c>
      <c r="I292" s="1" t="s">
        <v>1944</v>
      </c>
      <c r="J292" s="1">
        <v>3170.25</v>
      </c>
    </row>
    <row r="293" spans="1:10" x14ac:dyDescent="0.25">
      <c r="A293" s="1" t="s">
        <v>137</v>
      </c>
      <c r="B293" s="1" t="s">
        <v>138</v>
      </c>
      <c r="C293" s="1" t="s">
        <v>1715</v>
      </c>
      <c r="D293" s="1">
        <v>39.857500000000002</v>
      </c>
      <c r="E293" s="1">
        <v>-105.5226</v>
      </c>
      <c r="F293" s="1" t="s">
        <v>1923</v>
      </c>
      <c r="G293" s="22">
        <v>607.59201242114636</v>
      </c>
      <c r="H293" s="20">
        <f ca="1">NOW() - TIME(5,30,0) + (VLOOKUP(MasterTable[[#This Row],[TimeZone]], $O$3:$P$8, 2, FALSE) / 24)</f>
        <v>45990.490211458338</v>
      </c>
      <c r="I293" s="1" t="s">
        <v>1944</v>
      </c>
      <c r="J293" s="1">
        <v>150.25</v>
      </c>
    </row>
    <row r="294" spans="1:10" x14ac:dyDescent="0.25">
      <c r="A294" s="1" t="s">
        <v>137</v>
      </c>
      <c r="B294" s="1" t="s">
        <v>138</v>
      </c>
      <c r="C294" s="1" t="s">
        <v>1722</v>
      </c>
      <c r="D294" s="1">
        <v>38.326599999999999</v>
      </c>
      <c r="E294" s="1">
        <v>-103.78449999999999</v>
      </c>
      <c r="F294" s="1" t="s">
        <v>1923</v>
      </c>
      <c r="G294" s="22">
        <v>582.93079509976519</v>
      </c>
      <c r="H294" s="20">
        <f ca="1">NOW() - TIME(5,30,0) + (VLOOKUP(MasterTable[[#This Row],[TimeZone]], $O$3:$P$8, 2, FALSE) / 24)</f>
        <v>45990.490211458338</v>
      </c>
      <c r="I294" s="1" t="s">
        <v>1944</v>
      </c>
      <c r="J294" s="1">
        <v>800.33</v>
      </c>
    </row>
    <row r="295" spans="1:10" x14ac:dyDescent="0.25">
      <c r="A295" s="1" t="s">
        <v>137</v>
      </c>
      <c r="B295" s="1" t="s">
        <v>138</v>
      </c>
      <c r="C295" s="1" t="s">
        <v>632</v>
      </c>
      <c r="D295" s="1">
        <v>38.988100000000003</v>
      </c>
      <c r="E295" s="1">
        <v>-103.514</v>
      </c>
      <c r="F295" s="1" t="s">
        <v>1923</v>
      </c>
      <c r="G295" s="22">
        <v>625.63401414248335</v>
      </c>
      <c r="H295" s="20">
        <f ca="1">NOW() - TIME(5,30,0) + (VLOOKUP(MasterTable[[#This Row],[TimeZone]], $O$3:$P$8, 2, FALSE) / 24)</f>
        <v>45990.490211458338</v>
      </c>
      <c r="I295" s="1" t="s">
        <v>1944</v>
      </c>
      <c r="J295" s="1">
        <v>572.16999999999996</v>
      </c>
    </row>
    <row r="296" spans="1:10" x14ac:dyDescent="0.25">
      <c r="A296" s="1" t="s">
        <v>137</v>
      </c>
      <c r="B296" s="1" t="s">
        <v>138</v>
      </c>
      <c r="C296" s="1" t="s">
        <v>1732</v>
      </c>
      <c r="D296" s="1">
        <v>37.955100000000002</v>
      </c>
      <c r="E296" s="1">
        <v>-103.07170000000001</v>
      </c>
      <c r="F296" s="1" t="s">
        <v>1923</v>
      </c>
      <c r="G296" s="22">
        <v>594.70224846883571</v>
      </c>
      <c r="H296" s="20">
        <f ca="1">NOW() - TIME(5,30,0) + (VLOOKUP(MasterTable[[#This Row],[TimeZone]], $O$3:$P$8, 2, FALSE) / 24)</f>
        <v>45990.490211458338</v>
      </c>
      <c r="I296" s="1" t="s">
        <v>1944</v>
      </c>
      <c r="J296" s="1">
        <v>1541.12</v>
      </c>
    </row>
    <row r="297" spans="1:10" x14ac:dyDescent="0.25">
      <c r="A297" s="1" t="s">
        <v>137</v>
      </c>
      <c r="B297" s="1" t="s">
        <v>138</v>
      </c>
      <c r="C297" s="1" t="s">
        <v>1100</v>
      </c>
      <c r="D297" s="1">
        <v>38.108699999999999</v>
      </c>
      <c r="E297" s="1">
        <v>-105.36750000000001</v>
      </c>
      <c r="F297" s="1" t="s">
        <v>1923</v>
      </c>
      <c r="G297" s="22">
        <v>513.64283812956057</v>
      </c>
      <c r="H297" s="20">
        <f ca="1">NOW() - TIME(5,30,0) + (VLOOKUP(MasterTable[[#This Row],[TimeZone]], $O$3:$P$8, 2, FALSE) / 24)</f>
        <v>45990.490211458338</v>
      </c>
      <c r="I297" s="1" t="s">
        <v>1944</v>
      </c>
      <c r="J297" s="1">
        <v>739.9</v>
      </c>
    </row>
    <row r="298" spans="1:10" x14ac:dyDescent="0.25">
      <c r="A298" s="1" t="s">
        <v>137</v>
      </c>
      <c r="B298" s="1" t="s">
        <v>138</v>
      </c>
      <c r="C298" s="1" t="s">
        <v>1755</v>
      </c>
      <c r="D298" s="1">
        <v>38.155500000000004</v>
      </c>
      <c r="E298" s="1">
        <v>-107.7693</v>
      </c>
      <c r="F298" s="1" t="s">
        <v>1923</v>
      </c>
      <c r="G298" s="22">
        <v>447.01538013781436</v>
      </c>
      <c r="H298" s="20">
        <f ca="1">NOW() - TIME(5,30,0) + (VLOOKUP(MasterTable[[#This Row],[TimeZone]], $O$3:$P$8, 2, FALSE) / 24)</f>
        <v>45990.490211458338</v>
      </c>
      <c r="I298" s="1" t="s">
        <v>1944</v>
      </c>
      <c r="J298" s="1">
        <v>542.21</v>
      </c>
    </row>
    <row r="299" spans="1:10" x14ac:dyDescent="0.25">
      <c r="A299" s="1" t="s">
        <v>137</v>
      </c>
      <c r="B299" s="1" t="s">
        <v>138</v>
      </c>
      <c r="C299" s="1" t="s">
        <v>28</v>
      </c>
      <c r="D299" s="1">
        <v>39.970999999999997</v>
      </c>
      <c r="E299" s="1">
        <v>-103.2012</v>
      </c>
      <c r="F299" s="1" t="s">
        <v>1923</v>
      </c>
      <c r="G299" s="22">
        <v>686.96539966406283</v>
      </c>
      <c r="H299" s="20">
        <f ca="1">NOW() - TIME(5,30,0) + (VLOOKUP(MasterTable[[#This Row],[TimeZone]], $O$3:$P$8, 2, FALSE) / 24)</f>
        <v>45990.490211458338</v>
      </c>
      <c r="I299" s="1" t="s">
        <v>1944</v>
      </c>
      <c r="J299" s="1">
        <v>1088.54</v>
      </c>
    </row>
    <row r="300" spans="1:10" x14ac:dyDescent="0.25">
      <c r="A300" s="1" t="s">
        <v>137</v>
      </c>
      <c r="B300" s="1" t="s">
        <v>138</v>
      </c>
      <c r="C300" s="1" t="s">
        <v>1381</v>
      </c>
      <c r="D300" s="1">
        <v>40.594000000000001</v>
      </c>
      <c r="E300" s="1">
        <v>-102.35760000000001</v>
      </c>
      <c r="F300" s="1" t="s">
        <v>1923</v>
      </c>
      <c r="G300" s="22">
        <v>748.68396733162263</v>
      </c>
      <c r="H300" s="20">
        <f ca="1">NOW() - TIME(5,30,0) + (VLOOKUP(MasterTable[[#This Row],[TimeZone]], $O$3:$P$8, 2, FALSE) / 24)</f>
        <v>45990.490211458338</v>
      </c>
      <c r="I300" s="1" t="s">
        <v>1944</v>
      </c>
      <c r="J300" s="1">
        <v>727.29</v>
      </c>
    </row>
    <row r="301" spans="1:10" x14ac:dyDescent="0.25">
      <c r="A301" s="1" t="s">
        <v>137</v>
      </c>
      <c r="B301" s="1" t="s">
        <v>138</v>
      </c>
      <c r="C301" s="1" t="s">
        <v>1796</v>
      </c>
      <c r="D301" s="1">
        <v>37.278100000000002</v>
      </c>
      <c r="E301" s="1">
        <v>-105.4282</v>
      </c>
      <c r="F301" s="1" t="s">
        <v>1923</v>
      </c>
      <c r="G301" s="22">
        <v>468.33187103266386</v>
      </c>
      <c r="H301" s="20">
        <f ca="1">NOW() - TIME(5,30,0) + (VLOOKUP(MasterTable[[#This Row],[TimeZone]], $O$3:$P$8, 2, FALSE) / 24)</f>
        <v>45990.490211458338</v>
      </c>
      <c r="I301" s="1" t="s">
        <v>1944</v>
      </c>
      <c r="J301" s="1">
        <v>1230.44</v>
      </c>
    </row>
    <row r="302" spans="1:10" x14ac:dyDescent="0.25">
      <c r="A302" s="1" t="s">
        <v>137</v>
      </c>
      <c r="B302" s="1" t="s">
        <v>138</v>
      </c>
      <c r="C302" s="1" t="s">
        <v>1800</v>
      </c>
      <c r="D302" s="1">
        <v>37.319200000000002</v>
      </c>
      <c r="E302" s="1">
        <v>-102.5605</v>
      </c>
      <c r="F302" s="1" t="s">
        <v>1923</v>
      </c>
      <c r="G302" s="22">
        <v>590.80662908287661</v>
      </c>
      <c r="H302" s="20">
        <f ca="1">NOW() - TIME(5,30,0) + (VLOOKUP(MasterTable[[#This Row],[TimeZone]], $O$3:$P$8, 2, FALSE) / 24)</f>
        <v>45990.490211458338</v>
      </c>
      <c r="I302" s="1" t="s">
        <v>1944</v>
      </c>
      <c r="J302" s="1">
        <v>2557.09</v>
      </c>
    </row>
    <row r="303" spans="1:10" x14ac:dyDescent="0.25">
      <c r="A303" s="1" t="s">
        <v>137</v>
      </c>
      <c r="B303" s="1" t="s">
        <v>138</v>
      </c>
      <c r="C303" s="1" t="s">
        <v>1847</v>
      </c>
      <c r="D303" s="1">
        <v>37.7517</v>
      </c>
      <c r="E303" s="1">
        <v>-108.51739999999999</v>
      </c>
      <c r="F303" s="1" t="s">
        <v>1923</v>
      </c>
      <c r="G303" s="22">
        <v>405.67337846306526</v>
      </c>
      <c r="H303" s="20">
        <f ca="1">NOW() - TIME(5,30,0) + (VLOOKUP(MasterTable[[#This Row],[TimeZone]], $O$3:$P$8, 2, FALSE) / 24)</f>
        <v>45990.490211458338</v>
      </c>
      <c r="I303" s="1" t="s">
        <v>1944</v>
      </c>
      <c r="J303" s="1">
        <v>1068.0899999999999</v>
      </c>
    </row>
    <row r="304" spans="1:10" x14ac:dyDescent="0.25">
      <c r="A304" s="1" t="s">
        <v>137</v>
      </c>
      <c r="B304" s="1" t="s">
        <v>138</v>
      </c>
      <c r="C304" s="1" t="s">
        <v>192</v>
      </c>
      <c r="D304" s="1">
        <v>40.875900000000001</v>
      </c>
      <c r="E304" s="1">
        <v>-102.3518</v>
      </c>
      <c r="F304" s="1" t="s">
        <v>1923</v>
      </c>
      <c r="G304" s="22">
        <v>763.44440827786377</v>
      </c>
      <c r="H304" s="20">
        <f ca="1">NOW() - TIME(5,30,0) + (VLOOKUP(MasterTable[[#This Row],[TimeZone]], $O$3:$P$8, 2, FALSE) / 24)</f>
        <v>45990.490211458338</v>
      </c>
      <c r="I304" s="1" t="s">
        <v>1944</v>
      </c>
      <c r="J304" s="1">
        <v>549.6</v>
      </c>
    </row>
    <row r="305" spans="1:10" x14ac:dyDescent="0.25">
      <c r="A305" s="1" t="s">
        <v>137</v>
      </c>
      <c r="B305" s="1" t="s">
        <v>138</v>
      </c>
      <c r="C305" s="1" t="s">
        <v>1573</v>
      </c>
      <c r="D305" s="1">
        <v>38.8279</v>
      </c>
      <c r="E305" s="1">
        <v>-102.6036</v>
      </c>
      <c r="F305" s="1" t="s">
        <v>1923</v>
      </c>
      <c r="G305" s="22">
        <v>653.2154840613639</v>
      </c>
      <c r="H305" s="20">
        <f ca="1">NOW() - TIME(5,30,0) + (VLOOKUP(MasterTable[[#This Row],[TimeZone]], $O$3:$P$8, 2, FALSE) / 24)</f>
        <v>45990.490211458338</v>
      </c>
      <c r="I305" s="1" t="s">
        <v>1944</v>
      </c>
      <c r="J305" s="1">
        <v>1781.37</v>
      </c>
    </row>
    <row r="306" spans="1:10" x14ac:dyDescent="0.25">
      <c r="A306" s="1" t="s">
        <v>137</v>
      </c>
      <c r="B306" s="1" t="s">
        <v>138</v>
      </c>
      <c r="C306" s="1" t="s">
        <v>140</v>
      </c>
      <c r="D306" s="1">
        <v>40.666400000000003</v>
      </c>
      <c r="E306" s="1">
        <v>-106.3428</v>
      </c>
      <c r="F306" s="1" t="s">
        <v>1923</v>
      </c>
      <c r="G306" s="22">
        <v>636.45444866242008</v>
      </c>
      <c r="H306" s="20">
        <f ca="1">NOW() - TIME(5,30,0) + (VLOOKUP(MasterTable[[#This Row],[TimeZone]], $O$3:$P$8, 2, FALSE) / 24)</f>
        <v>45990.490211458338</v>
      </c>
      <c r="I306" s="1" t="s">
        <v>1944</v>
      </c>
      <c r="J306" s="1">
        <v>1126.77</v>
      </c>
    </row>
    <row r="307" spans="1:10" x14ac:dyDescent="0.25">
      <c r="A307" s="1" t="s">
        <v>137</v>
      </c>
      <c r="B307" s="1" t="s">
        <v>138</v>
      </c>
      <c r="C307" s="1" t="s">
        <v>1610</v>
      </c>
      <c r="D307" s="1">
        <v>38.432600000000001</v>
      </c>
      <c r="E307" s="1">
        <v>-102.7402</v>
      </c>
      <c r="F307" s="1" t="s">
        <v>1923</v>
      </c>
      <c r="G307" s="22">
        <v>629.69112378164175</v>
      </c>
      <c r="H307" s="20">
        <f ca="1">NOW() - TIME(5,30,0) + (VLOOKUP(MasterTable[[#This Row],[TimeZone]], $O$3:$P$8, 2, FALSE) / 24)</f>
        <v>45990.490211458338</v>
      </c>
      <c r="I307" s="1" t="s">
        <v>1944</v>
      </c>
      <c r="J307" s="1">
        <v>1785.76</v>
      </c>
    </row>
    <row r="308" spans="1:10" x14ac:dyDescent="0.25">
      <c r="A308" s="1" t="s">
        <v>137</v>
      </c>
      <c r="B308" s="1" t="s">
        <v>138</v>
      </c>
      <c r="C308" s="1" t="s">
        <v>1905</v>
      </c>
      <c r="D308" s="1">
        <v>37.821300000000001</v>
      </c>
      <c r="E308" s="1">
        <v>-107.30029999999999</v>
      </c>
      <c r="F308" s="1" t="s">
        <v>1923</v>
      </c>
      <c r="G308" s="22">
        <v>437.86215224459426</v>
      </c>
      <c r="H308" s="20">
        <f ca="1">NOW() - TIME(5,30,0) + (VLOOKUP(MasterTable[[#This Row],[TimeZone]], $O$3:$P$8, 2, FALSE) / 24)</f>
        <v>45990.490211458338</v>
      </c>
      <c r="I308" s="1" t="s">
        <v>1944</v>
      </c>
      <c r="J308" s="1">
        <v>1123.1400000000001</v>
      </c>
    </row>
    <row r="309" spans="1:10" x14ac:dyDescent="0.25">
      <c r="A309" s="1" t="s">
        <v>137</v>
      </c>
      <c r="B309" s="1" t="s">
        <v>138</v>
      </c>
      <c r="C309" s="1" t="s">
        <v>1127</v>
      </c>
      <c r="D309" s="1">
        <v>37.668900000000001</v>
      </c>
      <c r="E309" s="1">
        <v>-106.9241</v>
      </c>
      <c r="F309" s="1" t="s">
        <v>1923</v>
      </c>
      <c r="G309" s="22">
        <v>439.26705649857746</v>
      </c>
      <c r="H309" s="20">
        <f ca="1">NOW() - TIME(5,30,0) + (VLOOKUP(MasterTable[[#This Row],[TimeZone]], $O$3:$P$8, 2, FALSE) / 24)</f>
        <v>45990.490211458338</v>
      </c>
      <c r="I309" s="1" t="s">
        <v>1944</v>
      </c>
      <c r="J309" s="1">
        <v>877.7</v>
      </c>
    </row>
    <row r="310" spans="1:10" x14ac:dyDescent="0.25">
      <c r="A310" s="1" t="s">
        <v>137</v>
      </c>
      <c r="B310" s="1" t="s">
        <v>138</v>
      </c>
      <c r="C310" s="1" t="s">
        <v>527</v>
      </c>
      <c r="D310" s="1">
        <v>37.764000000000003</v>
      </c>
      <c r="E310" s="1">
        <v>-107.67619999999999</v>
      </c>
      <c r="F310" s="1" t="s">
        <v>1923</v>
      </c>
      <c r="G310" s="22">
        <v>424.78378469871194</v>
      </c>
      <c r="H310" s="20">
        <f ca="1">NOW() - TIME(5,30,0) + (VLOOKUP(MasterTable[[#This Row],[TimeZone]], $O$3:$P$8, 2, FALSE) / 24)</f>
        <v>45990.490211458338</v>
      </c>
      <c r="I310" s="1" t="s">
        <v>1944</v>
      </c>
      <c r="J310" s="1">
        <v>388.29</v>
      </c>
    </row>
    <row r="311" spans="1:10" x14ac:dyDescent="0.25">
      <c r="A311" s="1" t="s">
        <v>92</v>
      </c>
      <c r="B311" s="1" t="s">
        <v>93</v>
      </c>
      <c r="C311" s="1" t="s">
        <v>91</v>
      </c>
      <c r="D311" s="1">
        <v>41.8185</v>
      </c>
      <c r="E311" s="1">
        <v>-72.572000000000003</v>
      </c>
      <c r="F311" s="1" t="s">
        <v>1925</v>
      </c>
      <c r="G311" s="22">
        <v>2196.960112248496</v>
      </c>
      <c r="H311" s="20">
        <f ca="1">NOW() - TIME(5,30,0) + (VLOOKUP(MasterTable[[#This Row],[TimeZone]], $O$3:$P$8, 2, FALSE) / 24)</f>
        <v>45990.573544791667</v>
      </c>
      <c r="I311" s="1" t="s">
        <v>1944</v>
      </c>
      <c r="J311" s="1" t="s">
        <v>1946</v>
      </c>
    </row>
    <row r="312" spans="1:10" x14ac:dyDescent="0.25">
      <c r="A312" s="1" t="s">
        <v>92</v>
      </c>
      <c r="B312" s="1" t="s">
        <v>93</v>
      </c>
      <c r="C312" s="1" t="s">
        <v>163</v>
      </c>
      <c r="D312" s="1">
        <v>41.322499999999998</v>
      </c>
      <c r="E312" s="1">
        <v>-73.447500000000005</v>
      </c>
      <c r="F312" s="1" t="s">
        <v>1925</v>
      </c>
      <c r="G312" s="22">
        <v>2148.9762254093607</v>
      </c>
      <c r="H312" s="20">
        <f ca="1">NOW() - TIME(5,30,0) + (VLOOKUP(MasterTable[[#This Row],[TimeZone]], $O$3:$P$8, 2, FALSE) / 24)</f>
        <v>45990.573544791667</v>
      </c>
      <c r="I312" s="1" t="s">
        <v>1944</v>
      </c>
      <c r="J312" s="1" t="s">
        <v>1946</v>
      </c>
    </row>
    <row r="313" spans="1:10" x14ac:dyDescent="0.25">
      <c r="A313" s="1" t="s">
        <v>92</v>
      </c>
      <c r="B313" s="1" t="s">
        <v>93</v>
      </c>
      <c r="C313" s="1" t="s">
        <v>179</v>
      </c>
      <c r="D313" s="1">
        <v>41.3613</v>
      </c>
      <c r="E313" s="1">
        <v>-72.844499999999996</v>
      </c>
      <c r="F313" s="1" t="s">
        <v>1925</v>
      </c>
      <c r="G313" s="22">
        <v>2180.3722330904207</v>
      </c>
      <c r="H313" s="20">
        <f ca="1">NOW() - TIME(5,30,0) + (VLOOKUP(MasterTable[[#This Row],[TimeZone]], $O$3:$P$8, 2, FALSE) / 24)</f>
        <v>45990.573544791667</v>
      </c>
      <c r="I313" s="1" t="s">
        <v>1944</v>
      </c>
      <c r="J313" s="1" t="s">
        <v>1946</v>
      </c>
    </row>
    <row r="314" spans="1:10" x14ac:dyDescent="0.25">
      <c r="A314" s="1" t="s">
        <v>92</v>
      </c>
      <c r="B314" s="1" t="s">
        <v>93</v>
      </c>
      <c r="C314" s="1" t="s">
        <v>218</v>
      </c>
      <c r="D314" s="1">
        <v>41.523099999999999</v>
      </c>
      <c r="E314" s="1">
        <v>-73.085999999999999</v>
      </c>
      <c r="F314" s="1" t="s">
        <v>1925</v>
      </c>
      <c r="G314" s="22">
        <v>2168.7978363585239</v>
      </c>
      <c r="H314" s="20">
        <f ca="1">NOW() - TIME(5,30,0) + (VLOOKUP(MasterTable[[#This Row],[TimeZone]], $O$3:$P$8, 2, FALSE) / 24)</f>
        <v>45990.573544791667</v>
      </c>
      <c r="I314" s="1" t="s">
        <v>1944</v>
      </c>
      <c r="J314" s="1" t="s">
        <v>1946</v>
      </c>
    </row>
    <row r="315" spans="1:10" x14ac:dyDescent="0.25">
      <c r="A315" s="1" t="s">
        <v>92</v>
      </c>
      <c r="B315" s="1" t="s">
        <v>93</v>
      </c>
      <c r="C315" s="1" t="s">
        <v>276</v>
      </c>
      <c r="D315" s="1">
        <v>41.242800000000003</v>
      </c>
      <c r="E315" s="1">
        <v>-73.231399999999994</v>
      </c>
      <c r="F315" s="1" t="s">
        <v>1925</v>
      </c>
      <c r="G315" s="22">
        <v>2159.7179271231184</v>
      </c>
      <c r="H315" s="20">
        <f ca="1">NOW() - TIME(5,30,0) + (VLOOKUP(MasterTable[[#This Row],[TimeZone]], $O$3:$P$8, 2, FALSE) / 24)</f>
        <v>45990.573544791667</v>
      </c>
      <c r="I315" s="1" t="s">
        <v>1944</v>
      </c>
      <c r="J315" s="1" t="s">
        <v>1946</v>
      </c>
    </row>
    <row r="316" spans="1:10" x14ac:dyDescent="0.25">
      <c r="A316" s="1" t="s">
        <v>92</v>
      </c>
      <c r="B316" s="1" t="s">
        <v>93</v>
      </c>
      <c r="C316" s="1" t="s">
        <v>310</v>
      </c>
      <c r="D316" s="1">
        <v>41.502299999999998</v>
      </c>
      <c r="E316" s="1">
        <v>-72.099999999999994</v>
      </c>
      <c r="F316" s="1" t="s">
        <v>1925</v>
      </c>
      <c r="G316" s="22">
        <v>2219.5513028737796</v>
      </c>
      <c r="H316" s="20">
        <f ca="1">NOW() - TIME(5,30,0) + (VLOOKUP(MasterTable[[#This Row],[TimeZone]], $O$3:$P$8, 2, FALSE) / 24)</f>
        <v>45990.573544791667</v>
      </c>
      <c r="I316" s="1" t="s">
        <v>1944</v>
      </c>
      <c r="J316" s="1" t="s">
        <v>1946</v>
      </c>
    </row>
    <row r="317" spans="1:10" x14ac:dyDescent="0.25">
      <c r="A317" s="1" t="s">
        <v>92</v>
      </c>
      <c r="B317" s="1" t="s">
        <v>93</v>
      </c>
      <c r="C317" s="1" t="s">
        <v>416</v>
      </c>
      <c r="D317" s="1">
        <v>41.45</v>
      </c>
      <c r="E317" s="1">
        <v>-72.507300000000001</v>
      </c>
      <c r="F317" s="1" t="s">
        <v>1925</v>
      </c>
      <c r="G317" s="22">
        <v>2198.25932293507</v>
      </c>
      <c r="H317" s="20">
        <f ca="1">NOW() - TIME(5,30,0) + (VLOOKUP(MasterTable[[#This Row],[TimeZone]], $O$3:$P$8, 2, FALSE) / 24)</f>
        <v>45990.573544791667</v>
      </c>
      <c r="I317" s="1" t="s">
        <v>1944</v>
      </c>
      <c r="J317" s="1" t="s">
        <v>1946</v>
      </c>
    </row>
    <row r="318" spans="1:10" x14ac:dyDescent="0.25">
      <c r="A318" s="1" t="s">
        <v>92</v>
      </c>
      <c r="B318" s="1" t="s">
        <v>93</v>
      </c>
      <c r="C318" s="1" t="s">
        <v>543</v>
      </c>
      <c r="D318" s="1">
        <v>41.846899999999998</v>
      </c>
      <c r="E318" s="1">
        <v>-73.221199999999996</v>
      </c>
      <c r="F318" s="1" t="s">
        <v>1925</v>
      </c>
      <c r="G318" s="22">
        <v>2163.8495400067663</v>
      </c>
      <c r="H318" s="20">
        <f ca="1">NOW() - TIME(5,30,0) + (VLOOKUP(MasterTable[[#This Row],[TimeZone]], $O$3:$P$8, 2, FALSE) / 24)</f>
        <v>45990.573544791667</v>
      </c>
      <c r="I318" s="1" t="s">
        <v>1944</v>
      </c>
      <c r="J318" s="1" t="s">
        <v>1946</v>
      </c>
    </row>
    <row r="319" spans="1:10" x14ac:dyDescent="0.25">
      <c r="A319" s="1" t="s">
        <v>92</v>
      </c>
      <c r="B319" s="1" t="s">
        <v>93</v>
      </c>
      <c r="C319" s="1" t="s">
        <v>609</v>
      </c>
      <c r="D319" s="1">
        <v>41.826999999999998</v>
      </c>
      <c r="E319" s="1">
        <v>-71.976900000000001</v>
      </c>
      <c r="F319" s="1" t="s">
        <v>1925</v>
      </c>
      <c r="G319" s="22">
        <v>2227.5489963492446</v>
      </c>
      <c r="H319" s="20">
        <f ca="1">NOW() - TIME(5,30,0) + (VLOOKUP(MasterTable[[#This Row],[TimeZone]], $O$3:$P$8, 2, FALSE) / 24)</f>
        <v>45990.573544791667</v>
      </c>
      <c r="I319" s="1" t="s">
        <v>1944</v>
      </c>
      <c r="J319" s="1" t="s">
        <v>1946</v>
      </c>
    </row>
    <row r="320" spans="1:10" x14ac:dyDescent="0.25">
      <c r="A320" s="1" t="s">
        <v>151</v>
      </c>
      <c r="B320" s="1" t="s">
        <v>150</v>
      </c>
      <c r="C320" s="1" t="s">
        <v>150</v>
      </c>
      <c r="D320" s="1">
        <v>38.904699999999998</v>
      </c>
      <c r="E320" s="1">
        <v>-77.016300000000001</v>
      </c>
      <c r="F320" s="1" t="e">
        <v>#N/A</v>
      </c>
      <c r="G320" s="22">
        <v>1949.170823200018</v>
      </c>
      <c r="H320" s="20" t="e">
        <f ca="1">NOW() - TIME(5,30,0) + (VLOOKUP(MasterTable[[#This Row],[TimeZone]], $O$3:$P$8, 2, FALSE) / 24)</f>
        <v>#N/A</v>
      </c>
      <c r="I320" s="1" t="s">
        <v>1944</v>
      </c>
      <c r="J320" s="1">
        <v>68.34</v>
      </c>
    </row>
    <row r="321" spans="1:10" x14ac:dyDescent="0.25">
      <c r="A321" s="1" t="s">
        <v>176</v>
      </c>
      <c r="B321" s="1" t="s">
        <v>174</v>
      </c>
      <c r="C321" s="1" t="s">
        <v>175</v>
      </c>
      <c r="D321" s="1">
        <v>39.576799999999999</v>
      </c>
      <c r="E321" s="1">
        <v>-75.652699999999996</v>
      </c>
      <c r="F321" s="1" t="s">
        <v>1925</v>
      </c>
      <c r="G321" s="22">
        <v>2024.6856365220465</v>
      </c>
      <c r="H321" s="20">
        <f ca="1">NOW() - TIME(5,30,0) + (VLOOKUP(MasterTable[[#This Row],[TimeZone]], $O$3:$P$8, 2, FALSE) / 24)</f>
        <v>45990.573544791667</v>
      </c>
      <c r="I321" s="1" t="s">
        <v>1944</v>
      </c>
      <c r="J321" s="1">
        <v>493.51</v>
      </c>
    </row>
    <row r="322" spans="1:10" x14ac:dyDescent="0.25">
      <c r="A322" s="1" t="s">
        <v>176</v>
      </c>
      <c r="B322" s="1" t="s">
        <v>174</v>
      </c>
      <c r="C322" s="1" t="s">
        <v>330</v>
      </c>
      <c r="D322" s="1">
        <v>38.660600000000002</v>
      </c>
      <c r="E322" s="1">
        <v>-75.39</v>
      </c>
      <c r="F322" s="1" t="s">
        <v>1925</v>
      </c>
      <c r="G322" s="22">
        <v>2035.9947313277773</v>
      </c>
      <c r="H322" s="20">
        <f ca="1">NOW() - TIME(5,30,0) + (VLOOKUP(MasterTable[[#This Row],[TimeZone]], $O$3:$P$8, 2, FALSE) / 24)</f>
        <v>45990.573544791667</v>
      </c>
      <c r="I322" s="1" t="s">
        <v>1944</v>
      </c>
      <c r="J322" s="1">
        <v>1195.6500000000001</v>
      </c>
    </row>
    <row r="323" spans="1:10" x14ac:dyDescent="0.25">
      <c r="A323" s="1" t="s">
        <v>176</v>
      </c>
      <c r="B323" s="1" t="s">
        <v>174</v>
      </c>
      <c r="C323" s="1" t="s">
        <v>157</v>
      </c>
      <c r="D323" s="1">
        <v>39.085999999999999</v>
      </c>
      <c r="E323" s="1">
        <v>-75.568600000000004</v>
      </c>
      <c r="F323" s="1" t="s">
        <v>1925</v>
      </c>
      <c r="G323" s="22">
        <v>2027.4363484174171</v>
      </c>
      <c r="H323" s="20">
        <f ca="1">NOW() - TIME(5,30,0) + (VLOOKUP(MasterTable[[#This Row],[TimeZone]], $O$3:$P$8, 2, FALSE) / 24)</f>
        <v>45990.573544791667</v>
      </c>
      <c r="I323" s="1" t="s">
        <v>1944</v>
      </c>
      <c r="J323" s="1">
        <v>800.12</v>
      </c>
    </row>
    <row r="324" spans="1:10" x14ac:dyDescent="0.25">
      <c r="A324" s="1" t="s">
        <v>15</v>
      </c>
      <c r="B324" s="1" t="s">
        <v>16</v>
      </c>
      <c r="C324" s="1" t="s">
        <v>14</v>
      </c>
      <c r="D324" s="1">
        <v>25.614999999999998</v>
      </c>
      <c r="E324" s="1">
        <v>-80.562399999999997</v>
      </c>
      <c r="F324" s="1" t="s">
        <v>1925</v>
      </c>
      <c r="G324" s="22">
        <v>1885.4762498352279</v>
      </c>
      <c r="H324" s="20">
        <f ca="1">NOW() - TIME(5,30,0) + (VLOOKUP(MasterTable[[#This Row],[TimeZone]], $O$3:$P$8, 2, FALSE) / 24)</f>
        <v>45990.573544791667</v>
      </c>
      <c r="I324" s="1" t="s">
        <v>1944</v>
      </c>
      <c r="J324" s="1">
        <v>2431.2600000000002</v>
      </c>
    </row>
    <row r="325" spans="1:10" x14ac:dyDescent="0.25">
      <c r="A325" s="1" t="s">
        <v>15</v>
      </c>
      <c r="B325" s="1" t="s">
        <v>16</v>
      </c>
      <c r="C325" s="1" t="s">
        <v>32</v>
      </c>
      <c r="D325" s="1">
        <v>26.1523</v>
      </c>
      <c r="E325" s="1">
        <v>-80.487099999999998</v>
      </c>
      <c r="F325" s="1" t="s">
        <v>1925</v>
      </c>
      <c r="G325" s="22">
        <v>1876.7768381440335</v>
      </c>
      <c r="H325" s="20">
        <f ca="1">NOW() - TIME(5,30,0) + (VLOOKUP(MasterTable[[#This Row],[TimeZone]], $O$3:$P$8, 2, FALSE) / 24)</f>
        <v>45990.573544791667</v>
      </c>
      <c r="I325" s="1" t="s">
        <v>1944</v>
      </c>
      <c r="J325" s="1">
        <v>1319.63</v>
      </c>
    </row>
    <row r="326" spans="1:10" x14ac:dyDescent="0.25">
      <c r="A326" s="1" t="s">
        <v>15</v>
      </c>
      <c r="B326" s="1" t="s">
        <v>16</v>
      </c>
      <c r="C326" s="1" t="s">
        <v>46</v>
      </c>
      <c r="D326" s="1">
        <v>26.647600000000001</v>
      </c>
      <c r="E326" s="1">
        <v>-80.465500000000006</v>
      </c>
      <c r="F326" s="1" t="s">
        <v>1925</v>
      </c>
      <c r="G326" s="22">
        <v>1866.5121191271803</v>
      </c>
      <c r="H326" s="20">
        <f ca="1">NOW() - TIME(5,30,0) + (VLOOKUP(MasterTable[[#This Row],[TimeZone]], $O$3:$P$8, 2, FALSE) / 24)</f>
        <v>45990.573544791667</v>
      </c>
      <c r="I326" s="1" t="s">
        <v>1944</v>
      </c>
      <c r="J326" s="1">
        <v>2386.33</v>
      </c>
    </row>
    <row r="327" spans="1:10" x14ac:dyDescent="0.25">
      <c r="A327" s="1" t="s">
        <v>15</v>
      </c>
      <c r="B327" s="1" t="s">
        <v>16</v>
      </c>
      <c r="C327" s="1" t="s">
        <v>47</v>
      </c>
      <c r="D327" s="1">
        <v>27.929200000000002</v>
      </c>
      <c r="E327" s="1">
        <v>-82.308800000000005</v>
      </c>
      <c r="F327" s="1" t="s">
        <v>1925</v>
      </c>
      <c r="G327" s="22">
        <v>1731.424045885597</v>
      </c>
      <c r="H327" s="20">
        <f ca="1">NOW() - TIME(5,30,0) + (VLOOKUP(MasterTable[[#This Row],[TimeZone]], $O$3:$P$8, 2, FALSE) / 24)</f>
        <v>45990.573544791667</v>
      </c>
      <c r="I327" s="1" t="s">
        <v>1944</v>
      </c>
      <c r="J327" s="1">
        <v>1266.22</v>
      </c>
    </row>
    <row r="328" spans="1:10" x14ac:dyDescent="0.25">
      <c r="A328" s="1" t="s">
        <v>15</v>
      </c>
      <c r="B328" s="1" t="s">
        <v>16</v>
      </c>
      <c r="C328" s="1" t="s">
        <v>13</v>
      </c>
      <c r="D328" s="1">
        <v>28.514399999999998</v>
      </c>
      <c r="E328" s="1">
        <v>-81.323499999999996</v>
      </c>
      <c r="F328" s="1" t="s">
        <v>1925</v>
      </c>
      <c r="G328" s="22">
        <v>1777.6551054452711</v>
      </c>
      <c r="H328" s="20">
        <f ca="1">NOW() - TIME(5,30,0) + (VLOOKUP(MasterTable[[#This Row],[TimeZone]], $O$3:$P$8, 2, FALSE) / 24)</f>
        <v>45990.573544791667</v>
      </c>
      <c r="I328" s="1" t="s">
        <v>1944</v>
      </c>
      <c r="J328" s="1">
        <v>947.98</v>
      </c>
    </row>
    <row r="329" spans="1:10" x14ac:dyDescent="0.25">
      <c r="A329" s="1" t="s">
        <v>15</v>
      </c>
      <c r="B329" s="1" t="s">
        <v>16</v>
      </c>
      <c r="C329" s="1" t="s">
        <v>80</v>
      </c>
      <c r="D329" s="1">
        <v>30.331299999999999</v>
      </c>
      <c r="E329" s="1">
        <v>-81.671499999999995</v>
      </c>
      <c r="F329" s="1" t="s">
        <v>1925</v>
      </c>
      <c r="G329" s="22">
        <v>1727.304184783741</v>
      </c>
      <c r="H329" s="20">
        <f ca="1">NOW() - TIME(5,30,0) + (VLOOKUP(MasterTable[[#This Row],[TimeZone]], $O$3:$P$8, 2, FALSE) / 24)</f>
        <v>45990.573544791667</v>
      </c>
      <c r="I329" s="1" t="s">
        <v>1944</v>
      </c>
      <c r="J329" s="1">
        <v>918.24</v>
      </c>
    </row>
    <row r="330" spans="1:10" x14ac:dyDescent="0.25">
      <c r="A330" s="1" t="s">
        <v>15</v>
      </c>
      <c r="B330" s="1" t="s">
        <v>16</v>
      </c>
      <c r="C330" s="1" t="s">
        <v>95</v>
      </c>
      <c r="D330" s="1">
        <v>27.919799999999999</v>
      </c>
      <c r="E330" s="1">
        <v>-82.725499999999997</v>
      </c>
      <c r="F330" s="1" t="s">
        <v>1925</v>
      </c>
      <c r="G330" s="22">
        <v>1707.2775788132517</v>
      </c>
      <c r="H330" s="20">
        <f ca="1">NOW() - TIME(5,30,0) + (VLOOKUP(MasterTable[[#This Row],[TimeZone]], $O$3:$P$8, 2, FALSE) / 24)</f>
        <v>45990.573544791667</v>
      </c>
      <c r="I330" s="1" t="s">
        <v>1944</v>
      </c>
      <c r="J330" s="1">
        <v>607.66999999999996</v>
      </c>
    </row>
    <row r="331" spans="1:10" x14ac:dyDescent="0.25">
      <c r="A331" s="1" t="s">
        <v>15</v>
      </c>
      <c r="B331" s="1" t="s">
        <v>16</v>
      </c>
      <c r="C331" s="1" t="s">
        <v>127</v>
      </c>
      <c r="D331" s="1">
        <v>26.577999999999999</v>
      </c>
      <c r="E331" s="1">
        <v>-81.833200000000005</v>
      </c>
      <c r="F331" s="1" t="s">
        <v>1925</v>
      </c>
      <c r="G331" s="22">
        <v>1788.4035629491254</v>
      </c>
      <c r="H331" s="20">
        <f ca="1">NOW() - TIME(5,30,0) + (VLOOKUP(MasterTable[[#This Row],[TimeZone]], $O$3:$P$8, 2, FALSE) / 24)</f>
        <v>45990.573544791667</v>
      </c>
      <c r="I331" s="1" t="s">
        <v>1944</v>
      </c>
      <c r="J331" s="1">
        <v>615.54999999999995</v>
      </c>
    </row>
    <row r="332" spans="1:10" x14ac:dyDescent="0.25">
      <c r="A332" s="1" t="s">
        <v>15</v>
      </c>
      <c r="B332" s="1" t="s">
        <v>16</v>
      </c>
      <c r="C332" s="1" t="s">
        <v>134</v>
      </c>
      <c r="D332" s="1">
        <v>27.948899999999998</v>
      </c>
      <c r="E332" s="1">
        <v>-81.697599999999994</v>
      </c>
      <c r="F332" s="1" t="s">
        <v>1925</v>
      </c>
      <c r="G332" s="22">
        <v>1766.7323024564648</v>
      </c>
      <c r="H332" s="20">
        <f ca="1">NOW() - TIME(5,30,0) + (VLOOKUP(MasterTable[[#This Row],[TimeZone]], $O$3:$P$8, 2, FALSE) / 24)</f>
        <v>45990.573544791667</v>
      </c>
      <c r="I332" s="1" t="s">
        <v>1944</v>
      </c>
      <c r="J332" s="1">
        <v>862.42</v>
      </c>
    </row>
    <row r="333" spans="1:10" x14ac:dyDescent="0.25">
      <c r="A333" s="1" t="s">
        <v>15</v>
      </c>
      <c r="B333" s="1" t="s">
        <v>16</v>
      </c>
      <c r="C333" s="1" t="s">
        <v>164</v>
      </c>
      <c r="D333" s="1">
        <v>28.293700000000001</v>
      </c>
      <c r="E333" s="1">
        <v>-80.732299999999995</v>
      </c>
      <c r="F333" s="1" t="s">
        <v>1925</v>
      </c>
      <c r="G333" s="22">
        <v>1816.390907244303</v>
      </c>
      <c r="H333" s="20">
        <f ca="1">NOW() - TIME(5,30,0) + (VLOOKUP(MasterTable[[#This Row],[TimeZone]], $O$3:$P$8, 2, FALSE) / 24)</f>
        <v>45990.573544791667</v>
      </c>
      <c r="I333" s="1" t="s">
        <v>1944</v>
      </c>
      <c r="J333" s="1">
        <v>1556.95</v>
      </c>
    </row>
    <row r="334" spans="1:10" x14ac:dyDescent="0.25">
      <c r="A334" s="1" t="s">
        <v>15</v>
      </c>
      <c r="B334" s="1" t="s">
        <v>16</v>
      </c>
      <c r="C334" s="1" t="s">
        <v>169</v>
      </c>
      <c r="D334" s="1">
        <v>28.309200000000001</v>
      </c>
      <c r="E334" s="1">
        <v>-82.391999999999996</v>
      </c>
      <c r="F334" s="1" t="s">
        <v>1925</v>
      </c>
      <c r="G334" s="22">
        <v>1719.0920760609881</v>
      </c>
      <c r="H334" s="20">
        <f ca="1">NOW() - TIME(5,30,0) + (VLOOKUP(MasterTable[[#This Row],[TimeZone]], $O$3:$P$8, 2, FALSE) / 24)</f>
        <v>45990.573544791667</v>
      </c>
      <c r="I334" s="1" t="s">
        <v>1944</v>
      </c>
      <c r="J334" s="1">
        <v>867.95</v>
      </c>
    </row>
    <row r="335" spans="1:10" x14ac:dyDescent="0.25">
      <c r="A335" s="1" t="s">
        <v>15</v>
      </c>
      <c r="B335" s="1" t="s">
        <v>16</v>
      </c>
      <c r="C335" s="1" t="s">
        <v>178</v>
      </c>
      <c r="D335" s="1">
        <v>29.058399999999999</v>
      </c>
      <c r="E335" s="1">
        <v>-81.181899999999999</v>
      </c>
      <c r="F335" s="1" t="s">
        <v>1925</v>
      </c>
      <c r="G335" s="22">
        <v>1776.1127715986865</v>
      </c>
      <c r="H335" s="20">
        <f ca="1">NOW() - TIME(5,30,0) + (VLOOKUP(MasterTable[[#This Row],[TimeZone]], $O$3:$P$8, 2, FALSE) / 24)</f>
        <v>45990.573544791667</v>
      </c>
      <c r="I335" s="1" t="s">
        <v>1944</v>
      </c>
      <c r="J335" s="1">
        <v>1432.44</v>
      </c>
    </row>
    <row r="336" spans="1:10" x14ac:dyDescent="0.25">
      <c r="A336" s="1" t="s">
        <v>15</v>
      </c>
      <c r="B336" s="1" t="s">
        <v>16</v>
      </c>
      <c r="C336" s="1" t="s">
        <v>209</v>
      </c>
      <c r="D336" s="1">
        <v>28.716999999999999</v>
      </c>
      <c r="E336" s="1">
        <v>-81.2363</v>
      </c>
      <c r="F336" s="1" t="s">
        <v>1925</v>
      </c>
      <c r="G336" s="22">
        <v>1779.0147865119909</v>
      </c>
      <c r="H336" s="20">
        <f ca="1">NOW() - TIME(5,30,0) + (VLOOKUP(MasterTable[[#This Row],[TimeZone]], $O$3:$P$8, 2, FALSE) / 24)</f>
        <v>45990.573544791667</v>
      </c>
      <c r="I336" s="1" t="s">
        <v>1944</v>
      </c>
      <c r="J336" s="1">
        <v>344.87</v>
      </c>
    </row>
    <row r="337" spans="1:10" x14ac:dyDescent="0.25">
      <c r="A337" s="1" t="s">
        <v>15</v>
      </c>
      <c r="B337" s="1" t="s">
        <v>16</v>
      </c>
      <c r="C337" s="1" t="s">
        <v>221</v>
      </c>
      <c r="D337" s="1">
        <v>27.1845</v>
      </c>
      <c r="E337" s="1">
        <v>-82.331500000000005</v>
      </c>
      <c r="F337" s="1" t="s">
        <v>1925</v>
      </c>
      <c r="G337" s="22">
        <v>1745.7242555887601</v>
      </c>
      <c r="H337" s="20">
        <f ca="1">NOW() - TIME(5,30,0) + (VLOOKUP(MasterTable[[#This Row],[TimeZone]], $O$3:$P$8, 2, FALSE) / 24)</f>
        <v>45990.573544791667</v>
      </c>
      <c r="I337" s="1" t="s">
        <v>1944</v>
      </c>
      <c r="J337" s="1">
        <v>725.18</v>
      </c>
    </row>
    <row r="338" spans="1:10" x14ac:dyDescent="0.25">
      <c r="A338" s="1" t="s">
        <v>15</v>
      </c>
      <c r="B338" s="1" t="s">
        <v>16</v>
      </c>
      <c r="C338" s="1" t="s">
        <v>233</v>
      </c>
      <c r="D338" s="1">
        <v>27.471900000000002</v>
      </c>
      <c r="E338" s="1">
        <v>-82.315299999999993</v>
      </c>
      <c r="F338" s="1" t="s">
        <v>1925</v>
      </c>
      <c r="G338" s="22">
        <v>1740.4860090291659</v>
      </c>
      <c r="H338" s="20">
        <f ca="1">NOW() - TIME(5,30,0) + (VLOOKUP(MasterTable[[#This Row],[TimeZone]], $O$3:$P$8, 2, FALSE) / 24)</f>
        <v>45990.573544791667</v>
      </c>
      <c r="I338" s="1" t="s">
        <v>1944</v>
      </c>
      <c r="J338" s="1">
        <v>892.75</v>
      </c>
    </row>
    <row r="339" spans="1:10" x14ac:dyDescent="0.25">
      <c r="A339" s="1" t="s">
        <v>15</v>
      </c>
      <c r="B339" s="1" t="s">
        <v>16</v>
      </c>
      <c r="C339" s="1" t="s">
        <v>239</v>
      </c>
      <c r="D339" s="1">
        <v>28.0626</v>
      </c>
      <c r="E339" s="1">
        <v>-81.149500000000003</v>
      </c>
      <c r="F339" s="1" t="s">
        <v>1925</v>
      </c>
      <c r="G339" s="22">
        <v>1796.5004484243641</v>
      </c>
      <c r="H339" s="20">
        <f ca="1">NOW() - TIME(5,30,0) + (VLOOKUP(MasterTable[[#This Row],[TimeZone]], $O$3:$P$8, 2, FALSE) / 24)</f>
        <v>45990.573544791667</v>
      </c>
      <c r="I339" s="1" t="s">
        <v>1944</v>
      </c>
      <c r="J339" s="1">
        <v>1506.35</v>
      </c>
    </row>
    <row r="340" spans="1:10" x14ac:dyDescent="0.25">
      <c r="A340" s="1" t="s">
        <v>15</v>
      </c>
      <c r="B340" s="1" t="s">
        <v>16</v>
      </c>
      <c r="C340" s="1" t="s">
        <v>142</v>
      </c>
      <c r="D340" s="1">
        <v>28.761500000000002</v>
      </c>
      <c r="E340" s="1">
        <v>-81.711299999999994</v>
      </c>
      <c r="F340" s="1" t="s">
        <v>1925</v>
      </c>
      <c r="G340" s="22">
        <v>1750.4400751748572</v>
      </c>
      <c r="H340" s="20">
        <f ca="1">NOW() - TIME(5,30,0) + (VLOOKUP(MasterTable[[#This Row],[TimeZone]], $O$3:$P$8, 2, FALSE) / 24)</f>
        <v>45990.573544791667</v>
      </c>
      <c r="I340" s="1" t="s">
        <v>1944</v>
      </c>
      <c r="J340" s="1">
        <v>1329.48</v>
      </c>
    </row>
    <row r="341" spans="1:10" x14ac:dyDescent="0.25">
      <c r="A341" s="1" t="s">
        <v>15</v>
      </c>
      <c r="B341" s="1" t="s">
        <v>16</v>
      </c>
      <c r="C341" s="1" t="s">
        <v>88</v>
      </c>
      <c r="D341" s="1">
        <v>29.2102</v>
      </c>
      <c r="E341" s="1">
        <v>-82.056700000000006</v>
      </c>
      <c r="F341" s="1" t="s">
        <v>1925</v>
      </c>
      <c r="G341" s="22">
        <v>1722.3658977876946</v>
      </c>
      <c r="H341" s="20">
        <f ca="1">NOW() - TIME(5,30,0) + (VLOOKUP(MasterTable[[#This Row],[TimeZone]], $O$3:$P$8, 2, FALSE) / 24)</f>
        <v>45990.573544791667</v>
      </c>
      <c r="I341" s="1" t="s">
        <v>1944</v>
      </c>
      <c r="J341" s="1">
        <v>743.57</v>
      </c>
    </row>
    <row r="342" spans="1:10" x14ac:dyDescent="0.25">
      <c r="A342" s="1" t="s">
        <v>15</v>
      </c>
      <c r="B342" s="1" t="s">
        <v>16</v>
      </c>
      <c r="C342" s="1" t="s">
        <v>247</v>
      </c>
      <c r="D342" s="1">
        <v>26.110800000000001</v>
      </c>
      <c r="E342" s="1">
        <v>-81.347399999999993</v>
      </c>
      <c r="F342" s="1" t="s">
        <v>1925</v>
      </c>
      <c r="G342" s="22">
        <v>1827.6975673705315</v>
      </c>
      <c r="H342" s="20">
        <f ca="1">NOW() - TIME(5,30,0) + (VLOOKUP(MasterTable[[#This Row],[TimeZone]], $O$3:$P$8, 2, FALSE) / 24)</f>
        <v>45990.573544791667</v>
      </c>
      <c r="I342" s="1" t="s">
        <v>1944</v>
      </c>
      <c r="J342" s="1">
        <v>2304.9299999999998</v>
      </c>
    </row>
    <row r="343" spans="1:10" x14ac:dyDescent="0.25">
      <c r="A343" s="1" t="s">
        <v>15</v>
      </c>
      <c r="B343" s="1" t="s">
        <v>16</v>
      </c>
      <c r="C343" s="1" t="s">
        <v>266</v>
      </c>
      <c r="D343" s="1">
        <v>27.377300000000002</v>
      </c>
      <c r="E343" s="1">
        <v>-80.472099999999998</v>
      </c>
      <c r="F343" s="1" t="s">
        <v>1925</v>
      </c>
      <c r="G343" s="22">
        <v>1850.0963967991204</v>
      </c>
      <c r="H343" s="20">
        <f ca="1">NOW() - TIME(5,30,0) + (VLOOKUP(MasterTable[[#This Row],[TimeZone]], $O$3:$P$8, 2, FALSE) / 24)</f>
        <v>45990.573544791667</v>
      </c>
      <c r="I343" s="1" t="s">
        <v>1944</v>
      </c>
      <c r="J343" s="1">
        <v>688.08</v>
      </c>
    </row>
    <row r="344" spans="1:10" x14ac:dyDescent="0.25">
      <c r="A344" s="1" t="s">
        <v>15</v>
      </c>
      <c r="B344" s="1" t="s">
        <v>16</v>
      </c>
      <c r="C344" s="1" t="s">
        <v>278</v>
      </c>
      <c r="D344" s="1">
        <v>30.669</v>
      </c>
      <c r="E344" s="1">
        <v>-87.363</v>
      </c>
      <c r="F344" s="1" t="s">
        <v>1925</v>
      </c>
      <c r="G344" s="22">
        <v>1390.4223862860135</v>
      </c>
      <c r="H344" s="20">
        <f ca="1">NOW() - TIME(5,30,0) + (VLOOKUP(MasterTable[[#This Row],[TimeZone]], $O$3:$P$8, 2, FALSE) / 24)</f>
        <v>45990.573544791667</v>
      </c>
      <c r="I344" s="1" t="s">
        <v>1944</v>
      </c>
      <c r="J344" s="1">
        <v>952.95</v>
      </c>
    </row>
    <row r="345" spans="1:10" x14ac:dyDescent="0.25">
      <c r="A345" s="1" t="s">
        <v>15</v>
      </c>
      <c r="B345" s="1" t="s">
        <v>16</v>
      </c>
      <c r="C345" s="1" t="s">
        <v>297</v>
      </c>
      <c r="D345" s="1">
        <v>30.457999999999998</v>
      </c>
      <c r="E345" s="1">
        <v>-84.277900000000002</v>
      </c>
      <c r="F345" s="1" t="s">
        <v>1925</v>
      </c>
      <c r="G345" s="22">
        <v>1573.3970014103345</v>
      </c>
      <c r="H345" s="20">
        <f ca="1">NOW() - TIME(5,30,0) + (VLOOKUP(MasterTable[[#This Row],[TimeZone]], $O$3:$P$8, 2, FALSE) / 24)</f>
        <v>45990.573544791667</v>
      </c>
      <c r="I345" s="1" t="s">
        <v>1944</v>
      </c>
      <c r="J345" s="1">
        <v>701.78</v>
      </c>
    </row>
    <row r="346" spans="1:10" x14ac:dyDescent="0.25">
      <c r="A346" s="1" t="s">
        <v>15</v>
      </c>
      <c r="B346" s="1" t="s">
        <v>16</v>
      </c>
      <c r="C346" s="1" t="s">
        <v>299</v>
      </c>
      <c r="D346" s="1">
        <v>29.901599999999998</v>
      </c>
      <c r="E346" s="1">
        <v>-81.440700000000007</v>
      </c>
      <c r="F346" s="1" t="s">
        <v>1925</v>
      </c>
      <c r="G346" s="22">
        <v>1747.1565060599987</v>
      </c>
      <c r="H346" s="20">
        <f ca="1">NOW() - TIME(5,30,0) + (VLOOKUP(MasterTable[[#This Row],[TimeZone]], $O$3:$P$8, 2, FALSE) / 24)</f>
        <v>45990.573544791667</v>
      </c>
      <c r="I346" s="1" t="s">
        <v>1944</v>
      </c>
      <c r="J346" s="1">
        <v>821.43</v>
      </c>
    </row>
    <row r="347" spans="1:10" x14ac:dyDescent="0.25">
      <c r="A347" s="1" t="s">
        <v>15</v>
      </c>
      <c r="B347" s="1" t="s">
        <v>16</v>
      </c>
      <c r="C347" s="1" t="s">
        <v>307</v>
      </c>
      <c r="D347" s="1">
        <v>29.674700000000001</v>
      </c>
      <c r="E347" s="1">
        <v>-82.357699999999994</v>
      </c>
      <c r="F347" s="1" t="s">
        <v>1925</v>
      </c>
      <c r="G347" s="22">
        <v>1697.1343557325295</v>
      </c>
      <c r="H347" s="20">
        <f ca="1">NOW() - TIME(5,30,0) + (VLOOKUP(MasterTable[[#This Row],[TimeZone]], $O$3:$P$8, 2, FALSE) / 24)</f>
        <v>45990.573544791667</v>
      </c>
      <c r="I347" s="1" t="s">
        <v>1944</v>
      </c>
      <c r="J347" s="1">
        <v>969.12</v>
      </c>
    </row>
    <row r="348" spans="1:10" x14ac:dyDescent="0.25">
      <c r="A348" s="1" t="s">
        <v>15</v>
      </c>
      <c r="B348" s="1" t="s">
        <v>16</v>
      </c>
      <c r="C348" s="1" t="s">
        <v>327</v>
      </c>
      <c r="D348" s="1">
        <v>29.9831</v>
      </c>
      <c r="E348" s="1">
        <v>-81.857900000000001</v>
      </c>
      <c r="F348" s="1" t="s">
        <v>1925</v>
      </c>
      <c r="G348" s="22">
        <v>1721.5497778512504</v>
      </c>
      <c r="H348" s="20">
        <f ca="1">NOW() - TIME(5,30,0) + (VLOOKUP(MasterTable[[#This Row],[TimeZone]], $O$3:$P$8, 2, FALSE) / 24)</f>
        <v>45990.573544791667</v>
      </c>
      <c r="I348" s="1" t="s">
        <v>1944</v>
      </c>
      <c r="J348" s="1">
        <v>606</v>
      </c>
    </row>
    <row r="349" spans="1:10" x14ac:dyDescent="0.25">
      <c r="A349" s="1" t="s">
        <v>15</v>
      </c>
      <c r="B349" s="1" t="s">
        <v>16</v>
      </c>
      <c r="C349" s="1" t="s">
        <v>360</v>
      </c>
      <c r="D349" s="1">
        <v>30.691299999999998</v>
      </c>
      <c r="E349" s="1">
        <v>-86.591700000000003</v>
      </c>
      <c r="F349" s="1" t="s">
        <v>1925</v>
      </c>
      <c r="G349" s="22">
        <v>1435.1975479004279</v>
      </c>
      <c r="H349" s="20">
        <f ca="1">NOW() - TIME(5,30,0) + (VLOOKUP(MasterTable[[#This Row],[TimeZone]], $O$3:$P$8, 2, FALSE) / 24)</f>
        <v>45990.573544791667</v>
      </c>
      <c r="I349" s="1" t="s">
        <v>1944</v>
      </c>
      <c r="J349" s="1">
        <v>1082</v>
      </c>
    </row>
    <row r="350" spans="1:10" x14ac:dyDescent="0.25">
      <c r="A350" s="1" t="s">
        <v>15</v>
      </c>
      <c r="B350" s="1" t="s">
        <v>16</v>
      </c>
      <c r="C350" s="1" t="s">
        <v>375</v>
      </c>
      <c r="D350" s="1">
        <v>28.553699999999999</v>
      </c>
      <c r="E350" s="1">
        <v>-82.424000000000007</v>
      </c>
      <c r="F350" s="1" t="s">
        <v>1925</v>
      </c>
      <c r="G350" s="22">
        <v>1712.5966505176873</v>
      </c>
      <c r="H350" s="20">
        <f ca="1">NOW() - TIME(5,30,0) + (VLOOKUP(MasterTable[[#This Row],[TimeZone]], $O$3:$P$8, 2, FALSE) / 24)</f>
        <v>45990.573544791667</v>
      </c>
      <c r="I350" s="1" t="s">
        <v>1944</v>
      </c>
      <c r="J350" s="1">
        <v>589.08000000000004</v>
      </c>
    </row>
    <row r="351" spans="1:10" x14ac:dyDescent="0.25">
      <c r="A351" s="1" t="s">
        <v>15</v>
      </c>
      <c r="B351" s="1" t="s">
        <v>16</v>
      </c>
      <c r="C351" s="1" t="s">
        <v>385</v>
      </c>
      <c r="D351" s="1">
        <v>26.905799999999999</v>
      </c>
      <c r="E351" s="1">
        <v>-81.9114</v>
      </c>
      <c r="F351" s="1" t="s">
        <v>1925</v>
      </c>
      <c r="G351" s="22">
        <v>1776.3837308685572</v>
      </c>
      <c r="H351" s="20">
        <f ca="1">NOW() - TIME(5,30,0) + (VLOOKUP(MasterTable[[#This Row],[TimeZone]], $O$3:$P$8, 2, FALSE) / 24)</f>
        <v>45990.573544791667</v>
      </c>
      <c r="I351" s="1" t="s">
        <v>1944</v>
      </c>
      <c r="J351" s="1">
        <v>859.12</v>
      </c>
    </row>
    <row r="352" spans="1:10" x14ac:dyDescent="0.25">
      <c r="A352" s="1" t="s">
        <v>15</v>
      </c>
      <c r="B352" s="1" t="s">
        <v>16</v>
      </c>
      <c r="C352" s="1" t="s">
        <v>387</v>
      </c>
      <c r="D352" s="1">
        <v>30.700399999999998</v>
      </c>
      <c r="E352" s="1">
        <v>-87.021900000000002</v>
      </c>
      <c r="F352" s="1" t="s">
        <v>1925</v>
      </c>
      <c r="G352" s="22">
        <v>1409.9530366164001</v>
      </c>
      <c r="H352" s="20">
        <f ca="1">NOW() - TIME(5,30,0) + (VLOOKUP(MasterTable[[#This Row],[TimeZone]], $O$3:$P$8, 2, FALSE) / 24)</f>
        <v>45990.573544791667</v>
      </c>
      <c r="I352" s="1" t="s">
        <v>1944</v>
      </c>
      <c r="J352" s="1">
        <v>1173.57</v>
      </c>
    </row>
    <row r="353" spans="1:10" x14ac:dyDescent="0.25">
      <c r="A353" s="1" t="s">
        <v>15</v>
      </c>
      <c r="B353" s="1" t="s">
        <v>16</v>
      </c>
      <c r="C353" s="1" t="s">
        <v>403</v>
      </c>
      <c r="D353" s="1">
        <v>30.2652</v>
      </c>
      <c r="E353" s="1">
        <v>-85.6203</v>
      </c>
      <c r="F353" s="1" t="s">
        <v>1925</v>
      </c>
      <c r="G353" s="22">
        <v>1497.6466548810154</v>
      </c>
      <c r="H353" s="20">
        <f ca="1">NOW() - TIME(5,30,0) + (VLOOKUP(MasterTable[[#This Row],[TimeZone]], $O$3:$P$8, 2, FALSE) / 24)</f>
        <v>45990.573544791667</v>
      </c>
      <c r="I353" s="1" t="s">
        <v>1944</v>
      </c>
      <c r="J353" s="1">
        <v>1033.27</v>
      </c>
    </row>
    <row r="354" spans="1:10" x14ac:dyDescent="0.25">
      <c r="A354" s="1" t="s">
        <v>15</v>
      </c>
      <c r="B354" s="1" t="s">
        <v>16</v>
      </c>
      <c r="C354" s="1" t="s">
        <v>443</v>
      </c>
      <c r="D354" s="1">
        <v>27.694299999999998</v>
      </c>
      <c r="E354" s="1">
        <v>-80.606399999999994</v>
      </c>
      <c r="F354" s="1" t="s">
        <v>1925</v>
      </c>
      <c r="G354" s="22">
        <v>1835.6429467303055</v>
      </c>
      <c r="H354" s="20">
        <f ca="1">NOW() - TIME(5,30,0) + (VLOOKUP(MasterTable[[#This Row],[TimeZone]], $O$3:$P$8, 2, FALSE) / 24)</f>
        <v>45990.573544791667</v>
      </c>
      <c r="I354" s="1" t="s">
        <v>1944</v>
      </c>
      <c r="J354" s="1">
        <v>616.91999999999996</v>
      </c>
    </row>
    <row r="355" spans="1:10" x14ac:dyDescent="0.25">
      <c r="A355" s="1" t="s">
        <v>15</v>
      </c>
      <c r="B355" s="1" t="s">
        <v>16</v>
      </c>
      <c r="C355" s="1" t="s">
        <v>452</v>
      </c>
      <c r="D355" s="1">
        <v>27.077500000000001</v>
      </c>
      <c r="E355" s="1">
        <v>-80.4315</v>
      </c>
      <c r="F355" s="1" t="s">
        <v>1925</v>
      </c>
      <c r="G355" s="22">
        <v>1858.9148037095158</v>
      </c>
      <c r="H355" s="20">
        <f ca="1">NOW() - TIME(5,30,0) + (VLOOKUP(MasterTable[[#This Row],[TimeZone]], $O$3:$P$8, 2, FALSE) / 24)</f>
        <v>45990.573544791667</v>
      </c>
      <c r="I355" s="1" t="s">
        <v>1944</v>
      </c>
      <c r="J355" s="1">
        <v>752.79</v>
      </c>
    </row>
    <row r="356" spans="1:10" x14ac:dyDescent="0.25">
      <c r="A356" s="1" t="s">
        <v>15</v>
      </c>
      <c r="B356" s="1" t="s">
        <v>16</v>
      </c>
      <c r="C356" s="1" t="s">
        <v>460</v>
      </c>
      <c r="D356" s="1">
        <v>28.8489</v>
      </c>
      <c r="E356" s="1">
        <v>-82.479399999999998</v>
      </c>
      <c r="F356" s="1" t="s">
        <v>1925</v>
      </c>
      <c r="G356" s="22">
        <v>1703.9666217062095</v>
      </c>
      <c r="H356" s="20">
        <f ca="1">NOW() - TIME(5,30,0) + (VLOOKUP(MasterTable[[#This Row],[TimeZone]], $O$3:$P$8, 2, FALSE) / 24)</f>
        <v>45990.573544791667</v>
      </c>
      <c r="I356" s="1" t="s">
        <v>1944</v>
      </c>
      <c r="J356" s="1">
        <v>773.15</v>
      </c>
    </row>
    <row r="357" spans="1:10" x14ac:dyDescent="0.25">
      <c r="A357" s="1" t="s">
        <v>15</v>
      </c>
      <c r="B357" s="1" t="s">
        <v>16</v>
      </c>
      <c r="C357" s="1" t="s">
        <v>489</v>
      </c>
      <c r="D357" s="1">
        <v>28.704799999999999</v>
      </c>
      <c r="E357" s="1">
        <v>-82.081000000000003</v>
      </c>
      <c r="F357" s="1" t="s">
        <v>1925</v>
      </c>
      <c r="G357" s="22">
        <v>1729.8599023583026</v>
      </c>
      <c r="H357" s="20">
        <f ca="1">NOW() - TIME(5,30,0) + (VLOOKUP(MasterTable[[#This Row],[TimeZone]], $O$3:$P$8, 2, FALSE) / 24)</f>
        <v>45990.573544791667</v>
      </c>
      <c r="I357" s="1" t="s">
        <v>1944</v>
      </c>
      <c r="J357" s="1">
        <v>913.3</v>
      </c>
    </row>
    <row r="358" spans="1:10" x14ac:dyDescent="0.25">
      <c r="A358" s="1" t="s">
        <v>15</v>
      </c>
      <c r="B358" s="1" t="s">
        <v>16</v>
      </c>
      <c r="C358" s="1" t="s">
        <v>525</v>
      </c>
      <c r="D358" s="1">
        <v>29.461400000000001</v>
      </c>
      <c r="E358" s="1">
        <v>-81.313599999999994</v>
      </c>
      <c r="F358" s="1" t="s">
        <v>1925</v>
      </c>
      <c r="G358" s="22">
        <v>1761.5901892706615</v>
      </c>
      <c r="H358" s="20">
        <f ca="1">NOW() - TIME(5,30,0) + (VLOOKUP(MasterTable[[#This Row],[TimeZone]], $O$3:$P$8, 2, FALSE) / 24)</f>
        <v>45990.573544791667</v>
      </c>
      <c r="I358" s="1" t="s">
        <v>1944</v>
      </c>
      <c r="J358" s="1">
        <v>570.76</v>
      </c>
    </row>
    <row r="359" spans="1:10" x14ac:dyDescent="0.25">
      <c r="A359" s="1" t="s">
        <v>15</v>
      </c>
      <c r="B359" s="1" t="s">
        <v>16</v>
      </c>
      <c r="C359" s="1" t="s">
        <v>577</v>
      </c>
      <c r="D359" s="1">
        <v>27.343299999999999</v>
      </c>
      <c r="E359" s="1">
        <v>-81.340999999999994</v>
      </c>
      <c r="F359" s="1" t="s">
        <v>1925</v>
      </c>
      <c r="G359" s="22">
        <v>1800.0851645212974</v>
      </c>
      <c r="H359" s="20">
        <f ca="1">NOW() - TIME(5,30,0) + (VLOOKUP(MasterTable[[#This Row],[TimeZone]], $O$3:$P$8, 2, FALSE) / 24)</f>
        <v>45990.573544791667</v>
      </c>
      <c r="I359" s="1" t="s">
        <v>1944</v>
      </c>
      <c r="J359" s="1">
        <v>1106.28</v>
      </c>
    </row>
    <row r="360" spans="1:10" x14ac:dyDescent="0.25">
      <c r="A360" s="1" t="s">
        <v>15</v>
      </c>
      <c r="B360" s="1" t="s">
        <v>16</v>
      </c>
      <c r="C360" s="1" t="s">
        <v>49</v>
      </c>
      <c r="D360" s="1">
        <v>30.610700000000001</v>
      </c>
      <c r="E360" s="1">
        <v>-81.801900000000003</v>
      </c>
      <c r="F360" s="1" t="s">
        <v>1925</v>
      </c>
      <c r="G360" s="22">
        <v>1715.801521167115</v>
      </c>
      <c r="H360" s="20">
        <f ca="1">NOW() - TIME(5,30,0) + (VLOOKUP(MasterTable[[#This Row],[TimeZone]], $O$3:$P$8, 2, FALSE) / 24)</f>
        <v>45990.573544791667</v>
      </c>
      <c r="I360" s="1" t="s">
        <v>1944</v>
      </c>
      <c r="J360" s="1">
        <v>725.86</v>
      </c>
    </row>
    <row r="361" spans="1:10" x14ac:dyDescent="0.25">
      <c r="A361" s="1" t="s">
        <v>15</v>
      </c>
      <c r="B361" s="1" t="s">
        <v>16</v>
      </c>
      <c r="C361" s="1" t="s">
        <v>135</v>
      </c>
      <c r="D361" s="1">
        <v>25.319099999999999</v>
      </c>
      <c r="E361" s="1">
        <v>-81.108900000000006</v>
      </c>
      <c r="F361" s="1" t="s">
        <v>1925</v>
      </c>
      <c r="G361" s="22">
        <v>1861.2219974984559</v>
      </c>
      <c r="H361" s="20">
        <f ca="1">NOW() - TIME(5,30,0) + (VLOOKUP(MasterTable[[#This Row],[TimeZone]], $O$3:$P$8, 2, FALSE) / 24)</f>
        <v>45990.573544791667</v>
      </c>
      <c r="I361" s="1" t="s">
        <v>1944</v>
      </c>
      <c r="J361" s="1">
        <v>1034.53</v>
      </c>
    </row>
    <row r="362" spans="1:10" x14ac:dyDescent="0.25">
      <c r="A362" s="1" t="s">
        <v>15</v>
      </c>
      <c r="B362" s="1" t="s">
        <v>16</v>
      </c>
      <c r="C362" s="1" t="s">
        <v>591</v>
      </c>
      <c r="D362" s="1">
        <v>30.643599999999999</v>
      </c>
      <c r="E362" s="1">
        <v>-86.169700000000006</v>
      </c>
      <c r="F362" s="1" t="s">
        <v>1925</v>
      </c>
      <c r="G362" s="22">
        <v>1460.4555524410323</v>
      </c>
      <c r="H362" s="20">
        <f ca="1">NOW() - TIME(5,30,0) + (VLOOKUP(MasterTable[[#This Row],[TimeZone]], $O$3:$P$8, 2, FALSE) / 24)</f>
        <v>45990.573544791667</v>
      </c>
      <c r="I362" s="1" t="s">
        <v>1944</v>
      </c>
      <c r="J362" s="1">
        <v>1238.03</v>
      </c>
    </row>
    <row r="363" spans="1:10" x14ac:dyDescent="0.25">
      <c r="A363" s="1" t="s">
        <v>15</v>
      </c>
      <c r="B363" s="1" t="s">
        <v>16</v>
      </c>
      <c r="C363" s="1" t="s">
        <v>604</v>
      </c>
      <c r="D363" s="1">
        <v>29.608699999999999</v>
      </c>
      <c r="E363" s="1">
        <v>-81.744299999999996</v>
      </c>
      <c r="F363" s="1" t="s">
        <v>1925</v>
      </c>
      <c r="G363" s="22">
        <v>1734.0289348660335</v>
      </c>
      <c r="H363" s="20">
        <f ca="1">NOW() - TIME(5,30,0) + (VLOOKUP(MasterTable[[#This Row],[TimeZone]], $O$3:$P$8, 2, FALSE) / 24)</f>
        <v>45990.573544791667</v>
      </c>
      <c r="I363" s="1" t="s">
        <v>1944</v>
      </c>
      <c r="J363" s="1">
        <v>827.16</v>
      </c>
    </row>
    <row r="364" spans="1:10" x14ac:dyDescent="0.25">
      <c r="A364" s="1" t="s">
        <v>15</v>
      </c>
      <c r="B364" s="1" t="s">
        <v>16</v>
      </c>
      <c r="C364" s="1" t="s">
        <v>455</v>
      </c>
      <c r="D364" s="1">
        <v>30.2242</v>
      </c>
      <c r="E364" s="1">
        <v>-82.621499999999997</v>
      </c>
      <c r="F364" s="1" t="s">
        <v>1925</v>
      </c>
      <c r="G364" s="22">
        <v>1673.3951185041772</v>
      </c>
      <c r="H364" s="20">
        <f ca="1">NOW() - TIME(5,30,0) + (VLOOKUP(MasterTable[[#This Row],[TimeZone]], $O$3:$P$8, 2, FALSE) / 24)</f>
        <v>45990.573544791667</v>
      </c>
      <c r="I364" s="1" t="s">
        <v>1944</v>
      </c>
      <c r="J364" s="1">
        <v>766.86</v>
      </c>
    </row>
    <row r="365" spans="1:10" x14ac:dyDescent="0.25">
      <c r="A365" s="1" t="s">
        <v>15</v>
      </c>
      <c r="B365" s="1" t="s">
        <v>16</v>
      </c>
      <c r="C365" s="1" t="s">
        <v>140</v>
      </c>
      <c r="D365" s="1">
        <v>30.795400000000001</v>
      </c>
      <c r="E365" s="1">
        <v>-85.215500000000006</v>
      </c>
      <c r="F365" s="1" t="s">
        <v>1925</v>
      </c>
      <c r="G365" s="22">
        <v>1514.2415088193845</v>
      </c>
      <c r="H365" s="20">
        <f ca="1">NOW() - TIME(5,30,0) + (VLOOKUP(MasterTable[[#This Row],[TimeZone]], $O$3:$P$8, 2, FALSE) / 24)</f>
        <v>45990.573544791667</v>
      </c>
      <c r="I365" s="1" t="s">
        <v>1944</v>
      </c>
      <c r="J365" s="1">
        <v>1126.77</v>
      </c>
    </row>
    <row r="366" spans="1:10" x14ac:dyDescent="0.25">
      <c r="A366" s="1" t="s">
        <v>15</v>
      </c>
      <c r="B366" s="1" t="s">
        <v>16</v>
      </c>
      <c r="C366" s="1" t="s">
        <v>898</v>
      </c>
      <c r="D366" s="1">
        <v>30.195599999999999</v>
      </c>
      <c r="E366" s="1">
        <v>-82.991500000000002</v>
      </c>
      <c r="F366" s="1" t="s">
        <v>1925</v>
      </c>
      <c r="G366" s="22">
        <v>1652.2042792258649</v>
      </c>
      <c r="H366" s="20">
        <f ca="1">NOW() - TIME(5,30,0) + (VLOOKUP(MasterTable[[#This Row],[TimeZone]], $O$3:$P$8, 2, FALSE) / 24)</f>
        <v>45990.573544791667</v>
      </c>
      <c r="I366" s="1" t="s">
        <v>1944</v>
      </c>
      <c r="J366" s="1">
        <v>691.9</v>
      </c>
    </row>
    <row r="367" spans="1:10" x14ac:dyDescent="0.25">
      <c r="A367" s="1" t="s">
        <v>15</v>
      </c>
      <c r="B367" s="1" t="s">
        <v>16</v>
      </c>
      <c r="C367" s="1" t="s">
        <v>900</v>
      </c>
      <c r="D367" s="1">
        <v>29.3184</v>
      </c>
      <c r="E367" s="1">
        <v>-82.743399999999994</v>
      </c>
      <c r="F367" s="1" t="s">
        <v>1925</v>
      </c>
      <c r="G367" s="22">
        <v>1680.4002460880454</v>
      </c>
      <c r="H367" s="20">
        <f ca="1">NOW() - TIME(5,30,0) + (VLOOKUP(MasterTable[[#This Row],[TimeZone]], $O$3:$P$8, 2, FALSE) / 24)</f>
        <v>45990.573544791667</v>
      </c>
      <c r="I367" s="1" t="s">
        <v>1944</v>
      </c>
      <c r="J367" s="1">
        <v>1412.32</v>
      </c>
    </row>
    <row r="368" spans="1:10" x14ac:dyDescent="0.25">
      <c r="A368" s="1" t="s">
        <v>15</v>
      </c>
      <c r="B368" s="1" t="s">
        <v>16</v>
      </c>
      <c r="C368" s="1" t="s">
        <v>908</v>
      </c>
      <c r="D368" s="1">
        <v>30.579499999999999</v>
      </c>
      <c r="E368" s="1">
        <v>-84.613699999999994</v>
      </c>
      <c r="F368" s="1" t="s">
        <v>1925</v>
      </c>
      <c r="G368" s="22">
        <v>1552.1574804740333</v>
      </c>
      <c r="H368" s="20">
        <f ca="1">NOW() - TIME(5,30,0) + (VLOOKUP(MasterTable[[#This Row],[TimeZone]], $O$3:$P$8, 2, FALSE) / 24)</f>
        <v>45990.573544791667</v>
      </c>
      <c r="I368" s="1" t="s">
        <v>1944</v>
      </c>
      <c r="J368" s="1">
        <v>528.49</v>
      </c>
    </row>
    <row r="369" spans="1:10" x14ac:dyDescent="0.25">
      <c r="A369" s="1" t="s">
        <v>15</v>
      </c>
      <c r="B369" s="1" t="s">
        <v>16</v>
      </c>
      <c r="C369" s="1" t="s">
        <v>943</v>
      </c>
      <c r="D369" s="1">
        <v>26.5535</v>
      </c>
      <c r="E369" s="1">
        <v>-81.165899999999993</v>
      </c>
      <c r="F369" s="1" t="s">
        <v>1925</v>
      </c>
      <c r="G369" s="22">
        <v>1827.8391139631656</v>
      </c>
      <c r="H369" s="20">
        <f ca="1">NOW() - TIME(5,30,0) + (VLOOKUP(MasterTable[[#This Row],[TimeZone]], $O$3:$P$8, 2, FALSE) / 24)</f>
        <v>45990.573544791667</v>
      </c>
      <c r="I369" s="1" t="s">
        <v>1944</v>
      </c>
      <c r="J369" s="1">
        <v>1189.79</v>
      </c>
    </row>
    <row r="370" spans="1:10" x14ac:dyDescent="0.25">
      <c r="A370" s="1" t="s">
        <v>15</v>
      </c>
      <c r="B370" s="1" t="s">
        <v>16</v>
      </c>
      <c r="C370" s="1" t="s">
        <v>949</v>
      </c>
      <c r="D370" s="1">
        <v>27.386399999999998</v>
      </c>
      <c r="E370" s="1">
        <v>-80.888599999999997</v>
      </c>
      <c r="F370" s="1" t="s">
        <v>1925</v>
      </c>
      <c r="G370" s="22">
        <v>1825.5807374991366</v>
      </c>
      <c r="H370" s="20">
        <f ca="1">NOW() - TIME(5,30,0) + (VLOOKUP(MasterTable[[#This Row],[TimeZone]], $O$3:$P$8, 2, FALSE) / 24)</f>
        <v>45990.573544791667</v>
      </c>
      <c r="I370" s="1" t="s">
        <v>1944</v>
      </c>
      <c r="J370" s="1">
        <v>891.57</v>
      </c>
    </row>
    <row r="371" spans="1:10" x14ac:dyDescent="0.25">
      <c r="A371" s="1" t="s">
        <v>15</v>
      </c>
      <c r="B371" s="1" t="s">
        <v>16</v>
      </c>
      <c r="C371" s="1" t="s">
        <v>396</v>
      </c>
      <c r="D371" s="1">
        <v>27.186299999999999</v>
      </c>
      <c r="E371" s="1">
        <v>-81.8095</v>
      </c>
      <c r="F371" s="1" t="s">
        <v>1925</v>
      </c>
      <c r="G371" s="22">
        <v>1776.1300683777908</v>
      </c>
      <c r="H371" s="20">
        <f ca="1">NOW() - TIME(5,30,0) + (VLOOKUP(MasterTable[[#This Row],[TimeZone]], $O$3:$P$8, 2, FALSE) / 24)</f>
        <v>45990.573544791667</v>
      </c>
      <c r="I371" s="1" t="s">
        <v>1944</v>
      </c>
      <c r="J371" s="1">
        <v>639.5</v>
      </c>
    </row>
    <row r="372" spans="1:10" x14ac:dyDescent="0.25">
      <c r="A372" s="1" t="s">
        <v>15</v>
      </c>
      <c r="B372" s="1" t="s">
        <v>16</v>
      </c>
      <c r="C372" s="1" t="s">
        <v>1018</v>
      </c>
      <c r="D372" s="1">
        <v>30.167300000000001</v>
      </c>
      <c r="E372" s="1">
        <v>-84.400700000000001</v>
      </c>
      <c r="F372" s="1" t="s">
        <v>1925</v>
      </c>
      <c r="G372" s="22">
        <v>1570.3003899342748</v>
      </c>
      <c r="H372" s="20">
        <f ca="1">NOW() - TIME(5,30,0) + (VLOOKUP(MasterTable[[#This Row],[TimeZone]], $O$3:$P$8, 2, FALSE) / 24)</f>
        <v>45990.573544791667</v>
      </c>
      <c r="I372" s="1" t="s">
        <v>1944</v>
      </c>
      <c r="J372" s="1">
        <v>735.74</v>
      </c>
    </row>
    <row r="373" spans="1:10" x14ac:dyDescent="0.25">
      <c r="A373" s="1" t="s">
        <v>15</v>
      </c>
      <c r="B373" s="1" t="s">
        <v>16</v>
      </c>
      <c r="C373" s="1" t="s">
        <v>1104</v>
      </c>
      <c r="D373" s="1">
        <v>30.331099999999999</v>
      </c>
      <c r="E373" s="1">
        <v>-82.284599999999998</v>
      </c>
      <c r="F373" s="1" t="s">
        <v>1925</v>
      </c>
      <c r="G373" s="22">
        <v>1691.5292456575255</v>
      </c>
      <c r="H373" s="20">
        <f ca="1">NOW() - TIME(5,30,0) + (VLOOKUP(MasterTable[[#This Row],[TimeZone]], $O$3:$P$8, 2, FALSE) / 24)</f>
        <v>45990.573544791667</v>
      </c>
      <c r="I373" s="1" t="s">
        <v>1944</v>
      </c>
      <c r="J373" s="1">
        <v>588.89</v>
      </c>
    </row>
    <row r="374" spans="1:10" x14ac:dyDescent="0.25">
      <c r="A374" s="1" t="s">
        <v>15</v>
      </c>
      <c r="B374" s="1" t="s">
        <v>16</v>
      </c>
      <c r="C374" s="1" t="s">
        <v>778</v>
      </c>
      <c r="D374" s="1">
        <v>29.95</v>
      </c>
      <c r="E374" s="1">
        <v>-82.168800000000005</v>
      </c>
      <c r="F374" s="1" t="s">
        <v>1925</v>
      </c>
      <c r="G374" s="22">
        <v>1703.8950255995865</v>
      </c>
      <c r="H374" s="20">
        <f ca="1">NOW() - TIME(5,30,0) + (VLOOKUP(MasterTable[[#This Row],[TimeZone]], $O$3:$P$8, 2, FALSE) / 24)</f>
        <v>45990.573544791667</v>
      </c>
      <c r="I374" s="1" t="s">
        <v>1944</v>
      </c>
      <c r="J374" s="1">
        <v>300.04000000000002</v>
      </c>
    </row>
    <row r="375" spans="1:10" x14ac:dyDescent="0.25">
      <c r="A375" s="1" t="s">
        <v>15</v>
      </c>
      <c r="B375" s="1" t="s">
        <v>16</v>
      </c>
      <c r="C375" s="1" t="s">
        <v>1155</v>
      </c>
      <c r="D375" s="1">
        <v>27.492699999999999</v>
      </c>
      <c r="E375" s="1">
        <v>-81.81</v>
      </c>
      <c r="F375" s="1" t="s">
        <v>1925</v>
      </c>
      <c r="G375" s="22">
        <v>1769.5386293927497</v>
      </c>
      <c r="H375" s="20">
        <f ca="1">NOW() - TIME(5,30,0) + (VLOOKUP(MasterTable[[#This Row],[TimeZone]], $O$3:$P$8, 2, FALSE) / 24)</f>
        <v>45990.573544791667</v>
      </c>
      <c r="I375" s="1" t="s">
        <v>1944</v>
      </c>
      <c r="J375" s="1">
        <v>638.33000000000004</v>
      </c>
    </row>
    <row r="376" spans="1:10" x14ac:dyDescent="0.25">
      <c r="A376" s="1" t="s">
        <v>15</v>
      </c>
      <c r="B376" s="1" t="s">
        <v>16</v>
      </c>
      <c r="C376" s="1" t="s">
        <v>28</v>
      </c>
      <c r="D376" s="1">
        <v>30.610600000000002</v>
      </c>
      <c r="E376" s="1">
        <v>-85.665300000000002</v>
      </c>
      <c r="F376" s="1" t="s">
        <v>1925</v>
      </c>
      <c r="G376" s="22">
        <v>1490.342391645821</v>
      </c>
      <c r="H376" s="20">
        <f ca="1">NOW() - TIME(5,30,0) + (VLOOKUP(MasterTable[[#This Row],[TimeZone]], $O$3:$P$8, 2, FALSE) / 24)</f>
        <v>45990.573544791667</v>
      </c>
      <c r="I376" s="1" t="s">
        <v>1944</v>
      </c>
      <c r="J376" s="1">
        <v>1088.54</v>
      </c>
    </row>
    <row r="377" spans="1:10" x14ac:dyDescent="0.25">
      <c r="A377" s="1" t="s">
        <v>15</v>
      </c>
      <c r="B377" s="1" t="s">
        <v>16</v>
      </c>
      <c r="C377" s="1" t="s">
        <v>480</v>
      </c>
      <c r="D377" s="1">
        <v>30.047000000000001</v>
      </c>
      <c r="E377" s="1">
        <v>-83.603499999999997</v>
      </c>
      <c r="F377" s="1" t="s">
        <v>1925</v>
      </c>
      <c r="G377" s="22">
        <v>1618.6334583624125</v>
      </c>
      <c r="H377" s="20">
        <f ca="1">NOW() - TIME(5,30,0) + (VLOOKUP(MasterTable[[#This Row],[TimeZone]], $O$3:$P$8, 2, FALSE) / 24)</f>
        <v>45990.573544791667</v>
      </c>
      <c r="I377" s="1" t="s">
        <v>1944</v>
      </c>
      <c r="J377" s="1">
        <v>1232.01</v>
      </c>
    </row>
    <row r="378" spans="1:10" x14ac:dyDescent="0.25">
      <c r="A378" s="1" t="s">
        <v>15</v>
      </c>
      <c r="B378" s="1" t="s">
        <v>16</v>
      </c>
      <c r="C378" s="1" t="s">
        <v>899</v>
      </c>
      <c r="D378" s="1">
        <v>30.867899999999999</v>
      </c>
      <c r="E378" s="1">
        <v>-85.813999999999993</v>
      </c>
      <c r="F378" s="1" t="s">
        <v>1925</v>
      </c>
      <c r="G378" s="22">
        <v>1478.4084591573753</v>
      </c>
      <c r="H378" s="20">
        <f ca="1">NOW() - TIME(5,30,0) + (VLOOKUP(MasterTable[[#This Row],[TimeZone]], $O$3:$P$8, 2, FALSE) / 24)</f>
        <v>45990.573544791667</v>
      </c>
      <c r="I378" s="1" t="s">
        <v>1944</v>
      </c>
      <c r="J378" s="1">
        <v>488.71</v>
      </c>
    </row>
    <row r="379" spans="1:10" x14ac:dyDescent="0.25">
      <c r="A379" s="1" t="s">
        <v>15</v>
      </c>
      <c r="B379" s="1" t="s">
        <v>16</v>
      </c>
      <c r="C379" s="1" t="s">
        <v>1310</v>
      </c>
      <c r="D379" s="1">
        <v>29.7258</v>
      </c>
      <c r="E379" s="1">
        <v>-82.800399999999996</v>
      </c>
      <c r="F379" s="1" t="s">
        <v>1925</v>
      </c>
      <c r="G379" s="22">
        <v>1670.459430156619</v>
      </c>
      <c r="H379" s="20">
        <f ca="1">NOW() - TIME(5,30,0) + (VLOOKUP(MasterTable[[#This Row],[TimeZone]], $O$3:$P$8, 2, FALSE) / 24)</f>
        <v>45990.573544791667</v>
      </c>
      <c r="I379" s="1" t="s">
        <v>1944</v>
      </c>
      <c r="J379" s="1">
        <v>355.47</v>
      </c>
    </row>
    <row r="380" spans="1:10" x14ac:dyDescent="0.25">
      <c r="A380" s="1" t="s">
        <v>15</v>
      </c>
      <c r="B380" s="1" t="s">
        <v>16</v>
      </c>
      <c r="C380" s="1" t="s">
        <v>244</v>
      </c>
      <c r="D380" s="1">
        <v>30.444099999999999</v>
      </c>
      <c r="E380" s="1">
        <v>-83.470100000000002</v>
      </c>
      <c r="F380" s="1" t="s">
        <v>1925</v>
      </c>
      <c r="G380" s="22">
        <v>1620.7503994149395</v>
      </c>
      <c r="H380" s="20">
        <f ca="1">NOW() - TIME(5,30,0) + (VLOOKUP(MasterTable[[#This Row],[TimeZone]], $O$3:$P$8, 2, FALSE) / 24)</f>
        <v>45990.573544791667</v>
      </c>
      <c r="I380" s="1" t="s">
        <v>1944</v>
      </c>
      <c r="J380" s="1">
        <v>812.85</v>
      </c>
    </row>
    <row r="381" spans="1:10" x14ac:dyDescent="0.25">
      <c r="A381" s="1" t="s">
        <v>15</v>
      </c>
      <c r="B381" s="1" t="s">
        <v>16</v>
      </c>
      <c r="C381" s="1" t="s">
        <v>1349</v>
      </c>
      <c r="D381" s="1">
        <v>29.608599999999999</v>
      </c>
      <c r="E381" s="1">
        <v>-83.158699999999996</v>
      </c>
      <c r="F381" s="1" t="s">
        <v>1925</v>
      </c>
      <c r="G381" s="22">
        <v>1651.377351403539</v>
      </c>
      <c r="H381" s="20">
        <f ca="1">NOW() - TIME(5,30,0) + (VLOOKUP(MasterTable[[#This Row],[TimeZone]], $O$3:$P$8, 2, FALSE) / 24)</f>
        <v>45990.573544791667</v>
      </c>
      <c r="I381" s="1" t="s">
        <v>1944</v>
      </c>
      <c r="J381" s="1">
        <v>863.66</v>
      </c>
    </row>
    <row r="382" spans="1:10" x14ac:dyDescent="0.25">
      <c r="A382" s="1" t="s">
        <v>15</v>
      </c>
      <c r="B382" s="1" t="s">
        <v>16</v>
      </c>
      <c r="C382" s="1" t="s">
        <v>177</v>
      </c>
      <c r="D382" s="1">
        <v>30.043900000000001</v>
      </c>
      <c r="E382" s="1">
        <v>-82.371399999999994</v>
      </c>
      <c r="F382" s="1" t="s">
        <v>1925</v>
      </c>
      <c r="G382" s="22">
        <v>1690.6481493741101</v>
      </c>
      <c r="H382" s="20">
        <f ca="1">NOW() - TIME(5,30,0) + (VLOOKUP(MasterTable[[#This Row],[TimeZone]], $O$3:$P$8, 2, FALSE) / 24)</f>
        <v>45990.573544791667</v>
      </c>
      <c r="I382" s="1" t="s">
        <v>1944</v>
      </c>
      <c r="J382" s="1">
        <v>1055.27</v>
      </c>
    </row>
    <row r="383" spans="1:10" x14ac:dyDescent="0.25">
      <c r="A383" s="1" t="s">
        <v>15</v>
      </c>
      <c r="B383" s="1" t="s">
        <v>16</v>
      </c>
      <c r="C383" s="1" t="s">
        <v>1409</v>
      </c>
      <c r="D383" s="1">
        <v>29.956499999999998</v>
      </c>
      <c r="E383" s="1">
        <v>-85.226299999999995</v>
      </c>
      <c r="F383" s="1" t="s">
        <v>1925</v>
      </c>
      <c r="G383" s="22">
        <v>1525.148916411704</v>
      </c>
      <c r="H383" s="20">
        <f ca="1">NOW() - TIME(5,30,0) + (VLOOKUP(MasterTable[[#This Row],[TimeZone]], $O$3:$P$8, 2, FALSE) / 24)</f>
        <v>45990.573544791667</v>
      </c>
      <c r="I383" s="1" t="s">
        <v>1944</v>
      </c>
      <c r="J383" s="1">
        <v>744.59</v>
      </c>
    </row>
    <row r="384" spans="1:10" x14ac:dyDescent="0.25">
      <c r="A384" s="1" t="s">
        <v>15</v>
      </c>
      <c r="B384" s="1" t="s">
        <v>16</v>
      </c>
      <c r="C384" s="1" t="s">
        <v>129</v>
      </c>
      <c r="D384" s="1">
        <v>30.4375</v>
      </c>
      <c r="E384" s="1">
        <v>-83.895300000000006</v>
      </c>
      <c r="F384" s="1" t="s">
        <v>1925</v>
      </c>
      <c r="G384" s="22">
        <v>1596.0172674675418</v>
      </c>
      <c r="H384" s="20">
        <f ca="1">NOW() - TIME(5,30,0) + (VLOOKUP(MasterTable[[#This Row],[TimeZone]], $O$3:$P$8, 2, FALSE) / 24)</f>
        <v>45990.573544791667</v>
      </c>
      <c r="I384" s="1" t="s">
        <v>1944</v>
      </c>
      <c r="J384" s="1">
        <v>1123.8</v>
      </c>
    </row>
    <row r="385" spans="1:10" x14ac:dyDescent="0.25">
      <c r="A385" s="1" t="s">
        <v>15</v>
      </c>
      <c r="B385" s="1" t="s">
        <v>16</v>
      </c>
      <c r="C385" s="1" t="s">
        <v>498</v>
      </c>
      <c r="D385" s="1">
        <v>30.405999999999999</v>
      </c>
      <c r="E385" s="1">
        <v>-85.197199999999995</v>
      </c>
      <c r="F385" s="1" t="s">
        <v>1925</v>
      </c>
      <c r="G385" s="22">
        <v>1520.4155196227166</v>
      </c>
      <c r="H385" s="20">
        <f ca="1">NOW() - TIME(5,30,0) + (VLOOKUP(MasterTable[[#This Row],[TimeZone]], $O$3:$P$8, 2, FALSE) / 24)</f>
        <v>45990.573544791667</v>
      </c>
      <c r="I385" s="1" t="s">
        <v>1944</v>
      </c>
      <c r="J385" s="1">
        <v>612.32000000000005</v>
      </c>
    </row>
    <row r="386" spans="1:10" x14ac:dyDescent="0.25">
      <c r="A386" s="1" t="s">
        <v>15</v>
      </c>
      <c r="B386" s="1" t="s">
        <v>16</v>
      </c>
      <c r="C386" s="1" t="s">
        <v>121</v>
      </c>
      <c r="D386" s="1">
        <v>30.496400000000001</v>
      </c>
      <c r="E386" s="1">
        <v>-82.947900000000004</v>
      </c>
      <c r="F386" s="1" t="s">
        <v>1925</v>
      </c>
      <c r="G386" s="22">
        <v>1650.5112747011581</v>
      </c>
      <c r="H386" s="20">
        <f ca="1">NOW() - TIME(5,30,0) + (VLOOKUP(MasterTable[[#This Row],[TimeZone]], $O$3:$P$8, 2, FALSE) / 24)</f>
        <v>45990.573544791667</v>
      </c>
      <c r="I386" s="1" t="s">
        <v>1944</v>
      </c>
      <c r="J386" s="1">
        <v>519.30999999999995</v>
      </c>
    </row>
    <row r="387" spans="1:10" x14ac:dyDescent="0.25">
      <c r="A387" s="1" t="s">
        <v>15</v>
      </c>
      <c r="B387" s="1" t="s">
        <v>16</v>
      </c>
      <c r="C387" s="1" t="s">
        <v>50</v>
      </c>
      <c r="D387" s="1">
        <v>29.8766</v>
      </c>
      <c r="E387" s="1">
        <v>-84.813699999999997</v>
      </c>
      <c r="F387" s="1" t="s">
        <v>1925</v>
      </c>
      <c r="G387" s="22">
        <v>1550.4689577460802</v>
      </c>
      <c r="H387" s="20">
        <f ca="1">NOW() - TIME(5,30,0) + (VLOOKUP(MasterTable[[#This Row],[TimeZone]], $O$3:$P$8, 2, FALSE) / 24)</f>
        <v>45990.573544791667</v>
      </c>
      <c r="I387" s="1" t="s">
        <v>1944</v>
      </c>
      <c r="J387" s="1">
        <v>646.51</v>
      </c>
    </row>
    <row r="388" spans="1:10" x14ac:dyDescent="0.25">
      <c r="A388" s="1" t="s">
        <v>15</v>
      </c>
      <c r="B388" s="1" t="s">
        <v>16</v>
      </c>
      <c r="C388" s="1" t="s">
        <v>1488</v>
      </c>
      <c r="D388" s="1">
        <v>26.956399999999999</v>
      </c>
      <c r="E388" s="1">
        <v>-81.188999999999993</v>
      </c>
      <c r="F388" s="1" t="s">
        <v>1925</v>
      </c>
      <c r="G388" s="22">
        <v>1817.3776244059914</v>
      </c>
      <c r="H388" s="20">
        <f ca="1">NOW() - TIME(5,30,0) + (VLOOKUP(MasterTable[[#This Row],[TimeZone]], $O$3:$P$8, 2, FALSE) / 24)</f>
        <v>45990.573544791667</v>
      </c>
      <c r="I388" s="1" t="s">
        <v>1944</v>
      </c>
      <c r="J388" s="1">
        <v>986.43</v>
      </c>
    </row>
    <row r="389" spans="1:10" x14ac:dyDescent="0.25">
      <c r="A389" s="1" t="s">
        <v>15</v>
      </c>
      <c r="B389" s="1" t="s">
        <v>16</v>
      </c>
      <c r="C389" s="1" t="s">
        <v>333</v>
      </c>
      <c r="D389" s="1">
        <v>29.985499999999998</v>
      </c>
      <c r="E389" s="1">
        <v>-83.181100000000001</v>
      </c>
      <c r="F389" s="1" t="s">
        <v>1925</v>
      </c>
      <c r="G389" s="22">
        <v>1644.2274495565687</v>
      </c>
      <c r="H389" s="20">
        <f ca="1">NOW() - TIME(5,30,0) + (VLOOKUP(MasterTable[[#This Row],[TimeZone]], $O$3:$P$8, 2, FALSE) / 24)</f>
        <v>45990.573544791667</v>
      </c>
      <c r="I389" s="1" t="s">
        <v>1944</v>
      </c>
      <c r="J389" s="1">
        <v>545.07000000000005</v>
      </c>
    </row>
    <row r="390" spans="1:10" x14ac:dyDescent="0.25">
      <c r="A390" s="1" t="s">
        <v>15</v>
      </c>
      <c r="B390" s="1" t="s">
        <v>16</v>
      </c>
      <c r="C390" s="1" t="s">
        <v>603</v>
      </c>
      <c r="D390" s="1">
        <v>30.241399999999999</v>
      </c>
      <c r="E390" s="1">
        <v>-84.882900000000006</v>
      </c>
      <c r="F390" s="1" t="s">
        <v>1925</v>
      </c>
      <c r="G390" s="22">
        <v>1541.068705546744</v>
      </c>
      <c r="H390" s="20">
        <f ca="1">NOW() - TIME(5,30,0) + (VLOOKUP(MasterTable[[#This Row],[TimeZone]], $O$3:$P$8, 2, FALSE) / 24)</f>
        <v>45990.573544791667</v>
      </c>
      <c r="I390" s="1" t="s">
        <v>1944</v>
      </c>
      <c r="J390" s="1">
        <v>843.16</v>
      </c>
    </row>
    <row r="391" spans="1:10" x14ac:dyDescent="0.25">
      <c r="A391" s="1" t="s">
        <v>73</v>
      </c>
      <c r="B391" s="1" t="s">
        <v>74</v>
      </c>
      <c r="C391" s="1" t="s">
        <v>72</v>
      </c>
      <c r="D391" s="1">
        <v>33.790300000000002</v>
      </c>
      <c r="E391" s="1">
        <v>-84.467100000000002</v>
      </c>
      <c r="F391" s="1" t="s">
        <v>1925</v>
      </c>
      <c r="G391" s="22">
        <v>1532.8477985521163</v>
      </c>
      <c r="H391" s="20">
        <f ca="1">NOW() - TIME(5,30,0) + (VLOOKUP(MasterTable[[#This Row],[TimeZone]], $O$3:$P$8, 2, FALSE) / 24)</f>
        <v>45990.573544791667</v>
      </c>
      <c r="I391" s="1" t="s">
        <v>1944</v>
      </c>
      <c r="J391" s="1">
        <v>620.30999999999995</v>
      </c>
    </row>
    <row r="392" spans="1:10" x14ac:dyDescent="0.25">
      <c r="A392" s="1" t="s">
        <v>73</v>
      </c>
      <c r="B392" s="1" t="s">
        <v>74</v>
      </c>
      <c r="C392" s="1" t="s">
        <v>94</v>
      </c>
      <c r="D392" s="1">
        <v>33.9619</v>
      </c>
      <c r="E392" s="1">
        <v>-84.023499999999999</v>
      </c>
      <c r="F392" s="1" t="s">
        <v>1925</v>
      </c>
      <c r="G392" s="22">
        <v>1557.5909130112527</v>
      </c>
      <c r="H392" s="20">
        <f ca="1">NOW() - TIME(5,30,0) + (VLOOKUP(MasterTable[[#This Row],[TimeZone]], $O$3:$P$8, 2, FALSE) / 24)</f>
        <v>45990.573544791667</v>
      </c>
      <c r="I392" s="1" t="s">
        <v>1944</v>
      </c>
      <c r="J392" s="1">
        <v>436.72</v>
      </c>
    </row>
    <row r="393" spans="1:10" x14ac:dyDescent="0.25">
      <c r="A393" s="1" t="s">
        <v>73</v>
      </c>
      <c r="B393" s="1" t="s">
        <v>74</v>
      </c>
      <c r="C393" s="1" t="s">
        <v>132</v>
      </c>
      <c r="D393" s="1">
        <v>33.941600000000001</v>
      </c>
      <c r="E393" s="1">
        <v>-84.576700000000002</v>
      </c>
      <c r="F393" s="1" t="s">
        <v>1925</v>
      </c>
      <c r="G393" s="22">
        <v>1526.0003975873249</v>
      </c>
      <c r="H393" s="20">
        <f ca="1">NOW() - TIME(5,30,0) + (VLOOKUP(MasterTable[[#This Row],[TimeZone]], $O$3:$P$8, 2, FALSE) / 24)</f>
        <v>45990.573544791667</v>
      </c>
      <c r="I393" s="1" t="s">
        <v>1944</v>
      </c>
      <c r="J393" s="1">
        <v>344.51</v>
      </c>
    </row>
    <row r="394" spans="1:10" x14ac:dyDescent="0.25">
      <c r="A394" s="1" t="s">
        <v>73</v>
      </c>
      <c r="B394" s="1" t="s">
        <v>74</v>
      </c>
      <c r="C394" s="1" t="s">
        <v>133</v>
      </c>
      <c r="D394" s="1">
        <v>33.771599999999999</v>
      </c>
      <c r="E394" s="1">
        <v>-84.226399999999998</v>
      </c>
      <c r="F394" s="1" t="s">
        <v>1925</v>
      </c>
      <c r="G394" s="22">
        <v>1546.723944278076</v>
      </c>
      <c r="H394" s="20">
        <f ca="1">NOW() - TIME(5,30,0) + (VLOOKUP(MasterTable[[#This Row],[TimeZone]], $O$3:$P$8, 2, FALSE) / 24)</f>
        <v>45990.573544791667</v>
      </c>
      <c r="I394" s="1" t="s">
        <v>1944</v>
      </c>
      <c r="J394" s="1">
        <v>778.65</v>
      </c>
    </row>
    <row r="395" spans="1:10" x14ac:dyDescent="0.25">
      <c r="A395" s="1" t="s">
        <v>73</v>
      </c>
      <c r="B395" s="1" t="s">
        <v>74</v>
      </c>
      <c r="C395" s="1" t="s">
        <v>291</v>
      </c>
      <c r="D395" s="1">
        <v>33.541899999999998</v>
      </c>
      <c r="E395" s="1">
        <v>-84.357600000000005</v>
      </c>
      <c r="F395" s="1" t="s">
        <v>1925</v>
      </c>
      <c r="G395" s="22">
        <v>1540.225946839284</v>
      </c>
      <c r="H395" s="20">
        <f ca="1">NOW() - TIME(5,30,0) + (VLOOKUP(MasterTable[[#This Row],[TimeZone]], $O$3:$P$8, 2, FALSE) / 24)</f>
        <v>45990.573544791667</v>
      </c>
      <c r="I395" s="1" t="s">
        <v>1944</v>
      </c>
      <c r="J395" s="1">
        <v>144.28</v>
      </c>
    </row>
    <row r="396" spans="1:10" x14ac:dyDescent="0.25">
      <c r="A396" s="1" t="s">
        <v>73</v>
      </c>
      <c r="B396" s="1" t="s">
        <v>74</v>
      </c>
      <c r="C396" s="1" t="s">
        <v>293</v>
      </c>
      <c r="D396" s="1">
        <v>32.004300000000001</v>
      </c>
      <c r="E396" s="1">
        <v>-81.132900000000006</v>
      </c>
      <c r="F396" s="1" t="s">
        <v>1925</v>
      </c>
      <c r="G396" s="22">
        <v>1738.0997609977142</v>
      </c>
      <c r="H396" s="20">
        <f ca="1">NOW() - TIME(5,30,0) + (VLOOKUP(MasterTable[[#This Row],[TimeZone]], $O$3:$P$8, 2, FALSE) / 24)</f>
        <v>45990.573544791667</v>
      </c>
      <c r="I396" s="1" t="s">
        <v>1944</v>
      </c>
      <c r="J396" s="1">
        <v>632.28</v>
      </c>
    </row>
    <row r="397" spans="1:10" x14ac:dyDescent="0.25">
      <c r="A397" s="1" t="s">
        <v>73</v>
      </c>
      <c r="B397" s="1" t="s">
        <v>74</v>
      </c>
      <c r="C397" s="1" t="s">
        <v>313</v>
      </c>
      <c r="D397" s="1">
        <v>34.244</v>
      </c>
      <c r="E397" s="1">
        <v>-84.476200000000006</v>
      </c>
      <c r="F397" s="1" t="s">
        <v>1925</v>
      </c>
      <c r="G397" s="22">
        <v>1530.8128675868968</v>
      </c>
      <c r="H397" s="20">
        <f ca="1">NOW() - TIME(5,30,0) + (VLOOKUP(MasterTable[[#This Row],[TimeZone]], $O$3:$P$8, 2, FALSE) / 24)</f>
        <v>45990.573544791667</v>
      </c>
      <c r="I397" s="1" t="s">
        <v>1944</v>
      </c>
      <c r="J397" s="1">
        <v>599.95000000000005</v>
      </c>
    </row>
    <row r="398" spans="1:10" x14ac:dyDescent="0.25">
      <c r="A398" s="1" t="s">
        <v>73</v>
      </c>
      <c r="B398" s="1" t="s">
        <v>74</v>
      </c>
      <c r="C398" s="1" t="s">
        <v>248</v>
      </c>
      <c r="D398" s="1">
        <v>34.225499999999997</v>
      </c>
      <c r="E398" s="1">
        <v>-84.125</v>
      </c>
      <c r="F398" s="1" t="s">
        <v>1925</v>
      </c>
      <c r="G398" s="22">
        <v>1550.9106856908852</v>
      </c>
      <c r="H398" s="20">
        <f ca="1">NOW() - TIME(5,30,0) + (VLOOKUP(MasterTable[[#This Row],[TimeZone]], $O$3:$P$8, 2, FALSE) / 24)</f>
        <v>45990.573544791667</v>
      </c>
      <c r="I398" s="1" t="s">
        <v>1944</v>
      </c>
      <c r="J398" s="1">
        <v>247.37</v>
      </c>
    </row>
    <row r="399" spans="1:10" x14ac:dyDescent="0.25">
      <c r="A399" s="1" t="s">
        <v>73</v>
      </c>
      <c r="B399" s="1" t="s">
        <v>74</v>
      </c>
      <c r="C399" s="1" t="s">
        <v>332</v>
      </c>
      <c r="D399" s="1">
        <v>33.453000000000003</v>
      </c>
      <c r="E399" s="1">
        <v>-84.154200000000003</v>
      </c>
      <c r="F399" s="1" t="s">
        <v>1925</v>
      </c>
      <c r="G399" s="22">
        <v>1552.3579493116665</v>
      </c>
      <c r="H399" s="20">
        <f ca="1">NOW() - TIME(5,30,0) + (VLOOKUP(MasterTable[[#This Row],[TimeZone]], $O$3:$P$8, 2, FALSE) / 24)</f>
        <v>45990.573544791667</v>
      </c>
      <c r="I399" s="1" t="s">
        <v>1944</v>
      </c>
      <c r="J399" s="1">
        <v>568.33000000000004</v>
      </c>
    </row>
    <row r="400" spans="1:10" x14ac:dyDescent="0.25">
      <c r="A400" s="1" t="s">
        <v>73</v>
      </c>
      <c r="B400" s="1" t="s">
        <v>74</v>
      </c>
      <c r="C400" s="1" t="s">
        <v>367</v>
      </c>
      <c r="D400" s="1">
        <v>34.317100000000003</v>
      </c>
      <c r="E400" s="1">
        <v>-83.819599999999994</v>
      </c>
      <c r="F400" s="1" t="s">
        <v>1925</v>
      </c>
      <c r="G400" s="22">
        <v>1568.0705172841763</v>
      </c>
      <c r="H400" s="20">
        <f ca="1">NOW() - TIME(5,30,0) + (VLOOKUP(MasterTable[[#This Row],[TimeZone]], $O$3:$P$8, 2, FALSE) / 24)</f>
        <v>45990.573544791667</v>
      </c>
      <c r="I400" s="1" t="s">
        <v>1944</v>
      </c>
      <c r="J400" s="1">
        <v>429.19</v>
      </c>
    </row>
    <row r="401" spans="1:10" x14ac:dyDescent="0.25">
      <c r="A401" s="1" t="s">
        <v>73</v>
      </c>
      <c r="B401" s="1" t="s">
        <v>74</v>
      </c>
      <c r="C401" s="1" t="s">
        <v>203</v>
      </c>
      <c r="D401" s="1">
        <v>33.3596</v>
      </c>
      <c r="E401" s="1">
        <v>-82.073599999999999</v>
      </c>
      <c r="F401" s="1" t="s">
        <v>1925</v>
      </c>
      <c r="G401" s="22">
        <v>1672.4884585015809</v>
      </c>
      <c r="H401" s="20">
        <f ca="1">NOW() - TIME(5,30,0) + (VLOOKUP(MasterTable[[#This Row],[TimeZone]], $O$3:$P$8, 2, FALSE) / 24)</f>
        <v>45990.573544791667</v>
      </c>
      <c r="I401" s="1" t="s">
        <v>1944</v>
      </c>
      <c r="J401" s="1">
        <v>328.45</v>
      </c>
    </row>
    <row r="402" spans="1:10" x14ac:dyDescent="0.25">
      <c r="A402" s="1" t="s">
        <v>73</v>
      </c>
      <c r="B402" s="1" t="s">
        <v>74</v>
      </c>
      <c r="C402" s="1" t="s">
        <v>372</v>
      </c>
      <c r="D402" s="1">
        <v>32.51</v>
      </c>
      <c r="E402" s="1">
        <v>-84.877099999999999</v>
      </c>
      <c r="F402" s="1" t="s">
        <v>1925</v>
      </c>
      <c r="G402" s="22">
        <v>1516.6448804472811</v>
      </c>
      <c r="H402" s="20">
        <f ca="1">NOW() - TIME(5,30,0) + (VLOOKUP(MasterTable[[#This Row],[TimeZone]], $O$3:$P$8, 2, FALSE) / 24)</f>
        <v>45990.573544791667</v>
      </c>
      <c r="I402" s="1" t="s">
        <v>1944</v>
      </c>
      <c r="J402" s="1">
        <v>221</v>
      </c>
    </row>
    <row r="403" spans="1:10" x14ac:dyDescent="0.25">
      <c r="A403" s="1" t="s">
        <v>73</v>
      </c>
      <c r="B403" s="1" t="s">
        <v>74</v>
      </c>
      <c r="C403" s="1" t="s">
        <v>420</v>
      </c>
      <c r="D403" s="1">
        <v>33.920499999999997</v>
      </c>
      <c r="E403" s="1">
        <v>-84.8673</v>
      </c>
      <c r="F403" s="1" t="s">
        <v>1925</v>
      </c>
      <c r="G403" s="22">
        <v>1509.4337774937769</v>
      </c>
      <c r="H403" s="20">
        <f ca="1">NOW() - TIME(5,30,0) + (VLOOKUP(MasterTable[[#This Row],[TimeZone]], $O$3:$P$8, 2, FALSE) / 24)</f>
        <v>45990.573544791667</v>
      </c>
      <c r="I403" s="1" t="s">
        <v>1944</v>
      </c>
      <c r="J403" s="1">
        <v>315.06</v>
      </c>
    </row>
    <row r="404" spans="1:10" x14ac:dyDescent="0.25">
      <c r="A404" s="1" t="s">
        <v>73</v>
      </c>
      <c r="B404" s="1" t="s">
        <v>74</v>
      </c>
      <c r="C404" s="1" t="s">
        <v>439</v>
      </c>
      <c r="D404" s="1">
        <v>32.459000000000003</v>
      </c>
      <c r="E404" s="1">
        <v>-83.666200000000003</v>
      </c>
      <c r="F404" s="1" t="s">
        <v>1925</v>
      </c>
      <c r="G404" s="22">
        <v>1587.1634807853184</v>
      </c>
      <c r="H404" s="20">
        <f ca="1">NOW() - TIME(5,30,0) + (VLOOKUP(MasterTable[[#This Row],[TimeZone]], $O$3:$P$8, 2, FALSE) / 24)</f>
        <v>45990.573544791667</v>
      </c>
      <c r="I404" s="1" t="s">
        <v>1944</v>
      </c>
      <c r="J404" s="1">
        <v>581.65</v>
      </c>
    </row>
    <row r="405" spans="1:10" x14ac:dyDescent="0.25">
      <c r="A405" s="1" t="s">
        <v>73</v>
      </c>
      <c r="B405" s="1" t="s">
        <v>74</v>
      </c>
      <c r="C405" s="1" t="s">
        <v>455</v>
      </c>
      <c r="D405" s="1">
        <v>33.5441</v>
      </c>
      <c r="E405" s="1">
        <v>-82.264099999999999</v>
      </c>
      <c r="F405" s="1" t="s">
        <v>1925</v>
      </c>
      <c r="G405" s="22">
        <v>1660.4240437835485</v>
      </c>
      <c r="H405" s="20">
        <f ca="1">NOW() - TIME(5,30,0) + (VLOOKUP(MasterTable[[#This Row],[TimeZone]], $O$3:$P$8, 2, FALSE) / 24)</f>
        <v>45990.573544791667</v>
      </c>
      <c r="I405" s="1" t="s">
        <v>1944</v>
      </c>
      <c r="J405" s="1">
        <v>766.86</v>
      </c>
    </row>
    <row r="406" spans="1:10" x14ac:dyDescent="0.25">
      <c r="A406" s="1" t="s">
        <v>73</v>
      </c>
      <c r="B406" s="1" t="s">
        <v>74</v>
      </c>
      <c r="C406" s="1" t="s">
        <v>467</v>
      </c>
      <c r="D406" s="1">
        <v>32.8065</v>
      </c>
      <c r="E406" s="1">
        <v>-83.697400000000002</v>
      </c>
      <c r="F406" s="1" t="s">
        <v>1925</v>
      </c>
      <c r="G406" s="22">
        <v>1582.6831080267773</v>
      </c>
      <c r="H406" s="20">
        <f ca="1">NOW() - TIME(5,30,0) + (VLOOKUP(MasterTable[[#This Row],[TimeZone]], $O$3:$P$8, 2, FALSE) / 24)</f>
        <v>45990.573544791667</v>
      </c>
      <c r="I406" s="1" t="s">
        <v>1944</v>
      </c>
      <c r="J406" s="1">
        <v>626.16</v>
      </c>
    </row>
    <row r="407" spans="1:10" x14ac:dyDescent="0.25">
      <c r="A407" s="1" t="s">
        <v>73</v>
      </c>
      <c r="B407" s="1" t="s">
        <v>74</v>
      </c>
      <c r="C407" s="1" t="s">
        <v>474</v>
      </c>
      <c r="D407" s="1">
        <v>33.353299999999997</v>
      </c>
      <c r="E407" s="1">
        <v>-84.763400000000004</v>
      </c>
      <c r="F407" s="1" t="s">
        <v>1925</v>
      </c>
      <c r="G407" s="22">
        <v>1517.8286095343974</v>
      </c>
      <c r="H407" s="20">
        <f ca="1">NOW() - TIME(5,30,0) + (VLOOKUP(MasterTable[[#This Row],[TimeZone]], $O$3:$P$8, 2, FALSE) / 24)</f>
        <v>45990.573544791667</v>
      </c>
      <c r="I407" s="1" t="s">
        <v>1944</v>
      </c>
      <c r="J407" s="1">
        <v>445.98</v>
      </c>
    </row>
    <row r="408" spans="1:10" x14ac:dyDescent="0.25">
      <c r="A408" s="1" t="s">
        <v>73</v>
      </c>
      <c r="B408" s="1" t="s">
        <v>74</v>
      </c>
      <c r="C408" s="1" t="s">
        <v>170</v>
      </c>
      <c r="D408" s="1">
        <v>33.701900000000002</v>
      </c>
      <c r="E408" s="1">
        <v>-84.767899999999997</v>
      </c>
      <c r="F408" s="1" t="s">
        <v>1925</v>
      </c>
      <c r="G408" s="22">
        <v>1515.9542251758264</v>
      </c>
      <c r="H408" s="20">
        <f ca="1">NOW() - TIME(5,30,0) + (VLOOKUP(MasterTable[[#This Row],[TimeZone]], $O$3:$P$8, 2, FALSE) / 24)</f>
        <v>45990.573544791667</v>
      </c>
      <c r="I408" s="1" t="s">
        <v>1944</v>
      </c>
      <c r="J408" s="1">
        <v>842.75</v>
      </c>
    </row>
    <row r="409" spans="1:10" x14ac:dyDescent="0.25">
      <c r="A409" s="1" t="s">
        <v>73</v>
      </c>
      <c r="B409" s="1" t="s">
        <v>74</v>
      </c>
      <c r="C409" s="1" t="s">
        <v>508</v>
      </c>
      <c r="D409" s="1">
        <v>33.9512</v>
      </c>
      <c r="E409" s="1">
        <v>-83.3673</v>
      </c>
      <c r="F409" s="1" t="s">
        <v>1925</v>
      </c>
      <c r="G409" s="22">
        <v>1595.1811795951098</v>
      </c>
      <c r="H409" s="20">
        <f ca="1">NOW() - TIME(5,30,0) + (VLOOKUP(MasterTable[[#This Row],[TimeZone]], $O$3:$P$8, 2, FALSE) / 24)</f>
        <v>45990.573544791667</v>
      </c>
      <c r="I409" s="1" t="s">
        <v>1944</v>
      </c>
      <c r="J409" s="1">
        <v>1252.51</v>
      </c>
    </row>
    <row r="410" spans="1:10" x14ac:dyDescent="0.25">
      <c r="A410" s="1" t="s">
        <v>73</v>
      </c>
      <c r="B410" s="1" t="s">
        <v>74</v>
      </c>
      <c r="C410" s="1" t="s">
        <v>418</v>
      </c>
      <c r="D410" s="1">
        <v>33.582799999999999</v>
      </c>
      <c r="E410" s="1">
        <v>-85.079800000000006</v>
      </c>
      <c r="F410" s="1" t="s">
        <v>1925</v>
      </c>
      <c r="G410" s="22">
        <v>1498.5473814411503</v>
      </c>
      <c r="H410" s="20">
        <f ca="1">NOW() - TIME(5,30,0) + (VLOOKUP(MasterTable[[#This Row],[TimeZone]], $O$3:$P$8, 2, FALSE) / 24)</f>
        <v>45990.573544791667</v>
      </c>
      <c r="I410" s="1" t="s">
        <v>1944</v>
      </c>
      <c r="J410" s="1">
        <v>638.80999999999995</v>
      </c>
    </row>
    <row r="411" spans="1:10" x14ac:dyDescent="0.25">
      <c r="A411" s="1" t="s">
        <v>73</v>
      </c>
      <c r="B411" s="1" t="s">
        <v>74</v>
      </c>
      <c r="C411" s="1" t="s">
        <v>279</v>
      </c>
      <c r="D411" s="1">
        <v>33.414000000000001</v>
      </c>
      <c r="E411" s="1">
        <v>-84.494299999999996</v>
      </c>
      <c r="F411" s="1" t="s">
        <v>1925</v>
      </c>
      <c r="G411" s="22">
        <v>1533.0006401459664</v>
      </c>
      <c r="H411" s="20">
        <f ca="1">NOW() - TIME(5,30,0) + (VLOOKUP(MasterTable[[#This Row],[TimeZone]], $O$3:$P$8, 2, FALSE) / 24)</f>
        <v>45990.573544791667</v>
      </c>
      <c r="I411" s="1" t="s">
        <v>1944</v>
      </c>
      <c r="J411" s="1">
        <v>629.34</v>
      </c>
    </row>
    <row r="412" spans="1:10" x14ac:dyDescent="0.25">
      <c r="A412" s="1" t="s">
        <v>73</v>
      </c>
      <c r="B412" s="1" t="s">
        <v>74</v>
      </c>
      <c r="C412" s="1" t="s">
        <v>532</v>
      </c>
      <c r="D412" s="1">
        <v>30.8338</v>
      </c>
      <c r="E412" s="1">
        <v>-83.267700000000005</v>
      </c>
      <c r="F412" s="1" t="s">
        <v>1925</v>
      </c>
      <c r="G412" s="22">
        <v>1627.3916946859877</v>
      </c>
      <c r="H412" s="20">
        <f ca="1">NOW() - TIME(5,30,0) + (VLOOKUP(MasterTable[[#This Row],[TimeZone]], $O$3:$P$8, 2, FALSE) / 24)</f>
        <v>45990.573544791667</v>
      </c>
      <c r="I412" s="1" t="s">
        <v>1944</v>
      </c>
      <c r="J412" s="1">
        <v>725.03</v>
      </c>
    </row>
    <row r="413" spans="1:10" x14ac:dyDescent="0.25">
      <c r="A413" s="1" t="s">
        <v>73</v>
      </c>
      <c r="B413" s="1" t="s">
        <v>74</v>
      </c>
      <c r="C413" s="1" t="s">
        <v>539</v>
      </c>
      <c r="D413" s="1">
        <v>33.555</v>
      </c>
      <c r="E413" s="1">
        <v>-83.850200000000001</v>
      </c>
      <c r="F413" s="1" t="s">
        <v>1925</v>
      </c>
      <c r="G413" s="22">
        <v>1569.3078681453701</v>
      </c>
      <c r="H413" s="20">
        <f ca="1">NOW() - TIME(5,30,0) + (VLOOKUP(MasterTable[[#This Row],[TimeZone]], $O$3:$P$8, 2, FALSE) / 24)</f>
        <v>45990.573544791667</v>
      </c>
      <c r="I413" s="1" t="s">
        <v>1944</v>
      </c>
      <c r="J413" s="1">
        <v>823.18</v>
      </c>
    </row>
    <row r="414" spans="1:10" x14ac:dyDescent="0.25">
      <c r="A414" s="1" t="s">
        <v>73</v>
      </c>
      <c r="B414" s="1" t="s">
        <v>74</v>
      </c>
      <c r="C414" s="1" t="s">
        <v>552</v>
      </c>
      <c r="D414" s="1">
        <v>34.237699999999997</v>
      </c>
      <c r="E414" s="1">
        <v>-84.840299999999999</v>
      </c>
      <c r="F414" s="1" t="s">
        <v>1925</v>
      </c>
      <c r="G414" s="22">
        <v>1510.045455366869</v>
      </c>
      <c r="H414" s="20">
        <f ca="1">NOW() - TIME(5,30,0) + (VLOOKUP(MasterTable[[#This Row],[TimeZone]], $O$3:$P$8, 2, FALSE) / 24)</f>
        <v>45990.573544791667</v>
      </c>
      <c r="I414" s="1" t="s">
        <v>1944</v>
      </c>
      <c r="J414" s="1">
        <v>470.11</v>
      </c>
    </row>
    <row r="415" spans="1:10" x14ac:dyDescent="0.25">
      <c r="A415" s="1" t="s">
        <v>73</v>
      </c>
      <c r="B415" s="1" t="s">
        <v>74</v>
      </c>
      <c r="C415" s="1" t="s">
        <v>580</v>
      </c>
      <c r="D415" s="1">
        <v>34.805599999999998</v>
      </c>
      <c r="E415" s="1">
        <v>-84.967200000000005</v>
      </c>
      <c r="F415" s="1" t="s">
        <v>1925</v>
      </c>
      <c r="G415" s="22">
        <v>1501.9278927113312</v>
      </c>
      <c r="H415" s="20">
        <f ca="1">NOW() - TIME(5,30,0) + (VLOOKUP(MasterTable[[#This Row],[TimeZone]], $O$3:$P$8, 2, FALSE) / 24)</f>
        <v>45990.573544791667</v>
      </c>
      <c r="I415" s="1" t="s">
        <v>1944</v>
      </c>
      <c r="J415" s="1">
        <v>290.64999999999998</v>
      </c>
    </row>
    <row r="416" spans="1:10" x14ac:dyDescent="0.25">
      <c r="A416" s="1" t="s">
        <v>73</v>
      </c>
      <c r="B416" s="1" t="s">
        <v>74</v>
      </c>
      <c r="C416" s="1" t="s">
        <v>591</v>
      </c>
      <c r="D416" s="1">
        <v>33.781599999999997</v>
      </c>
      <c r="E416" s="1">
        <v>-83.733900000000006</v>
      </c>
      <c r="F416" s="1" t="s">
        <v>1925</v>
      </c>
      <c r="G416" s="22">
        <v>1574.9125441978072</v>
      </c>
      <c r="H416" s="20">
        <f ca="1">NOW() - TIME(5,30,0) + (VLOOKUP(MasterTable[[#This Row],[TimeZone]], $O$3:$P$8, 2, FALSE) / 24)</f>
        <v>45990.573544791667</v>
      </c>
      <c r="I416" s="1" t="s">
        <v>1944</v>
      </c>
      <c r="J416" s="1">
        <v>1238.03</v>
      </c>
    </row>
    <row r="417" spans="1:10" x14ac:dyDescent="0.25">
      <c r="A417" s="1" t="s">
        <v>73</v>
      </c>
      <c r="B417" s="1" t="s">
        <v>74</v>
      </c>
      <c r="C417" s="1" t="s">
        <v>595</v>
      </c>
      <c r="D417" s="1">
        <v>34.263199999999998</v>
      </c>
      <c r="E417" s="1">
        <v>-85.214299999999994</v>
      </c>
      <c r="F417" s="1" t="s">
        <v>1925</v>
      </c>
      <c r="G417" s="22">
        <v>1488.6373132715305</v>
      </c>
      <c r="H417" s="20">
        <f ca="1">NOW() - TIME(5,30,0) + (VLOOKUP(MasterTable[[#This Row],[TimeZone]], $O$3:$P$8, 2, FALSE) / 24)</f>
        <v>45990.573544791667</v>
      </c>
      <c r="I417" s="1" t="s">
        <v>1944</v>
      </c>
      <c r="J417" s="1">
        <v>518.46</v>
      </c>
    </row>
    <row r="418" spans="1:10" x14ac:dyDescent="0.25">
      <c r="A418" s="1" t="s">
        <v>73</v>
      </c>
      <c r="B418" s="1" t="s">
        <v>74</v>
      </c>
      <c r="C418" s="1" t="s">
        <v>617</v>
      </c>
      <c r="D418" s="1">
        <v>33.654200000000003</v>
      </c>
      <c r="E418" s="1">
        <v>-84.026600000000002</v>
      </c>
      <c r="F418" s="1" t="s">
        <v>1925</v>
      </c>
      <c r="G418" s="22">
        <v>1558.702559847758</v>
      </c>
      <c r="H418" s="20">
        <f ca="1">NOW() - TIME(5,30,0) + (VLOOKUP(MasterTable[[#This Row],[TimeZone]], $O$3:$P$8, 2, FALSE) / 24)</f>
        <v>45990.573544791667</v>
      </c>
      <c r="I418" s="1" t="s">
        <v>1944</v>
      </c>
      <c r="J418" s="1">
        <v>132.13</v>
      </c>
    </row>
    <row r="419" spans="1:10" x14ac:dyDescent="0.25">
      <c r="A419" s="1" t="s">
        <v>73</v>
      </c>
      <c r="B419" s="1" t="s">
        <v>74</v>
      </c>
      <c r="C419" s="1" t="s">
        <v>640</v>
      </c>
      <c r="D419" s="1">
        <v>33.993200000000002</v>
      </c>
      <c r="E419" s="1">
        <v>-83.712699999999998</v>
      </c>
      <c r="F419" s="1" t="s">
        <v>1925</v>
      </c>
      <c r="G419" s="22">
        <v>1575.2544425839949</v>
      </c>
      <c r="H419" s="20">
        <f ca="1">NOW() - TIME(5,30,0) + (VLOOKUP(MasterTable[[#This Row],[TimeZone]], $O$3:$P$8, 2, FALSE) / 24)</f>
        <v>45990.573544791667</v>
      </c>
      <c r="I419" s="1" t="s">
        <v>1944</v>
      </c>
      <c r="J419" s="1">
        <v>162.84</v>
      </c>
    </row>
    <row r="420" spans="1:10" x14ac:dyDescent="0.25">
      <c r="A420" s="1" t="s">
        <v>73</v>
      </c>
      <c r="B420" s="1" t="s">
        <v>74</v>
      </c>
      <c r="C420" s="1" t="s">
        <v>646</v>
      </c>
      <c r="D420" s="1">
        <v>31.230899999999998</v>
      </c>
      <c r="E420" s="1">
        <v>-81.540700000000001</v>
      </c>
      <c r="F420" s="1" t="s">
        <v>1925</v>
      </c>
      <c r="G420" s="22">
        <v>1723.0549767378413</v>
      </c>
      <c r="H420" s="20">
        <f ca="1">NOW() - TIME(5,30,0) + (VLOOKUP(MasterTable[[#This Row],[TimeZone]], $O$3:$P$8, 2, FALSE) / 24)</f>
        <v>45990.573544791667</v>
      </c>
      <c r="I420" s="1" t="s">
        <v>1944</v>
      </c>
      <c r="J420" s="1">
        <v>585.16999999999996</v>
      </c>
    </row>
    <row r="421" spans="1:10" x14ac:dyDescent="0.25">
      <c r="A421" s="1" t="s">
        <v>73</v>
      </c>
      <c r="B421" s="1" t="s">
        <v>74</v>
      </c>
      <c r="C421" s="1" t="s">
        <v>650</v>
      </c>
      <c r="D421" s="1">
        <v>31.5335</v>
      </c>
      <c r="E421" s="1">
        <v>-84.216399999999993</v>
      </c>
      <c r="F421" s="1" t="s">
        <v>1925</v>
      </c>
      <c r="G421" s="22">
        <v>1563.9310966053936</v>
      </c>
      <c r="H421" s="20">
        <f ca="1">NOW() - TIME(5,30,0) + (VLOOKUP(MasterTable[[#This Row],[TimeZone]], $O$3:$P$8, 2, FALSE) / 24)</f>
        <v>45990.573544791667</v>
      </c>
      <c r="I421" s="1" t="s">
        <v>1944</v>
      </c>
      <c r="J421" s="1">
        <v>334.64</v>
      </c>
    </row>
    <row r="422" spans="1:10" x14ac:dyDescent="0.25">
      <c r="A422" s="1" t="s">
        <v>73</v>
      </c>
      <c r="B422" s="1" t="s">
        <v>74</v>
      </c>
      <c r="C422" s="1" t="s">
        <v>664</v>
      </c>
      <c r="D422" s="1">
        <v>32.396799999999999</v>
      </c>
      <c r="E422" s="1">
        <v>-81.743200000000002</v>
      </c>
      <c r="F422" s="1" t="s">
        <v>1925</v>
      </c>
      <c r="G422" s="22">
        <v>1698.9773285248059</v>
      </c>
      <c r="H422" s="20">
        <f ca="1">NOW() - TIME(5,30,0) + (VLOOKUP(MasterTable[[#This Row],[TimeZone]], $O$3:$P$8, 2, FALSE) / 24)</f>
        <v>45990.573544791667</v>
      </c>
      <c r="I422" s="1" t="s">
        <v>1944</v>
      </c>
      <c r="J422" s="1">
        <v>688.84</v>
      </c>
    </row>
    <row r="423" spans="1:10" x14ac:dyDescent="0.25">
      <c r="A423" s="1" t="s">
        <v>73</v>
      </c>
      <c r="B423" s="1" t="s">
        <v>74</v>
      </c>
      <c r="C423" s="1" t="s">
        <v>140</v>
      </c>
      <c r="D423" s="1">
        <v>34.134</v>
      </c>
      <c r="E423" s="1">
        <v>-83.566500000000005</v>
      </c>
      <c r="F423" s="1" t="s">
        <v>1925</v>
      </c>
      <c r="G423" s="22">
        <v>1583.0956531718791</v>
      </c>
      <c r="H423" s="20">
        <f ca="1">NOW() - TIME(5,30,0) + (VLOOKUP(MasterTable[[#This Row],[TimeZone]], $O$3:$P$8, 2, FALSE) / 24)</f>
        <v>45990.573544791667</v>
      </c>
      <c r="I423" s="1" t="s">
        <v>1944</v>
      </c>
      <c r="J423" s="1">
        <v>1126.77</v>
      </c>
    </row>
    <row r="424" spans="1:10" x14ac:dyDescent="0.25">
      <c r="A424" s="1" t="s">
        <v>73</v>
      </c>
      <c r="B424" s="1" t="s">
        <v>74</v>
      </c>
      <c r="C424" s="1" t="s">
        <v>709</v>
      </c>
      <c r="D424" s="1">
        <v>33.033499999999997</v>
      </c>
      <c r="E424" s="1">
        <v>-85.028400000000005</v>
      </c>
      <c r="F424" s="1" t="s">
        <v>1925</v>
      </c>
      <c r="G424" s="22">
        <v>1504.3369870496497</v>
      </c>
      <c r="H424" s="20">
        <f ca="1">NOW() - TIME(5,30,0) + (VLOOKUP(MasterTable[[#This Row],[TimeZone]], $O$3:$P$8, 2, FALSE) / 24)</f>
        <v>45990.573544791667</v>
      </c>
      <c r="I424" s="1" t="s">
        <v>1944</v>
      </c>
      <c r="J424" s="1">
        <v>445.96</v>
      </c>
    </row>
    <row r="425" spans="1:10" x14ac:dyDescent="0.25">
      <c r="A425" s="1" t="s">
        <v>73</v>
      </c>
      <c r="B425" s="1" t="s">
        <v>74</v>
      </c>
      <c r="C425" s="1" t="s">
        <v>678</v>
      </c>
      <c r="D425" s="1">
        <v>34.735599999999998</v>
      </c>
      <c r="E425" s="1">
        <v>-85.301000000000002</v>
      </c>
      <c r="F425" s="1" t="s">
        <v>1925</v>
      </c>
      <c r="G425" s="22">
        <v>1483.0296373471924</v>
      </c>
      <c r="H425" s="20">
        <f ca="1">NOW() - TIME(5,30,0) + (VLOOKUP(MasterTable[[#This Row],[TimeZone]], $O$3:$P$8, 2, FALSE) / 24)</f>
        <v>45990.573544791667</v>
      </c>
      <c r="I425" s="1" t="s">
        <v>1944</v>
      </c>
      <c r="J425" s="1">
        <v>805.3</v>
      </c>
    </row>
    <row r="426" spans="1:10" x14ac:dyDescent="0.25">
      <c r="A426" s="1" t="s">
        <v>73</v>
      </c>
      <c r="B426" s="1" t="s">
        <v>74</v>
      </c>
      <c r="C426" s="1" t="s">
        <v>718</v>
      </c>
      <c r="D426" s="1">
        <v>34.903599999999997</v>
      </c>
      <c r="E426" s="1">
        <v>-85.138199999999998</v>
      </c>
      <c r="F426" s="1" t="s">
        <v>1925</v>
      </c>
      <c r="G426" s="22">
        <v>1492.1857633764916</v>
      </c>
      <c r="H426" s="20">
        <f ca="1">NOW() - TIME(5,30,0) + (VLOOKUP(MasterTable[[#This Row],[TimeZone]], $O$3:$P$8, 2, FALSE) / 24)</f>
        <v>45990.573544791667</v>
      </c>
      <c r="I426" s="1" t="s">
        <v>1944</v>
      </c>
      <c r="J426" s="1">
        <v>162.66</v>
      </c>
    </row>
    <row r="427" spans="1:10" x14ac:dyDescent="0.25">
      <c r="A427" s="1" t="s">
        <v>73</v>
      </c>
      <c r="B427" s="1" t="s">
        <v>74</v>
      </c>
      <c r="C427" s="1" t="s">
        <v>720</v>
      </c>
      <c r="D427" s="1">
        <v>33.260899999999999</v>
      </c>
      <c r="E427" s="1">
        <v>-84.284099999999995</v>
      </c>
      <c r="F427" s="1" t="s">
        <v>1925</v>
      </c>
      <c r="G427" s="22">
        <v>1545.9215075431509</v>
      </c>
      <c r="H427" s="20">
        <f ca="1">NOW() - TIME(5,30,0) + (VLOOKUP(MasterTable[[#This Row],[TimeZone]], $O$3:$P$8, 2, FALSE) / 24)</f>
        <v>45990.573544791667</v>
      </c>
      <c r="I427" s="1" t="s">
        <v>1944</v>
      </c>
      <c r="J427" s="1">
        <v>199.6</v>
      </c>
    </row>
    <row r="428" spans="1:10" x14ac:dyDescent="0.25">
      <c r="A428" s="1" t="s">
        <v>73</v>
      </c>
      <c r="B428" s="1" t="s">
        <v>74</v>
      </c>
      <c r="C428" s="1" t="s">
        <v>726</v>
      </c>
      <c r="D428" s="1">
        <v>32.367400000000004</v>
      </c>
      <c r="E428" s="1">
        <v>-81.341399999999993</v>
      </c>
      <c r="F428" s="1" t="s">
        <v>1925</v>
      </c>
      <c r="G428" s="22">
        <v>1722.4858335856864</v>
      </c>
      <c r="H428" s="20">
        <f ca="1">NOW() - TIME(5,30,0) + (VLOOKUP(MasterTable[[#This Row],[TimeZone]], $O$3:$P$8, 2, FALSE) / 24)</f>
        <v>45990.573544791667</v>
      </c>
      <c r="I428" s="1" t="s">
        <v>1944</v>
      </c>
      <c r="J428" s="1">
        <v>482.82</v>
      </c>
    </row>
    <row r="429" spans="1:10" x14ac:dyDescent="0.25">
      <c r="A429" s="1" t="s">
        <v>73</v>
      </c>
      <c r="B429" s="1" t="s">
        <v>74</v>
      </c>
      <c r="C429" s="1" t="s">
        <v>603</v>
      </c>
      <c r="D429" s="1">
        <v>31.828199999999999</v>
      </c>
      <c r="E429" s="1">
        <v>-81.494900000000001</v>
      </c>
      <c r="F429" s="1" t="s">
        <v>1925</v>
      </c>
      <c r="G429" s="22">
        <v>1718.9451036963073</v>
      </c>
      <c r="H429" s="20">
        <f ca="1">NOW() - TIME(5,30,0) + (VLOOKUP(MasterTable[[#This Row],[TimeZone]], $O$3:$P$8, 2, FALSE) / 24)</f>
        <v>45990.573544791667</v>
      </c>
      <c r="I429" s="1" t="s">
        <v>1944</v>
      </c>
      <c r="J429" s="1">
        <v>843.16</v>
      </c>
    </row>
    <row r="430" spans="1:10" x14ac:dyDescent="0.25">
      <c r="A430" s="1" t="s">
        <v>73</v>
      </c>
      <c r="B430" s="1" t="s">
        <v>74</v>
      </c>
      <c r="C430" s="1" t="s">
        <v>794</v>
      </c>
      <c r="D430" s="1">
        <v>34.5032</v>
      </c>
      <c r="E430" s="1">
        <v>-84.875900000000001</v>
      </c>
      <c r="F430" s="1" t="s">
        <v>1925</v>
      </c>
      <c r="G430" s="22">
        <v>1507.4689095959573</v>
      </c>
      <c r="H430" s="20">
        <f ca="1">NOW() - TIME(5,30,0) + (VLOOKUP(MasterTable[[#This Row],[TimeZone]], $O$3:$P$8, 2, FALSE) / 24)</f>
        <v>45990.573544791667</v>
      </c>
      <c r="I430" s="1" t="s">
        <v>1944</v>
      </c>
      <c r="J430" s="1">
        <v>358.01</v>
      </c>
    </row>
    <row r="431" spans="1:10" x14ac:dyDescent="0.25">
      <c r="A431" s="1" t="s">
        <v>73</v>
      </c>
      <c r="B431" s="1" t="s">
        <v>74</v>
      </c>
      <c r="C431" s="1" t="s">
        <v>194</v>
      </c>
      <c r="D431" s="1">
        <v>30.930599999999998</v>
      </c>
      <c r="E431" s="1">
        <v>-81.669899999999998</v>
      </c>
      <c r="F431" s="1" t="s">
        <v>1925</v>
      </c>
      <c r="G431" s="22">
        <v>1719.2718886173632</v>
      </c>
      <c r="H431" s="20">
        <f ca="1">NOW() - TIME(5,30,0) + (VLOOKUP(MasterTable[[#This Row],[TimeZone]], $O$3:$P$8, 2, FALSE) / 24)</f>
        <v>45990.573544791667</v>
      </c>
      <c r="I431" s="1" t="s">
        <v>1944</v>
      </c>
      <c r="J431" s="1">
        <v>782.52</v>
      </c>
    </row>
    <row r="432" spans="1:10" x14ac:dyDescent="0.25">
      <c r="A432" s="1" t="s">
        <v>73</v>
      </c>
      <c r="B432" s="1" t="s">
        <v>74</v>
      </c>
      <c r="C432" s="1" t="s">
        <v>722</v>
      </c>
      <c r="D432" s="1">
        <v>32.4636</v>
      </c>
      <c r="E432" s="1">
        <v>-82.922200000000004</v>
      </c>
      <c r="F432" s="1" t="s">
        <v>1925</v>
      </c>
      <c r="G432" s="22">
        <v>1630.1855737828598</v>
      </c>
      <c r="H432" s="20">
        <f ca="1">NOW() - TIME(5,30,0) + (VLOOKUP(MasterTable[[#This Row],[TimeZone]], $O$3:$P$8, 2, FALSE) / 24)</f>
        <v>45990.573544791667</v>
      </c>
      <c r="I432" s="1" t="s">
        <v>1944</v>
      </c>
      <c r="J432" s="1">
        <v>818.51</v>
      </c>
    </row>
    <row r="433" spans="1:10" x14ac:dyDescent="0.25">
      <c r="A433" s="1" t="s">
        <v>73</v>
      </c>
      <c r="B433" s="1" t="s">
        <v>74</v>
      </c>
      <c r="C433" s="1" t="s">
        <v>868</v>
      </c>
      <c r="D433" s="1">
        <v>34.631</v>
      </c>
      <c r="E433" s="1">
        <v>-83.531099999999995</v>
      </c>
      <c r="F433" s="1" t="s">
        <v>1925</v>
      </c>
      <c r="G433" s="22">
        <v>1583.7185391415851</v>
      </c>
      <c r="H433" s="20">
        <f ca="1">NOW() - TIME(5,30,0) + (VLOOKUP(MasterTable[[#This Row],[TimeZone]], $O$3:$P$8, 2, FALSE) / 24)</f>
        <v>45990.573544791667</v>
      </c>
      <c r="I433" s="1" t="s">
        <v>1944</v>
      </c>
      <c r="J433" s="1">
        <v>279.2</v>
      </c>
    </row>
    <row r="434" spans="1:10" x14ac:dyDescent="0.25">
      <c r="A434" s="1" t="s">
        <v>73</v>
      </c>
      <c r="B434" s="1" t="s">
        <v>74</v>
      </c>
      <c r="C434" s="1" t="s">
        <v>865</v>
      </c>
      <c r="D434" s="1">
        <v>32.014499999999998</v>
      </c>
      <c r="E434" s="1">
        <v>-81.443600000000004</v>
      </c>
      <c r="F434" s="1" t="s">
        <v>1925</v>
      </c>
      <c r="G434" s="22">
        <v>1719.9902975354419</v>
      </c>
      <c r="H434" s="20">
        <f ca="1">NOW() - TIME(5,30,0) + (VLOOKUP(MasterTable[[#This Row],[TimeZone]], $O$3:$P$8, 2, FALSE) / 24)</f>
        <v>45990.573544791667</v>
      </c>
      <c r="I434" s="1" t="s">
        <v>1944</v>
      </c>
      <c r="J434" s="1">
        <v>454.49</v>
      </c>
    </row>
    <row r="435" spans="1:10" x14ac:dyDescent="0.25">
      <c r="A435" s="1" t="s">
        <v>73</v>
      </c>
      <c r="B435" s="1" t="s">
        <v>74</v>
      </c>
      <c r="C435" s="1" t="s">
        <v>880</v>
      </c>
      <c r="D435" s="1">
        <v>31.188400000000001</v>
      </c>
      <c r="E435" s="1">
        <v>-83.768799999999999</v>
      </c>
      <c r="F435" s="1" t="s">
        <v>1925</v>
      </c>
      <c r="G435" s="22">
        <v>1593.8476881550414</v>
      </c>
      <c r="H435" s="20">
        <f ca="1">NOW() - TIME(5,30,0) + (VLOOKUP(MasterTable[[#This Row],[TimeZone]], $O$3:$P$8, 2, FALSE) / 24)</f>
        <v>45990.573544791667</v>
      </c>
      <c r="I435" s="1" t="s">
        <v>1944</v>
      </c>
      <c r="J435" s="1">
        <v>556.54999999999995</v>
      </c>
    </row>
    <row r="436" spans="1:10" x14ac:dyDescent="0.25">
      <c r="A436" s="1" t="s">
        <v>73</v>
      </c>
      <c r="B436" s="1" t="s">
        <v>74</v>
      </c>
      <c r="C436" s="1" t="s">
        <v>883</v>
      </c>
      <c r="D436" s="1">
        <v>30.863700000000001</v>
      </c>
      <c r="E436" s="1">
        <v>-83.919300000000007</v>
      </c>
      <c r="F436" s="1" t="s">
        <v>1925</v>
      </c>
      <c r="G436" s="22">
        <v>1589.0132984601307</v>
      </c>
      <c r="H436" s="20">
        <f ca="1">NOW() - TIME(5,30,0) + (VLOOKUP(MasterTable[[#This Row],[TimeZone]], $O$3:$P$8, 2, FALSE) / 24)</f>
        <v>45990.573544791667</v>
      </c>
      <c r="I436" s="1" t="s">
        <v>1944</v>
      </c>
      <c r="J436" s="1">
        <v>552.08000000000004</v>
      </c>
    </row>
    <row r="437" spans="1:10" x14ac:dyDescent="0.25">
      <c r="A437" s="1" t="s">
        <v>73</v>
      </c>
      <c r="B437" s="1" t="s">
        <v>74</v>
      </c>
      <c r="C437" s="1" t="s">
        <v>336</v>
      </c>
      <c r="D437" s="1">
        <v>33.069299999999998</v>
      </c>
      <c r="E437" s="1">
        <v>-83.249600000000001</v>
      </c>
      <c r="F437" s="1" t="s">
        <v>1925</v>
      </c>
      <c r="G437" s="22">
        <v>1606.6996330906886</v>
      </c>
      <c r="H437" s="20">
        <f ca="1">NOW() - TIME(5,30,0) + (VLOOKUP(MasterTable[[#This Row],[TimeZone]], $O$3:$P$8, 2, FALSE) / 24)</f>
        <v>45990.573544791667</v>
      </c>
      <c r="I437" s="1" t="s">
        <v>1944</v>
      </c>
      <c r="J437" s="1">
        <v>2026.93</v>
      </c>
    </row>
    <row r="438" spans="1:10" x14ac:dyDescent="0.25">
      <c r="A438" s="1" t="s">
        <v>73</v>
      </c>
      <c r="B438" s="1" t="s">
        <v>74</v>
      </c>
      <c r="C438" s="1" t="s">
        <v>134</v>
      </c>
      <c r="D438" s="1">
        <v>34.001800000000003</v>
      </c>
      <c r="E438" s="1">
        <v>-85.188100000000006</v>
      </c>
      <c r="F438" s="1" t="s">
        <v>1925</v>
      </c>
      <c r="G438" s="22">
        <v>1490.8084056560504</v>
      </c>
      <c r="H438" s="20">
        <f ca="1">NOW() - TIME(5,30,0) + (VLOOKUP(MasterTable[[#This Row],[TimeZone]], $O$3:$P$8, 2, FALSE) / 24)</f>
        <v>45990.573544791667</v>
      </c>
      <c r="I438" s="1" t="s">
        <v>1944</v>
      </c>
      <c r="J438" s="1">
        <v>862.42</v>
      </c>
    </row>
    <row r="439" spans="1:10" x14ac:dyDescent="0.25">
      <c r="A439" s="1" t="s">
        <v>73</v>
      </c>
      <c r="B439" s="1" t="s">
        <v>74</v>
      </c>
      <c r="C439" s="1" t="s">
        <v>788</v>
      </c>
      <c r="D439" s="1">
        <v>31.549299999999999</v>
      </c>
      <c r="E439" s="1">
        <v>-82.849199999999996</v>
      </c>
      <c r="F439" s="1" t="s">
        <v>1925</v>
      </c>
      <c r="G439" s="22">
        <v>1643.2874650883855</v>
      </c>
      <c r="H439" s="20">
        <f ca="1">NOW() - TIME(5,30,0) + (VLOOKUP(MasterTable[[#This Row],[TimeZone]], $O$3:$P$8, 2, FALSE) / 24)</f>
        <v>45990.573544791667</v>
      </c>
      <c r="I439" s="1" t="s">
        <v>1944</v>
      </c>
      <c r="J439" s="1">
        <v>680.48</v>
      </c>
    </row>
    <row r="440" spans="1:10" x14ac:dyDescent="0.25">
      <c r="A440" s="1" t="s">
        <v>73</v>
      </c>
      <c r="B440" s="1" t="s">
        <v>74</v>
      </c>
      <c r="C440" s="1" t="s">
        <v>673</v>
      </c>
      <c r="D440" s="1">
        <v>33.835000000000001</v>
      </c>
      <c r="E440" s="1">
        <v>-83.437100000000001</v>
      </c>
      <c r="F440" s="1" t="s">
        <v>1925</v>
      </c>
      <c r="G440" s="22">
        <v>1591.6820252920509</v>
      </c>
      <c r="H440" s="20">
        <f ca="1">NOW() - TIME(5,30,0) + (VLOOKUP(MasterTable[[#This Row],[TimeZone]], $O$3:$P$8, 2, FALSE) / 24)</f>
        <v>45990.573544791667</v>
      </c>
      <c r="I440" s="1" t="s">
        <v>1944</v>
      </c>
      <c r="J440" s="1">
        <v>186.14</v>
      </c>
    </row>
    <row r="441" spans="1:10" x14ac:dyDescent="0.25">
      <c r="A441" s="1" t="s">
        <v>73</v>
      </c>
      <c r="B441" s="1" t="s">
        <v>74</v>
      </c>
      <c r="C441" s="1" t="s">
        <v>937</v>
      </c>
      <c r="D441" s="1">
        <v>31.4574</v>
      </c>
      <c r="E441" s="1">
        <v>-83.526600000000002</v>
      </c>
      <c r="F441" s="1" t="s">
        <v>1925</v>
      </c>
      <c r="G441" s="22">
        <v>1604.8947843263952</v>
      </c>
      <c r="H441" s="20">
        <f ca="1">NOW() - TIME(5,30,0) + (VLOOKUP(MasterTable[[#This Row],[TimeZone]], $O$3:$P$8, 2, FALSE) / 24)</f>
        <v>45990.573544791667</v>
      </c>
      <c r="I441" s="1" t="s">
        <v>1944</v>
      </c>
      <c r="J441" s="1">
        <v>268.86</v>
      </c>
    </row>
    <row r="442" spans="1:10" x14ac:dyDescent="0.25">
      <c r="A442" s="1" t="s">
        <v>73</v>
      </c>
      <c r="B442" s="1" t="s">
        <v>74</v>
      </c>
      <c r="C442" s="1" t="s">
        <v>948</v>
      </c>
      <c r="D442" s="1">
        <v>34.788400000000003</v>
      </c>
      <c r="E442" s="1">
        <v>-84.748099999999994</v>
      </c>
      <c r="F442" s="1" t="s">
        <v>1925</v>
      </c>
      <c r="G442" s="22">
        <v>1514.3725318794077</v>
      </c>
      <c r="H442" s="20">
        <f ca="1">NOW() - TIME(5,30,0) + (VLOOKUP(MasterTable[[#This Row],[TimeZone]], $O$3:$P$8, 2, FALSE) / 24)</f>
        <v>45990.573544791667</v>
      </c>
      <c r="I442" s="1" t="s">
        <v>1944</v>
      </c>
      <c r="J442" s="1">
        <v>346.88</v>
      </c>
    </row>
    <row r="443" spans="1:10" x14ac:dyDescent="0.25">
      <c r="A443" s="1" t="s">
        <v>73</v>
      </c>
      <c r="B443" s="1" t="s">
        <v>74</v>
      </c>
      <c r="C443" s="1" t="s">
        <v>1008</v>
      </c>
      <c r="D443" s="1">
        <v>31.053799999999999</v>
      </c>
      <c r="E443" s="1">
        <v>-82.423699999999997</v>
      </c>
      <c r="F443" s="1" t="s">
        <v>1925</v>
      </c>
      <c r="G443" s="22">
        <v>1673.8185151470107</v>
      </c>
      <c r="H443" s="20">
        <f ca="1">NOW() - TIME(5,30,0) + (VLOOKUP(MasterTable[[#This Row],[TimeZone]], $O$3:$P$8, 2, FALSE) / 24)</f>
        <v>45990.573544791667</v>
      </c>
      <c r="I443" s="1" t="s">
        <v>1944</v>
      </c>
      <c r="J443" s="1">
        <v>906.31</v>
      </c>
    </row>
    <row r="444" spans="1:10" x14ac:dyDescent="0.25">
      <c r="A444" s="1" t="s">
        <v>73</v>
      </c>
      <c r="B444" s="1" t="s">
        <v>74</v>
      </c>
      <c r="C444" s="1" t="s">
        <v>6</v>
      </c>
      <c r="D444" s="1">
        <v>32.735999999999997</v>
      </c>
      <c r="E444" s="1">
        <v>-84.908900000000003</v>
      </c>
      <c r="F444" s="1" t="s">
        <v>1925</v>
      </c>
      <c r="G444" s="22">
        <v>1513.1620588299611</v>
      </c>
      <c r="H444" s="20">
        <f ca="1">NOW() - TIME(5,30,0) + (VLOOKUP(MasterTable[[#This Row],[TimeZone]], $O$3:$P$8, 2, FALSE) / 24)</f>
        <v>45990.573544791667</v>
      </c>
      <c r="I444" s="1" t="s">
        <v>1944</v>
      </c>
      <c r="J444" s="1">
        <v>472.93</v>
      </c>
    </row>
    <row r="445" spans="1:10" x14ac:dyDescent="0.25">
      <c r="A445" s="1" t="s">
        <v>73</v>
      </c>
      <c r="B445" s="1" t="s">
        <v>74</v>
      </c>
      <c r="C445" s="1" t="s">
        <v>499</v>
      </c>
      <c r="D445" s="1">
        <v>34.464300000000001</v>
      </c>
      <c r="E445" s="1">
        <v>-84.465599999999995</v>
      </c>
      <c r="F445" s="1" t="s">
        <v>1925</v>
      </c>
      <c r="G445" s="22">
        <v>1530.901176841367</v>
      </c>
      <c r="H445" s="20">
        <f ca="1">NOW() - TIME(5,30,0) + (VLOOKUP(MasterTable[[#This Row],[TimeZone]], $O$3:$P$8, 2, FALSE) / 24)</f>
        <v>45990.573544791667</v>
      </c>
      <c r="I445" s="1" t="s">
        <v>1944</v>
      </c>
      <c r="J445" s="1">
        <v>890.05</v>
      </c>
    </row>
    <row r="446" spans="1:10" x14ac:dyDescent="0.25">
      <c r="A446" s="1" t="s">
        <v>73</v>
      </c>
      <c r="B446" s="1" t="s">
        <v>74</v>
      </c>
      <c r="C446" s="1" t="s">
        <v>1028</v>
      </c>
      <c r="D446" s="1">
        <v>34.572200000000002</v>
      </c>
      <c r="E446" s="1">
        <v>-84.002700000000004</v>
      </c>
      <c r="F446" s="1" t="s">
        <v>1925</v>
      </c>
      <c r="G446" s="22">
        <v>1557.0281404046611</v>
      </c>
      <c r="H446" s="20">
        <f ca="1">NOW() - TIME(5,30,0) + (VLOOKUP(MasterTable[[#This Row],[TimeZone]], $O$3:$P$8, 2, FALSE) / 24)</f>
        <v>45990.573544791667</v>
      </c>
      <c r="I446" s="1" t="s">
        <v>1944</v>
      </c>
      <c r="J446" s="1">
        <v>284.87</v>
      </c>
    </row>
    <row r="447" spans="1:10" x14ac:dyDescent="0.25">
      <c r="A447" s="1" t="s">
        <v>73</v>
      </c>
      <c r="B447" s="1" t="s">
        <v>74</v>
      </c>
      <c r="C447" s="1" t="s">
        <v>127</v>
      </c>
      <c r="D447" s="1">
        <v>31.779499999999999</v>
      </c>
      <c r="E447" s="1">
        <v>-84.141099999999994</v>
      </c>
      <c r="F447" s="1" t="s">
        <v>1925</v>
      </c>
      <c r="G447" s="22">
        <v>1565.7777352632193</v>
      </c>
      <c r="H447" s="20">
        <f ca="1">NOW() - TIME(5,30,0) + (VLOOKUP(MasterTable[[#This Row],[TimeZone]], $O$3:$P$8, 2, FALSE) / 24)</f>
        <v>45990.573544791667</v>
      </c>
      <c r="I447" s="1" t="s">
        <v>1944</v>
      </c>
      <c r="J447" s="1">
        <v>615.54999999999995</v>
      </c>
    </row>
    <row r="448" spans="1:10" x14ac:dyDescent="0.25">
      <c r="A448" s="1" t="s">
        <v>73</v>
      </c>
      <c r="B448" s="1" t="s">
        <v>74</v>
      </c>
      <c r="C448" s="1" t="s">
        <v>1047</v>
      </c>
      <c r="D448" s="1">
        <v>34.691200000000002</v>
      </c>
      <c r="E448" s="1">
        <v>-84.455600000000004</v>
      </c>
      <c r="F448" s="1" t="s">
        <v>1925</v>
      </c>
      <c r="G448" s="22">
        <v>1531.087156707621</v>
      </c>
      <c r="H448" s="20">
        <f ca="1">NOW() - TIME(5,30,0) + (VLOOKUP(MasterTable[[#This Row],[TimeZone]], $O$3:$P$8, 2, FALSE) / 24)</f>
        <v>45990.573544791667</v>
      </c>
      <c r="I448" s="1" t="s">
        <v>1944</v>
      </c>
      <c r="J448" s="1">
        <v>431.83</v>
      </c>
    </row>
    <row r="449" spans="1:10" x14ac:dyDescent="0.25">
      <c r="A449" s="1" t="s">
        <v>73</v>
      </c>
      <c r="B449" s="1" t="s">
        <v>74</v>
      </c>
      <c r="C449" s="1" t="s">
        <v>244</v>
      </c>
      <c r="D449" s="1">
        <v>34.127800000000001</v>
      </c>
      <c r="E449" s="1">
        <v>-83.209000000000003</v>
      </c>
      <c r="F449" s="1" t="s">
        <v>1925</v>
      </c>
      <c r="G449" s="22">
        <v>1603.5376931200194</v>
      </c>
      <c r="H449" s="20">
        <f ca="1">NOW() - TIME(5,30,0) + (VLOOKUP(MasterTable[[#This Row],[TimeZone]], $O$3:$P$8, 2, FALSE) / 24)</f>
        <v>45990.573544791667</v>
      </c>
      <c r="I449" s="1" t="s">
        <v>1944</v>
      </c>
      <c r="J449" s="1">
        <v>812.85</v>
      </c>
    </row>
    <row r="450" spans="1:10" x14ac:dyDescent="0.25">
      <c r="A450" s="1" t="s">
        <v>73</v>
      </c>
      <c r="B450" s="1" t="s">
        <v>74</v>
      </c>
      <c r="C450" s="1" t="s">
        <v>1063</v>
      </c>
      <c r="D450" s="1">
        <v>33.794199999999996</v>
      </c>
      <c r="E450" s="1">
        <v>-85.210999999999999</v>
      </c>
      <c r="F450" s="1" t="s">
        <v>1925</v>
      </c>
      <c r="G450" s="22">
        <v>1490.1800104030369</v>
      </c>
      <c r="H450" s="20">
        <f ca="1">NOW() - TIME(5,30,0) + (VLOOKUP(MasterTable[[#This Row],[TimeZone]], $O$3:$P$8, 2, FALSE) / 24)</f>
        <v>45990.573544791667</v>
      </c>
      <c r="I450" s="1" t="s">
        <v>1944</v>
      </c>
      <c r="J450" s="1">
        <v>283.16000000000003</v>
      </c>
    </row>
    <row r="451" spans="1:10" x14ac:dyDescent="0.25">
      <c r="A451" s="1" t="s">
        <v>73</v>
      </c>
      <c r="B451" s="1" t="s">
        <v>74</v>
      </c>
      <c r="C451" s="1" t="s">
        <v>34</v>
      </c>
      <c r="D451" s="1">
        <v>31.551500000000001</v>
      </c>
      <c r="E451" s="1">
        <v>-81.916799999999995</v>
      </c>
      <c r="F451" s="1" t="s">
        <v>1925</v>
      </c>
      <c r="G451" s="22">
        <v>1697.4588803565516</v>
      </c>
      <c r="H451" s="20">
        <f ca="1">NOW() - TIME(5,30,0) + (VLOOKUP(MasterTable[[#This Row],[TimeZone]], $O$3:$P$8, 2, FALSE) / 24)</f>
        <v>45990.573544791667</v>
      </c>
      <c r="I451" s="1" t="s">
        <v>1944</v>
      </c>
      <c r="J451" s="1">
        <v>648.79999999999995</v>
      </c>
    </row>
    <row r="452" spans="1:10" x14ac:dyDescent="0.25">
      <c r="A452" s="1" t="s">
        <v>73</v>
      </c>
      <c r="B452" s="1" t="s">
        <v>74</v>
      </c>
      <c r="C452" s="1" t="s">
        <v>489</v>
      </c>
      <c r="D452" s="1">
        <v>32.039900000000003</v>
      </c>
      <c r="E452" s="1">
        <v>-84.197000000000003</v>
      </c>
      <c r="F452" s="1" t="s">
        <v>1925</v>
      </c>
      <c r="G452" s="22">
        <v>1560.0356865515082</v>
      </c>
      <c r="H452" s="20">
        <f ca="1">NOW() - TIME(5,30,0) + (VLOOKUP(MasterTable[[#This Row],[TimeZone]], $O$3:$P$8, 2, FALSE) / 24)</f>
        <v>45990.573544791667</v>
      </c>
      <c r="I452" s="1" t="s">
        <v>1944</v>
      </c>
      <c r="J452" s="1">
        <v>913.3</v>
      </c>
    </row>
    <row r="453" spans="1:10" x14ac:dyDescent="0.25">
      <c r="A453" s="1" t="s">
        <v>73</v>
      </c>
      <c r="B453" s="1" t="s">
        <v>74</v>
      </c>
      <c r="C453" s="1" t="s">
        <v>1087</v>
      </c>
      <c r="D453" s="1">
        <v>30.878299999999999</v>
      </c>
      <c r="E453" s="1">
        <v>-84.579099999999997</v>
      </c>
      <c r="F453" s="1" t="s">
        <v>1925</v>
      </c>
      <c r="G453" s="22">
        <v>1550.3436412240283</v>
      </c>
      <c r="H453" s="20">
        <f ca="1">NOW() - TIME(5,30,0) + (VLOOKUP(MasterTable[[#This Row],[TimeZone]], $O$3:$P$8, 2, FALSE) / 24)</f>
        <v>45990.573544791667</v>
      </c>
      <c r="I453" s="1" t="s">
        <v>1944</v>
      </c>
      <c r="J453" s="1">
        <v>623.16</v>
      </c>
    </row>
    <row r="454" spans="1:10" x14ac:dyDescent="0.25">
      <c r="A454" s="1" t="s">
        <v>73</v>
      </c>
      <c r="B454" s="1" t="s">
        <v>74</v>
      </c>
      <c r="C454" s="1" t="s">
        <v>135</v>
      </c>
      <c r="D454" s="1">
        <v>33.0139</v>
      </c>
      <c r="E454" s="1">
        <v>-83.918700000000001</v>
      </c>
      <c r="F454" s="1" t="s">
        <v>1925</v>
      </c>
      <c r="G454" s="22">
        <v>1568.4852259362433</v>
      </c>
      <c r="H454" s="20">
        <f ca="1">NOW() - TIME(5,30,0) + (VLOOKUP(MasterTable[[#This Row],[TimeZone]], $O$3:$P$8, 2, FALSE) / 24)</f>
        <v>45990.573544791667</v>
      </c>
      <c r="I454" s="1" t="s">
        <v>1944</v>
      </c>
      <c r="J454" s="1">
        <v>1034.53</v>
      </c>
    </row>
    <row r="455" spans="1:10" x14ac:dyDescent="0.25">
      <c r="A455" s="1" t="s">
        <v>73</v>
      </c>
      <c r="B455" s="1" t="s">
        <v>74</v>
      </c>
      <c r="C455" s="1" t="s">
        <v>1095</v>
      </c>
      <c r="D455" s="1">
        <v>34.444299999999998</v>
      </c>
      <c r="E455" s="1">
        <v>-84.170599999999993</v>
      </c>
      <c r="F455" s="1" t="s">
        <v>1925</v>
      </c>
      <c r="G455" s="22">
        <v>1547.7439070641765</v>
      </c>
      <c r="H455" s="20">
        <f ca="1">NOW() - TIME(5,30,0) + (VLOOKUP(MasterTable[[#This Row],[TimeZone]], $O$3:$P$8, 2, FALSE) / 24)</f>
        <v>45990.573544791667</v>
      </c>
      <c r="I455" s="1" t="s">
        <v>1944</v>
      </c>
      <c r="J455" s="1">
        <v>213.93</v>
      </c>
    </row>
    <row r="456" spans="1:10" x14ac:dyDescent="0.25">
      <c r="A456" s="1" t="s">
        <v>73</v>
      </c>
      <c r="B456" s="1" t="s">
        <v>74</v>
      </c>
      <c r="C456" s="1" t="s">
        <v>733</v>
      </c>
      <c r="D456" s="1">
        <v>33.025100000000002</v>
      </c>
      <c r="E456" s="1">
        <v>-83.560500000000005</v>
      </c>
      <c r="F456" s="1" t="s">
        <v>1925</v>
      </c>
      <c r="G456" s="22">
        <v>1589.0701371947039</v>
      </c>
      <c r="H456" s="20">
        <f ca="1">NOW() - TIME(5,30,0) + (VLOOKUP(MasterTable[[#This Row],[TimeZone]], $O$3:$P$8, 2, FALSE) / 24)</f>
        <v>45990.573544791667</v>
      </c>
      <c r="I456" s="1" t="s">
        <v>1944</v>
      </c>
      <c r="J456" s="1">
        <v>395.39</v>
      </c>
    </row>
    <row r="457" spans="1:10" x14ac:dyDescent="0.25">
      <c r="A457" s="1" t="s">
        <v>73</v>
      </c>
      <c r="B457" s="1" t="s">
        <v>74</v>
      </c>
      <c r="C457" s="1" t="s">
        <v>682</v>
      </c>
      <c r="D457" s="1">
        <v>34.6464</v>
      </c>
      <c r="E457" s="1">
        <v>-83.747100000000003</v>
      </c>
      <c r="F457" s="1" t="s">
        <v>1925</v>
      </c>
      <c r="G457" s="22">
        <v>1571.4130436248643</v>
      </c>
      <c r="H457" s="20">
        <f ca="1">NOW() - TIME(5,30,0) + (VLOOKUP(MasterTable[[#This Row],[TimeZone]], $O$3:$P$8, 2, FALSE) / 24)</f>
        <v>45990.573544791667</v>
      </c>
      <c r="I457" s="1" t="s">
        <v>1944</v>
      </c>
      <c r="J457" s="1">
        <v>1042.3599999999999</v>
      </c>
    </row>
    <row r="458" spans="1:10" x14ac:dyDescent="0.25">
      <c r="A458" s="1" t="s">
        <v>73</v>
      </c>
      <c r="B458" s="1" t="s">
        <v>74</v>
      </c>
      <c r="C458" s="1" t="s">
        <v>1101</v>
      </c>
      <c r="D458" s="1">
        <v>32.568800000000003</v>
      </c>
      <c r="E458" s="1">
        <v>-83.826899999999995</v>
      </c>
      <c r="F458" s="1" t="s">
        <v>1925</v>
      </c>
      <c r="G458" s="22">
        <v>1576.9833982812079</v>
      </c>
      <c r="H458" s="20">
        <f ca="1">NOW() - TIME(5,30,0) + (VLOOKUP(MasterTable[[#This Row],[TimeZone]], $O$3:$P$8, 2, FALSE) / 24)</f>
        <v>45990.573544791667</v>
      </c>
      <c r="I458" s="1" t="s">
        <v>1944</v>
      </c>
      <c r="J458" s="1">
        <v>151.46</v>
      </c>
    </row>
    <row r="459" spans="1:10" x14ac:dyDescent="0.25">
      <c r="A459" s="1" t="s">
        <v>73</v>
      </c>
      <c r="B459" s="1" t="s">
        <v>74</v>
      </c>
      <c r="C459" s="1" t="s">
        <v>1112</v>
      </c>
      <c r="D459" s="1">
        <v>32.881300000000003</v>
      </c>
      <c r="E459" s="1">
        <v>-84.299400000000006</v>
      </c>
      <c r="F459" s="1" t="s">
        <v>1925</v>
      </c>
      <c r="G459" s="22">
        <v>1547.3923426622891</v>
      </c>
      <c r="H459" s="20">
        <f ca="1">NOW() - TIME(5,30,0) + (VLOOKUP(MasterTable[[#This Row],[TimeZone]], $O$3:$P$8, 2, FALSE) / 24)</f>
        <v>45990.573544791667</v>
      </c>
      <c r="I459" s="1" t="s">
        <v>1944</v>
      </c>
      <c r="J459" s="1">
        <v>327.64</v>
      </c>
    </row>
    <row r="460" spans="1:10" x14ac:dyDescent="0.25">
      <c r="A460" s="1" t="s">
        <v>73</v>
      </c>
      <c r="B460" s="1" t="s">
        <v>74</v>
      </c>
      <c r="C460" s="1" t="s">
        <v>1126</v>
      </c>
      <c r="D460" s="1">
        <v>32.121600000000001</v>
      </c>
      <c r="E460" s="1">
        <v>-82.331199999999995</v>
      </c>
      <c r="F460" s="1" t="s">
        <v>1925</v>
      </c>
      <c r="G460" s="22">
        <v>1667.4932917293845</v>
      </c>
      <c r="H460" s="20">
        <f ca="1">NOW() - TIME(5,30,0) + (VLOOKUP(MasterTable[[#This Row],[TimeZone]], $O$3:$P$8, 2, FALSE) / 24)</f>
        <v>45990.573544791667</v>
      </c>
      <c r="I460" s="1" t="s">
        <v>1944</v>
      </c>
      <c r="J460" s="1">
        <v>368.64</v>
      </c>
    </row>
    <row r="461" spans="1:10" x14ac:dyDescent="0.25">
      <c r="A461" s="1" t="s">
        <v>73</v>
      </c>
      <c r="B461" s="1" t="s">
        <v>74</v>
      </c>
      <c r="C461" s="1" t="s">
        <v>913</v>
      </c>
      <c r="D461" s="1">
        <v>34.554000000000002</v>
      </c>
      <c r="E461" s="1">
        <v>-83.293199999999999</v>
      </c>
      <c r="F461" s="1" t="s">
        <v>1925</v>
      </c>
      <c r="G461" s="22">
        <v>1597.4195774184566</v>
      </c>
      <c r="H461" s="20">
        <f ca="1">NOW() - TIME(5,30,0) + (VLOOKUP(MasterTable[[#This Row],[TimeZone]], $O$3:$P$8, 2, FALSE) / 24)</f>
        <v>45990.573544791667</v>
      </c>
      <c r="I461" s="1" t="s">
        <v>1944</v>
      </c>
      <c r="J461" s="1">
        <v>184.23</v>
      </c>
    </row>
    <row r="462" spans="1:10" x14ac:dyDescent="0.25">
      <c r="A462" s="1" t="s">
        <v>73</v>
      </c>
      <c r="B462" s="1" t="s">
        <v>74</v>
      </c>
      <c r="C462" s="1" t="s">
        <v>1137</v>
      </c>
      <c r="D462" s="1">
        <v>34.350900000000003</v>
      </c>
      <c r="E462" s="1">
        <v>-82.964200000000005</v>
      </c>
      <c r="F462" s="1" t="s">
        <v>1925</v>
      </c>
      <c r="G462" s="22">
        <v>1616.7285032161001</v>
      </c>
      <c r="H462" s="20">
        <f ca="1">NOW() - TIME(5,30,0) + (VLOOKUP(MasterTable[[#This Row],[TimeZone]], $O$3:$P$8, 2, FALSE) / 24)</f>
        <v>45990.573544791667</v>
      </c>
      <c r="I462" s="1" t="s">
        <v>1944</v>
      </c>
      <c r="J462" s="1">
        <v>256.42</v>
      </c>
    </row>
    <row r="463" spans="1:10" x14ac:dyDescent="0.25">
      <c r="A463" s="1" t="s">
        <v>73</v>
      </c>
      <c r="B463" s="1" t="s">
        <v>74</v>
      </c>
      <c r="C463" s="1" t="s">
        <v>1143</v>
      </c>
      <c r="D463" s="1">
        <v>33.2879</v>
      </c>
      <c r="E463" s="1">
        <v>-83.9572</v>
      </c>
      <c r="F463" s="1" t="s">
        <v>1925</v>
      </c>
      <c r="G463" s="22">
        <v>1564.5886513399632</v>
      </c>
      <c r="H463" s="20">
        <f ca="1">NOW() - TIME(5,30,0) + (VLOOKUP(MasterTable[[#This Row],[TimeZone]], $O$3:$P$8, 2, FALSE) / 24)</f>
        <v>45990.573544791667</v>
      </c>
      <c r="I463" s="1" t="s">
        <v>1944</v>
      </c>
      <c r="J463" s="1">
        <v>190.01</v>
      </c>
    </row>
    <row r="464" spans="1:10" x14ac:dyDescent="0.25">
      <c r="A464" s="1" t="s">
        <v>73</v>
      </c>
      <c r="B464" s="1" t="s">
        <v>74</v>
      </c>
      <c r="C464" s="1" t="s">
        <v>806</v>
      </c>
      <c r="D464" s="1">
        <v>30.874700000000001</v>
      </c>
      <c r="E464" s="1">
        <v>-84.234499999999997</v>
      </c>
      <c r="F464" s="1" t="s">
        <v>1925</v>
      </c>
      <c r="G464" s="22">
        <v>1570.4907290769777</v>
      </c>
      <c r="H464" s="20">
        <f ca="1">NOW() - TIME(5,30,0) + (VLOOKUP(MasterTable[[#This Row],[TimeZone]], $O$3:$P$8, 2, FALSE) / 24)</f>
        <v>45990.573544791667</v>
      </c>
      <c r="I464" s="1" t="s">
        <v>1944</v>
      </c>
      <c r="J464" s="1">
        <v>460.34</v>
      </c>
    </row>
    <row r="465" spans="1:10" x14ac:dyDescent="0.25">
      <c r="A465" s="1" t="s">
        <v>73</v>
      </c>
      <c r="B465" s="1" t="s">
        <v>74</v>
      </c>
      <c r="C465" s="1" t="s">
        <v>1000</v>
      </c>
      <c r="D465" s="1">
        <v>34.864100000000001</v>
      </c>
      <c r="E465" s="1">
        <v>-84.319800000000001</v>
      </c>
      <c r="F465" s="1" t="s">
        <v>1925</v>
      </c>
      <c r="G465" s="22">
        <v>1538.5958360860056</v>
      </c>
      <c r="H465" s="20">
        <f ca="1">NOW() - TIME(5,30,0) + (VLOOKUP(MasterTable[[#This Row],[TimeZone]], $O$3:$P$8, 2, FALSE) / 24)</f>
        <v>45990.573544791667</v>
      </c>
      <c r="I465" s="1" t="s">
        <v>1944</v>
      </c>
      <c r="J465" s="1">
        <v>391.43</v>
      </c>
    </row>
    <row r="466" spans="1:10" x14ac:dyDescent="0.25">
      <c r="A466" s="1" t="s">
        <v>73</v>
      </c>
      <c r="B466" s="1" t="s">
        <v>74</v>
      </c>
      <c r="C466" s="1" t="s">
        <v>177</v>
      </c>
      <c r="D466" s="1">
        <v>34.834099999999999</v>
      </c>
      <c r="E466" s="1">
        <v>-83.990700000000004</v>
      </c>
      <c r="F466" s="1" t="s">
        <v>1925</v>
      </c>
      <c r="G466" s="22">
        <v>1557.2878410031221</v>
      </c>
      <c r="H466" s="20">
        <f ca="1">NOW() - TIME(5,30,0) + (VLOOKUP(MasterTable[[#This Row],[TimeZone]], $O$3:$P$8, 2, FALSE) / 24)</f>
        <v>45990.573544791667</v>
      </c>
      <c r="I466" s="1" t="s">
        <v>1944</v>
      </c>
      <c r="J466" s="1">
        <v>1055.27</v>
      </c>
    </row>
    <row r="467" spans="1:10" x14ac:dyDescent="0.25">
      <c r="A467" s="1" t="s">
        <v>73</v>
      </c>
      <c r="B467" s="1" t="s">
        <v>74</v>
      </c>
      <c r="C467" s="1" t="s">
        <v>1172</v>
      </c>
      <c r="D467" s="1">
        <v>34.475000000000001</v>
      </c>
      <c r="E467" s="1">
        <v>-85.345299999999995</v>
      </c>
      <c r="F467" s="1" t="s">
        <v>1925</v>
      </c>
      <c r="G467" s="22">
        <v>1480.785677245362</v>
      </c>
      <c r="H467" s="20">
        <f ca="1">NOW() - TIME(5,30,0) + (VLOOKUP(MasterTable[[#This Row],[TimeZone]], $O$3:$P$8, 2, FALSE) / 24)</f>
        <v>45990.573544791667</v>
      </c>
      <c r="I467" s="1" t="s">
        <v>1944</v>
      </c>
      <c r="J467" s="1">
        <v>313.55</v>
      </c>
    </row>
    <row r="468" spans="1:10" x14ac:dyDescent="0.25">
      <c r="A468" s="1" t="s">
        <v>73</v>
      </c>
      <c r="B468" s="1" t="s">
        <v>74</v>
      </c>
      <c r="C468" s="1" t="s">
        <v>639</v>
      </c>
      <c r="D468" s="1">
        <v>33.061100000000003</v>
      </c>
      <c r="E468" s="1">
        <v>-82.000699999999995</v>
      </c>
      <c r="F468" s="1" t="s">
        <v>1925</v>
      </c>
      <c r="G468" s="22">
        <v>1678.7116780022943</v>
      </c>
      <c r="H468" s="20">
        <f ca="1">NOW() - TIME(5,30,0) + (VLOOKUP(MasterTable[[#This Row],[TimeZone]], $O$3:$P$8, 2, FALSE) / 24)</f>
        <v>45990.573544791667</v>
      </c>
      <c r="I468" s="1" t="s">
        <v>1944</v>
      </c>
      <c r="J468" s="1">
        <v>834.99</v>
      </c>
    </row>
    <row r="469" spans="1:10" x14ac:dyDescent="0.25">
      <c r="A469" s="1" t="s">
        <v>73</v>
      </c>
      <c r="B469" s="1" t="s">
        <v>74</v>
      </c>
      <c r="C469" s="1" t="s">
        <v>1186</v>
      </c>
      <c r="D469" s="1">
        <v>32.0458</v>
      </c>
      <c r="E469" s="1">
        <v>-82.058099999999996</v>
      </c>
      <c r="F469" s="1" t="s">
        <v>1925</v>
      </c>
      <c r="G469" s="22">
        <v>1684.0592286219389</v>
      </c>
      <c r="H469" s="20">
        <f ca="1">NOW() - TIME(5,30,0) + (VLOOKUP(MasterTable[[#This Row],[TimeZone]], $O$3:$P$8, 2, FALSE) / 24)</f>
        <v>45990.573544791667</v>
      </c>
      <c r="I469" s="1" t="s">
        <v>1944</v>
      </c>
      <c r="J469" s="1">
        <v>488.22</v>
      </c>
    </row>
    <row r="470" spans="1:10" x14ac:dyDescent="0.25">
      <c r="A470" s="1" t="s">
        <v>73</v>
      </c>
      <c r="B470" s="1" t="s">
        <v>74</v>
      </c>
      <c r="C470" s="1" t="s">
        <v>50</v>
      </c>
      <c r="D470" s="1">
        <v>34.375399999999999</v>
      </c>
      <c r="E470" s="1">
        <v>-83.229100000000003</v>
      </c>
      <c r="F470" s="1" t="s">
        <v>1925</v>
      </c>
      <c r="G470" s="22">
        <v>1601.5579688344267</v>
      </c>
      <c r="H470" s="20">
        <f ca="1">NOW() - TIME(5,30,0) + (VLOOKUP(MasterTable[[#This Row],[TimeZone]], $O$3:$P$8, 2, FALSE) / 24)</f>
        <v>45990.573544791667</v>
      </c>
      <c r="I470" s="1" t="s">
        <v>1944</v>
      </c>
      <c r="J470" s="1">
        <v>646.51</v>
      </c>
    </row>
    <row r="471" spans="1:10" x14ac:dyDescent="0.25">
      <c r="A471" s="1" t="s">
        <v>73</v>
      </c>
      <c r="B471" s="1" t="s">
        <v>74</v>
      </c>
      <c r="C471" s="1" t="s">
        <v>1208</v>
      </c>
      <c r="D471" s="1">
        <v>32.589700000000001</v>
      </c>
      <c r="E471" s="1">
        <v>-82.301699999999997</v>
      </c>
      <c r="F471" s="1" t="s">
        <v>1925</v>
      </c>
      <c r="G471" s="22">
        <v>1665.0092151399997</v>
      </c>
      <c r="H471" s="20">
        <f ca="1">NOW() - TIME(5,30,0) + (VLOOKUP(MasterTable[[#This Row],[TimeZone]], $O$3:$P$8, 2, FALSE) / 24)</f>
        <v>45990.573544791667</v>
      </c>
      <c r="I471" s="1" t="s">
        <v>1944</v>
      </c>
      <c r="J471" s="1">
        <v>690.33</v>
      </c>
    </row>
    <row r="472" spans="1:10" x14ac:dyDescent="0.25">
      <c r="A472" s="1" t="s">
        <v>73</v>
      </c>
      <c r="B472" s="1" t="s">
        <v>74</v>
      </c>
      <c r="C472" s="1" t="s">
        <v>604</v>
      </c>
      <c r="D472" s="1">
        <v>33.321800000000003</v>
      </c>
      <c r="E472" s="1">
        <v>-83.372799999999998</v>
      </c>
      <c r="F472" s="1" t="s">
        <v>1925</v>
      </c>
      <c r="G472" s="22">
        <v>1598.0207795168214</v>
      </c>
      <c r="H472" s="20">
        <f ca="1">NOW() - TIME(5,30,0) + (VLOOKUP(MasterTable[[#This Row],[TimeZone]], $O$3:$P$8, 2, FALSE) / 24)</f>
        <v>45990.573544791667</v>
      </c>
      <c r="I472" s="1" t="s">
        <v>1944</v>
      </c>
      <c r="J472" s="1">
        <v>827.16</v>
      </c>
    </row>
    <row r="473" spans="1:10" x14ac:dyDescent="0.25">
      <c r="A473" s="1" t="s">
        <v>73</v>
      </c>
      <c r="B473" s="1" t="s">
        <v>74</v>
      </c>
      <c r="C473" s="1" t="s">
        <v>1235</v>
      </c>
      <c r="D473" s="1">
        <v>33.482799999999997</v>
      </c>
      <c r="E473" s="1">
        <v>-82.481399999999994</v>
      </c>
      <c r="F473" s="1" t="s">
        <v>1925</v>
      </c>
      <c r="G473" s="22">
        <v>1648.3076916475029</v>
      </c>
      <c r="H473" s="20">
        <f ca="1">NOW() - TIME(5,30,0) + (VLOOKUP(MasterTable[[#This Row],[TimeZone]], $O$3:$P$8, 2, FALSE) / 24)</f>
        <v>45990.573544791667</v>
      </c>
      <c r="I473" s="1" t="s">
        <v>1944</v>
      </c>
      <c r="J473" s="1">
        <v>266.3</v>
      </c>
    </row>
    <row r="474" spans="1:10" x14ac:dyDescent="0.25">
      <c r="A474" s="1" t="s">
        <v>73</v>
      </c>
      <c r="B474" s="1" t="s">
        <v>74</v>
      </c>
      <c r="C474" s="1" t="s">
        <v>1243</v>
      </c>
      <c r="D474" s="1">
        <v>31.225300000000001</v>
      </c>
      <c r="E474" s="1">
        <v>-84.194299999999998</v>
      </c>
      <c r="F474" s="1" t="s">
        <v>1925</v>
      </c>
      <c r="G474" s="22">
        <v>1568.6298421062911</v>
      </c>
      <c r="H474" s="20">
        <f ca="1">NOW() - TIME(5,30,0) + (VLOOKUP(MasterTable[[#This Row],[TimeZone]], $O$3:$P$8, 2, FALSE) / 24)</f>
        <v>45990.573544791667</v>
      </c>
      <c r="I474" s="1" t="s">
        <v>1944</v>
      </c>
      <c r="J474" s="1">
        <v>513.80999999999995</v>
      </c>
    </row>
    <row r="475" spans="1:10" x14ac:dyDescent="0.25">
      <c r="A475" s="1" t="s">
        <v>73</v>
      </c>
      <c r="B475" s="1" t="s">
        <v>74</v>
      </c>
      <c r="C475" s="1" t="s">
        <v>1255</v>
      </c>
      <c r="D475" s="1">
        <v>33.040599999999998</v>
      </c>
      <c r="E475" s="1">
        <v>-84.688299999999998</v>
      </c>
      <c r="F475" s="1" t="s">
        <v>1925</v>
      </c>
      <c r="G475" s="22">
        <v>1523.9188458158867</v>
      </c>
      <c r="H475" s="20">
        <f ca="1">NOW() - TIME(5,30,0) + (VLOOKUP(MasterTable[[#This Row],[TimeZone]], $O$3:$P$8, 2, FALSE) / 24)</f>
        <v>45990.573544791667</v>
      </c>
      <c r="I475" s="1" t="s">
        <v>1944</v>
      </c>
      <c r="J475" s="1">
        <v>505.34</v>
      </c>
    </row>
    <row r="476" spans="1:10" x14ac:dyDescent="0.25">
      <c r="A476" s="1" t="s">
        <v>73</v>
      </c>
      <c r="B476" s="1" t="s">
        <v>74</v>
      </c>
      <c r="C476" s="1" t="s">
        <v>521</v>
      </c>
      <c r="D476" s="1">
        <v>33.590899999999998</v>
      </c>
      <c r="E476" s="1">
        <v>-83.4923</v>
      </c>
      <c r="F476" s="1" t="s">
        <v>1925</v>
      </c>
      <c r="G476" s="22">
        <v>1589.6764106964747</v>
      </c>
      <c r="H476" s="20">
        <f ca="1">NOW() - TIME(5,30,0) + (VLOOKUP(MasterTable[[#This Row],[TimeZone]], $O$3:$P$8, 2, FALSE) / 24)</f>
        <v>45990.573544791667</v>
      </c>
      <c r="I476" s="1" t="s">
        <v>1944</v>
      </c>
      <c r="J476" s="1">
        <v>599.05999999999995</v>
      </c>
    </row>
    <row r="477" spans="1:10" x14ac:dyDescent="0.25">
      <c r="A477" s="1" t="s">
        <v>73</v>
      </c>
      <c r="B477" s="1" t="s">
        <v>74</v>
      </c>
      <c r="C477" s="1" t="s">
        <v>1263</v>
      </c>
      <c r="D477" s="1">
        <v>31.551500000000001</v>
      </c>
      <c r="E477" s="1">
        <v>-83.850899999999996</v>
      </c>
      <c r="F477" s="1" t="s">
        <v>1925</v>
      </c>
      <c r="G477" s="22">
        <v>1585.0057063136401</v>
      </c>
      <c r="H477" s="20">
        <f ca="1">NOW() - TIME(5,30,0) + (VLOOKUP(MasterTable[[#This Row],[TimeZone]], $O$3:$P$8, 2, FALSE) / 24)</f>
        <v>45990.573544791667</v>
      </c>
      <c r="I477" s="1" t="s">
        <v>1944</v>
      </c>
      <c r="J477" s="1">
        <v>574.58000000000004</v>
      </c>
    </row>
    <row r="478" spans="1:10" x14ac:dyDescent="0.25">
      <c r="A478" s="1" t="s">
        <v>73</v>
      </c>
      <c r="B478" s="1" t="s">
        <v>74</v>
      </c>
      <c r="C478" s="1" t="s">
        <v>106</v>
      </c>
      <c r="D478" s="1">
        <v>31.358799999999999</v>
      </c>
      <c r="E478" s="1">
        <v>-82.212800000000001</v>
      </c>
      <c r="F478" s="1" t="s">
        <v>1925</v>
      </c>
      <c r="G478" s="22">
        <v>1682.4439730346178</v>
      </c>
      <c r="H478" s="20">
        <f ca="1">NOW() - TIME(5,30,0) + (VLOOKUP(MasterTable[[#This Row],[TimeZone]], $O$3:$P$8, 2, FALSE) / 24)</f>
        <v>45990.573544791667</v>
      </c>
      <c r="I478" s="1" t="s">
        <v>1944</v>
      </c>
      <c r="J478" s="1">
        <v>343.9</v>
      </c>
    </row>
    <row r="479" spans="1:10" x14ac:dyDescent="0.25">
      <c r="A479" s="1" t="s">
        <v>73</v>
      </c>
      <c r="B479" s="1" t="s">
        <v>74</v>
      </c>
      <c r="C479" s="1" t="s">
        <v>1275</v>
      </c>
      <c r="D479" s="1">
        <v>31.922899999999998</v>
      </c>
      <c r="E479" s="1">
        <v>-83.768100000000004</v>
      </c>
      <c r="F479" s="1" t="s">
        <v>1925</v>
      </c>
      <c r="G479" s="22">
        <v>1586.0417947901758</v>
      </c>
      <c r="H479" s="20">
        <f ca="1">NOW() - TIME(5,30,0) + (VLOOKUP(MasterTable[[#This Row],[TimeZone]], $O$3:$P$8, 2, FALSE) / 24)</f>
        <v>45990.573544791667</v>
      </c>
      <c r="I479" s="1" t="s">
        <v>1944</v>
      </c>
      <c r="J479" s="1">
        <v>281.2</v>
      </c>
    </row>
    <row r="480" spans="1:10" x14ac:dyDescent="0.25">
      <c r="A480" s="1" t="s">
        <v>73</v>
      </c>
      <c r="B480" s="1" t="s">
        <v>74</v>
      </c>
      <c r="C480" s="1" t="s">
        <v>634</v>
      </c>
      <c r="D480" s="1">
        <v>32.172199999999997</v>
      </c>
      <c r="E480" s="1">
        <v>-83.168400000000005</v>
      </c>
      <c r="F480" s="1" t="s">
        <v>1925</v>
      </c>
      <c r="G480" s="22">
        <v>1618.4919049801263</v>
      </c>
      <c r="H480" s="20">
        <f ca="1">NOW() - TIME(5,30,0) + (VLOOKUP(MasterTable[[#This Row],[TimeZone]], $O$3:$P$8, 2, FALSE) / 24)</f>
        <v>45990.573544791667</v>
      </c>
      <c r="I480" s="1" t="s">
        <v>1944</v>
      </c>
      <c r="J480" s="1">
        <v>503.17</v>
      </c>
    </row>
    <row r="481" spans="1:10" x14ac:dyDescent="0.25">
      <c r="A481" s="1" t="s">
        <v>73</v>
      </c>
      <c r="B481" s="1" t="s">
        <v>74</v>
      </c>
      <c r="C481" s="1" t="s">
        <v>28</v>
      </c>
      <c r="D481" s="1">
        <v>32.969499999999996</v>
      </c>
      <c r="E481" s="1">
        <v>-82.795900000000003</v>
      </c>
      <c r="F481" s="1" t="s">
        <v>1925</v>
      </c>
      <c r="G481" s="22">
        <v>1633.5423479590618</v>
      </c>
      <c r="H481" s="20">
        <f ca="1">NOW() - TIME(5,30,0) + (VLOOKUP(MasterTable[[#This Row],[TimeZone]], $O$3:$P$8, 2, FALSE) / 24)</f>
        <v>45990.573544791667</v>
      </c>
      <c r="I481" s="1" t="s">
        <v>1944</v>
      </c>
      <c r="J481" s="1">
        <v>1088.54</v>
      </c>
    </row>
    <row r="482" spans="1:10" x14ac:dyDescent="0.25">
      <c r="A482" s="1" t="s">
        <v>73</v>
      </c>
      <c r="B482" s="1" t="s">
        <v>74</v>
      </c>
      <c r="C482" s="1" t="s">
        <v>1122</v>
      </c>
      <c r="D482" s="1">
        <v>34.116799999999998</v>
      </c>
      <c r="E482" s="1">
        <v>-82.840100000000007</v>
      </c>
      <c r="F482" s="1" t="s">
        <v>1925</v>
      </c>
      <c r="G482" s="22">
        <v>1624.6491225596783</v>
      </c>
      <c r="H482" s="20">
        <f ca="1">NOW() - TIME(5,30,0) + (VLOOKUP(MasterTable[[#This Row],[TimeZone]], $O$3:$P$8, 2, FALSE) / 24)</f>
        <v>45990.573544791667</v>
      </c>
      <c r="I482" s="1" t="s">
        <v>1944</v>
      </c>
      <c r="J482" s="1">
        <v>1850.89</v>
      </c>
    </row>
    <row r="483" spans="1:10" x14ac:dyDescent="0.25">
      <c r="A483" s="1" t="s">
        <v>73</v>
      </c>
      <c r="B483" s="1" t="s">
        <v>74</v>
      </c>
      <c r="C483" s="1" t="s">
        <v>289</v>
      </c>
      <c r="D483" s="1">
        <v>33.578800000000001</v>
      </c>
      <c r="E483" s="1">
        <v>-83.166700000000006</v>
      </c>
      <c r="F483" s="1" t="s">
        <v>1925</v>
      </c>
      <c r="G483" s="22">
        <v>1608.4288539838435</v>
      </c>
      <c r="H483" s="20">
        <f ca="1">NOW() - TIME(5,30,0) + (VLOOKUP(MasterTable[[#This Row],[TimeZone]], $O$3:$P$8, 2, FALSE) / 24)</f>
        <v>45990.573544791667</v>
      </c>
      <c r="I483" s="1" t="s">
        <v>1944</v>
      </c>
      <c r="J483" s="1">
        <v>659.93</v>
      </c>
    </row>
    <row r="484" spans="1:10" x14ac:dyDescent="0.25">
      <c r="A484" s="1" t="s">
        <v>73</v>
      </c>
      <c r="B484" s="1" t="s">
        <v>74</v>
      </c>
      <c r="C484" s="1" t="s">
        <v>783</v>
      </c>
      <c r="D484" s="1">
        <v>33.092300000000002</v>
      </c>
      <c r="E484" s="1">
        <v>-84.389200000000002</v>
      </c>
      <c r="F484" s="1" t="s">
        <v>1925</v>
      </c>
      <c r="G484" s="22">
        <v>1540.8552879594004</v>
      </c>
      <c r="H484" s="20">
        <f ca="1">NOW() - TIME(5,30,0) + (VLOOKUP(MasterTable[[#This Row],[TimeZone]], $O$3:$P$8, 2, FALSE) / 24)</f>
        <v>45990.573544791667</v>
      </c>
      <c r="I484" s="1" t="s">
        <v>1944</v>
      </c>
      <c r="J484" s="1">
        <v>672.1</v>
      </c>
    </row>
    <row r="485" spans="1:10" x14ac:dyDescent="0.25">
      <c r="A485" s="1" t="s">
        <v>73</v>
      </c>
      <c r="B485" s="1" t="s">
        <v>74</v>
      </c>
      <c r="C485" s="1" t="s">
        <v>746</v>
      </c>
      <c r="D485" s="1">
        <v>33.076500000000003</v>
      </c>
      <c r="E485" s="1">
        <v>-84.139499999999998</v>
      </c>
      <c r="F485" s="1" t="s">
        <v>1925</v>
      </c>
      <c r="G485" s="22">
        <v>1555.3512995977394</v>
      </c>
      <c r="H485" s="20">
        <f ca="1">NOW() - TIME(5,30,0) + (VLOOKUP(MasterTable[[#This Row],[TimeZone]], $O$3:$P$8, 2, FALSE) / 24)</f>
        <v>45990.573544791667</v>
      </c>
      <c r="I485" s="1" t="s">
        <v>1944</v>
      </c>
      <c r="J485" s="1">
        <v>605.47</v>
      </c>
    </row>
    <row r="486" spans="1:10" x14ac:dyDescent="0.25">
      <c r="A486" s="1" t="s">
        <v>73</v>
      </c>
      <c r="B486" s="1" t="s">
        <v>74</v>
      </c>
      <c r="C486" s="1" t="s">
        <v>1302</v>
      </c>
      <c r="D486" s="1">
        <v>34.354300000000002</v>
      </c>
      <c r="E486" s="1">
        <v>-83.497200000000007</v>
      </c>
      <c r="F486" s="1" t="s">
        <v>1925</v>
      </c>
      <c r="G486" s="22">
        <v>1586.3428655277687</v>
      </c>
      <c r="H486" s="20">
        <f ca="1">NOW() - TIME(5,30,0) + (VLOOKUP(MasterTable[[#This Row],[TimeZone]], $O$3:$P$8, 2, FALSE) / 24)</f>
        <v>45990.573544791667</v>
      </c>
      <c r="I486" s="1" t="s">
        <v>1944</v>
      </c>
      <c r="J486" s="1">
        <v>233.87</v>
      </c>
    </row>
    <row r="487" spans="1:10" x14ac:dyDescent="0.25">
      <c r="A487" s="1" t="s">
        <v>73</v>
      </c>
      <c r="B487" s="1" t="s">
        <v>74</v>
      </c>
      <c r="C487" s="1" t="s">
        <v>1314</v>
      </c>
      <c r="D487" s="1">
        <v>31.749199999999998</v>
      </c>
      <c r="E487" s="1">
        <v>-82.288899999999998</v>
      </c>
      <c r="F487" s="1" t="s">
        <v>1925</v>
      </c>
      <c r="G487" s="22">
        <v>1673.6955558632626</v>
      </c>
      <c r="H487" s="20">
        <f ca="1">NOW() - TIME(5,30,0) + (VLOOKUP(MasterTable[[#This Row],[TimeZone]], $O$3:$P$8, 2, FALSE) / 24)</f>
        <v>45990.573544791667</v>
      </c>
      <c r="I487" s="1" t="s">
        <v>1944</v>
      </c>
      <c r="J487" s="1">
        <v>512.11</v>
      </c>
    </row>
    <row r="488" spans="1:10" x14ac:dyDescent="0.25">
      <c r="A488" s="1" t="s">
        <v>73</v>
      </c>
      <c r="B488" s="1" t="s">
        <v>74</v>
      </c>
      <c r="C488" s="1" t="s">
        <v>472</v>
      </c>
      <c r="D488" s="1">
        <v>31.276</v>
      </c>
      <c r="E488" s="1">
        <v>-83.229600000000005</v>
      </c>
      <c r="F488" s="1" t="s">
        <v>1925</v>
      </c>
      <c r="G488" s="22">
        <v>1624.2310562891253</v>
      </c>
      <c r="H488" s="20">
        <f ca="1">NOW() - TIME(5,30,0) + (VLOOKUP(MasterTable[[#This Row],[TimeZone]], $O$3:$P$8, 2, FALSE) / 24)</f>
        <v>45990.573544791667</v>
      </c>
      <c r="I488" s="1" t="s">
        <v>1944</v>
      </c>
      <c r="J488" s="1">
        <v>457.78</v>
      </c>
    </row>
    <row r="489" spans="1:10" x14ac:dyDescent="0.25">
      <c r="A489" s="1" t="s">
        <v>73</v>
      </c>
      <c r="B489" s="1" t="s">
        <v>74</v>
      </c>
      <c r="C489" s="1" t="s">
        <v>1321</v>
      </c>
      <c r="D489" s="1">
        <v>31.196899999999999</v>
      </c>
      <c r="E489" s="1">
        <v>-81.981899999999996</v>
      </c>
      <c r="F489" s="1" t="s">
        <v>1925</v>
      </c>
      <c r="G489" s="22">
        <v>1697.7940649444247</v>
      </c>
      <c r="H489" s="20">
        <f ca="1">NOW() - TIME(5,30,0) + (VLOOKUP(MasterTable[[#This Row],[TimeZone]], $O$3:$P$8, 2, FALSE) / 24)</f>
        <v>45990.573544791667</v>
      </c>
      <c r="I489" s="1" t="s">
        <v>1944</v>
      </c>
      <c r="J489" s="1">
        <v>447.42</v>
      </c>
    </row>
    <row r="490" spans="1:10" x14ac:dyDescent="0.25">
      <c r="A490" s="1" t="s">
        <v>73</v>
      </c>
      <c r="B490" s="1" t="s">
        <v>74</v>
      </c>
      <c r="C490" s="1" t="s">
        <v>1336</v>
      </c>
      <c r="D490" s="1">
        <v>31.752600000000001</v>
      </c>
      <c r="E490" s="1">
        <v>-81.745699999999999</v>
      </c>
      <c r="F490" s="1" t="s">
        <v>1925</v>
      </c>
      <c r="G490" s="22">
        <v>1705.1958805027639</v>
      </c>
      <c r="H490" s="20">
        <f ca="1">NOW() - TIME(5,30,0) + (VLOOKUP(MasterTable[[#This Row],[TimeZone]], $O$3:$P$8, 2, FALSE) / 24)</f>
        <v>45990.573544791667</v>
      </c>
      <c r="I490" s="1" t="s">
        <v>1944</v>
      </c>
      <c r="J490" s="1">
        <v>403.49</v>
      </c>
    </row>
    <row r="491" spans="1:10" x14ac:dyDescent="0.25">
      <c r="A491" s="1" t="s">
        <v>73</v>
      </c>
      <c r="B491" s="1" t="s">
        <v>74</v>
      </c>
      <c r="C491" s="1" t="s">
        <v>3</v>
      </c>
      <c r="D491" s="1">
        <v>31.154</v>
      </c>
      <c r="E491" s="1">
        <v>-83.430499999999995</v>
      </c>
      <c r="F491" s="1" t="s">
        <v>1925</v>
      </c>
      <c r="G491" s="22">
        <v>1613.960929796041</v>
      </c>
      <c r="H491" s="20">
        <f ca="1">NOW() - TIME(5,30,0) + (VLOOKUP(MasterTable[[#This Row],[TimeZone]], $O$3:$P$8, 2, FALSE) / 24)</f>
        <v>45990.573544791667</v>
      </c>
      <c r="I491" s="1" t="s">
        <v>1944</v>
      </c>
      <c r="J491" s="1">
        <v>233.22</v>
      </c>
    </row>
    <row r="492" spans="1:10" x14ac:dyDescent="0.25">
      <c r="A492" s="1" t="s">
        <v>73</v>
      </c>
      <c r="B492" s="1" t="s">
        <v>74</v>
      </c>
      <c r="C492" s="1" t="s">
        <v>1341</v>
      </c>
      <c r="D492" s="1">
        <v>31.759799999999998</v>
      </c>
      <c r="E492" s="1">
        <v>-83.220500000000001</v>
      </c>
      <c r="F492" s="1" t="s">
        <v>1925</v>
      </c>
      <c r="G492" s="22">
        <v>1619.4749231442431</v>
      </c>
      <c r="H492" s="20">
        <f ca="1">NOW() - TIME(5,30,0) + (VLOOKUP(MasterTable[[#This Row],[TimeZone]], $O$3:$P$8, 2, FALSE) / 24)</f>
        <v>45990.573544791667</v>
      </c>
      <c r="I492" s="1" t="s">
        <v>1944</v>
      </c>
      <c r="J492" s="1">
        <v>254.03</v>
      </c>
    </row>
    <row r="493" spans="1:10" x14ac:dyDescent="0.25">
      <c r="A493" s="1" t="s">
        <v>73</v>
      </c>
      <c r="B493" s="1" t="s">
        <v>74</v>
      </c>
      <c r="C493" s="1" t="s">
        <v>1344</v>
      </c>
      <c r="D493" s="1">
        <v>34.881799999999998</v>
      </c>
      <c r="E493" s="1">
        <v>-83.402000000000001</v>
      </c>
      <c r="F493" s="1" t="s">
        <v>1925</v>
      </c>
      <c r="G493" s="22">
        <v>1590.595791323806</v>
      </c>
      <c r="H493" s="20">
        <f ca="1">NOW() - TIME(5,30,0) + (VLOOKUP(MasterTable[[#This Row],[TimeZone]], $O$3:$P$8, 2, FALSE) / 24)</f>
        <v>45990.573544791667</v>
      </c>
      <c r="I493" s="1" t="s">
        <v>1944</v>
      </c>
      <c r="J493" s="1">
        <v>376.99</v>
      </c>
    </row>
    <row r="494" spans="1:10" x14ac:dyDescent="0.25">
      <c r="A494" s="1" t="s">
        <v>73</v>
      </c>
      <c r="B494" s="1" t="s">
        <v>74</v>
      </c>
      <c r="C494" s="1" t="s">
        <v>1371</v>
      </c>
      <c r="D494" s="1">
        <v>30.841999999999999</v>
      </c>
      <c r="E494" s="1">
        <v>-83.580200000000005</v>
      </c>
      <c r="F494" s="1" t="s">
        <v>1925</v>
      </c>
      <c r="G494" s="22">
        <v>1609.0639783099523</v>
      </c>
      <c r="H494" s="20">
        <f ca="1">NOW() - TIME(5,30,0) + (VLOOKUP(MasterTable[[#This Row],[TimeZone]], $O$3:$P$8, 2, FALSE) / 24)</f>
        <v>45990.573544791667</v>
      </c>
      <c r="I494" s="1" t="s">
        <v>1944</v>
      </c>
      <c r="J494" s="1">
        <v>497.77</v>
      </c>
    </row>
    <row r="495" spans="1:10" x14ac:dyDescent="0.25">
      <c r="A495" s="1" t="s">
        <v>73</v>
      </c>
      <c r="B495" s="1" t="s">
        <v>74</v>
      </c>
      <c r="C495" s="1" t="s">
        <v>1374</v>
      </c>
      <c r="D495" s="1">
        <v>34.854599999999998</v>
      </c>
      <c r="E495" s="1">
        <v>-85.504400000000004</v>
      </c>
      <c r="F495" s="1" t="s">
        <v>1925</v>
      </c>
      <c r="G495" s="22">
        <v>1471.4384653221916</v>
      </c>
      <c r="H495" s="20">
        <f ca="1">NOW() - TIME(5,30,0) + (VLOOKUP(MasterTable[[#This Row],[TimeZone]], $O$3:$P$8, 2, FALSE) / 24)</f>
        <v>45990.573544791667</v>
      </c>
      <c r="I495" s="1" t="s">
        <v>1944</v>
      </c>
      <c r="J495" s="1">
        <v>174.16</v>
      </c>
    </row>
    <row r="496" spans="1:10" x14ac:dyDescent="0.25">
      <c r="A496" s="1" t="s">
        <v>73</v>
      </c>
      <c r="B496" s="1" t="s">
        <v>74</v>
      </c>
      <c r="C496" s="1" t="s">
        <v>129</v>
      </c>
      <c r="D496" s="1">
        <v>33.054900000000004</v>
      </c>
      <c r="E496" s="1">
        <v>-82.418199999999999</v>
      </c>
      <c r="F496" s="1" t="s">
        <v>1925</v>
      </c>
      <c r="G496" s="22">
        <v>1654.7066668397281</v>
      </c>
      <c r="H496" s="20">
        <f ca="1">NOW() - TIME(5,30,0) + (VLOOKUP(MasterTable[[#This Row],[TimeZone]], $O$3:$P$8, 2, FALSE) / 24)</f>
        <v>45990.573544791667</v>
      </c>
      <c r="I496" s="1" t="s">
        <v>1944</v>
      </c>
      <c r="J496" s="1">
        <v>1123.8</v>
      </c>
    </row>
    <row r="497" spans="1:10" x14ac:dyDescent="0.25">
      <c r="A497" s="1" t="s">
        <v>73</v>
      </c>
      <c r="B497" s="1" t="s">
        <v>74</v>
      </c>
      <c r="C497" s="1" t="s">
        <v>522</v>
      </c>
      <c r="D497" s="1">
        <v>33.316499999999998</v>
      </c>
      <c r="E497" s="1">
        <v>-83.688000000000002</v>
      </c>
      <c r="F497" s="1" t="s">
        <v>1925</v>
      </c>
      <c r="G497" s="22">
        <v>1579.9170746161294</v>
      </c>
      <c r="H497" s="20">
        <f ca="1">NOW() - TIME(5,30,0) + (VLOOKUP(MasterTable[[#This Row],[TimeZone]], $O$3:$P$8, 2, FALSE) / 24)</f>
        <v>45990.573544791667</v>
      </c>
      <c r="I497" s="1" t="s">
        <v>1944</v>
      </c>
      <c r="J497" s="1">
        <v>373.58</v>
      </c>
    </row>
    <row r="498" spans="1:10" x14ac:dyDescent="0.25">
      <c r="A498" s="1" t="s">
        <v>73</v>
      </c>
      <c r="B498" s="1" t="s">
        <v>74</v>
      </c>
      <c r="C498" s="1" t="s">
        <v>1397</v>
      </c>
      <c r="D498" s="1">
        <v>33.880699999999997</v>
      </c>
      <c r="E498" s="1">
        <v>-83.080699999999993</v>
      </c>
      <c r="F498" s="1" t="s">
        <v>1925</v>
      </c>
      <c r="G498" s="22">
        <v>1611.8866102003446</v>
      </c>
      <c r="H498" s="20">
        <f ca="1">NOW() - TIME(5,30,0) + (VLOOKUP(MasterTable[[#This Row],[TimeZone]], $O$3:$P$8, 2, FALSE) / 24)</f>
        <v>45990.573544791667</v>
      </c>
      <c r="I498" s="1" t="s">
        <v>1944</v>
      </c>
      <c r="J498" s="1">
        <v>442.17</v>
      </c>
    </row>
    <row r="499" spans="1:10" x14ac:dyDescent="0.25">
      <c r="A499" s="1" t="s">
        <v>73</v>
      </c>
      <c r="B499" s="1" t="s">
        <v>74</v>
      </c>
      <c r="C499" s="1" t="s">
        <v>1406</v>
      </c>
      <c r="D499" s="1">
        <v>31.805599999999998</v>
      </c>
      <c r="E499" s="1">
        <v>-82.636799999999994</v>
      </c>
      <c r="F499" s="1" t="s">
        <v>1925</v>
      </c>
      <c r="G499" s="22">
        <v>1652.9057838913575</v>
      </c>
      <c r="H499" s="20">
        <f ca="1">NOW() - TIME(5,30,0) + (VLOOKUP(MasterTable[[#This Row],[TimeZone]], $O$3:$P$8, 2, FALSE) / 24)</f>
        <v>45990.573544791667</v>
      </c>
      <c r="I499" s="1" t="s">
        <v>1944</v>
      </c>
      <c r="J499" s="1">
        <v>335.42</v>
      </c>
    </row>
    <row r="500" spans="1:10" x14ac:dyDescent="0.25">
      <c r="A500" s="1" t="s">
        <v>73</v>
      </c>
      <c r="B500" s="1" t="s">
        <v>74</v>
      </c>
      <c r="C500" s="1" t="s">
        <v>1434</v>
      </c>
      <c r="D500" s="1">
        <v>32.750599999999999</v>
      </c>
      <c r="E500" s="1">
        <v>-81.611999999999995</v>
      </c>
      <c r="F500" s="1" t="s">
        <v>1925</v>
      </c>
      <c r="G500" s="22">
        <v>1703.510114064364</v>
      </c>
      <c r="H500" s="20">
        <f ca="1">NOW() - TIME(5,30,0) + (VLOOKUP(MasterTable[[#This Row],[TimeZone]], $O$3:$P$8, 2, FALSE) / 24)</f>
        <v>45990.573544791667</v>
      </c>
      <c r="I500" s="1" t="s">
        <v>1944</v>
      </c>
      <c r="J500" s="1">
        <v>655.59</v>
      </c>
    </row>
    <row r="501" spans="1:10" x14ac:dyDescent="0.25">
      <c r="A501" s="1" t="s">
        <v>73</v>
      </c>
      <c r="B501" s="1" t="s">
        <v>74</v>
      </c>
      <c r="C501" s="1" t="s">
        <v>1473</v>
      </c>
      <c r="D501" s="1">
        <v>34.916699999999999</v>
      </c>
      <c r="E501" s="1">
        <v>-83.737300000000005</v>
      </c>
      <c r="F501" s="1" t="s">
        <v>1925</v>
      </c>
      <c r="G501" s="22">
        <v>1571.5514746423228</v>
      </c>
      <c r="H501" s="20">
        <f ca="1">NOW() - TIME(5,30,0) + (VLOOKUP(MasterTable[[#This Row],[TimeZone]], $O$3:$P$8, 2, FALSE) / 24)</f>
        <v>45990.573544791667</v>
      </c>
      <c r="I501" s="1" t="s">
        <v>1944</v>
      </c>
      <c r="J501" s="1">
        <v>172.01</v>
      </c>
    </row>
    <row r="502" spans="1:10" x14ac:dyDescent="0.25">
      <c r="A502" s="1" t="s">
        <v>73</v>
      </c>
      <c r="B502" s="1" t="s">
        <v>74</v>
      </c>
      <c r="C502" s="1" t="s">
        <v>1475</v>
      </c>
      <c r="D502" s="1">
        <v>30.781700000000001</v>
      </c>
      <c r="E502" s="1">
        <v>-82.137900000000002</v>
      </c>
      <c r="F502" s="1" t="s">
        <v>1925</v>
      </c>
      <c r="G502" s="22">
        <v>1693.9319111085033</v>
      </c>
      <c r="H502" s="20">
        <f ca="1">NOW() - TIME(5,30,0) + (VLOOKUP(MasterTable[[#This Row],[TimeZone]], $O$3:$P$8, 2, FALSE) / 24)</f>
        <v>45990.573544791667</v>
      </c>
      <c r="I502" s="1" t="s">
        <v>1944</v>
      </c>
      <c r="J502" s="1">
        <v>782.97</v>
      </c>
    </row>
    <row r="503" spans="1:10" x14ac:dyDescent="0.25">
      <c r="A503" s="1" t="s">
        <v>73</v>
      </c>
      <c r="B503" s="1" t="s">
        <v>74</v>
      </c>
      <c r="C503" s="1" t="s">
        <v>1484</v>
      </c>
      <c r="D503" s="1">
        <v>32.434399999999997</v>
      </c>
      <c r="E503" s="1">
        <v>-83.327799999999996</v>
      </c>
      <c r="F503" s="1" t="s">
        <v>1925</v>
      </c>
      <c r="G503" s="22">
        <v>1606.9572559666969</v>
      </c>
      <c r="H503" s="20">
        <f ca="1">NOW() - TIME(5,30,0) + (VLOOKUP(MasterTable[[#This Row],[TimeZone]], $O$3:$P$8, 2, FALSE) / 24)</f>
        <v>45990.573544791667</v>
      </c>
      <c r="I503" s="1" t="s">
        <v>1944</v>
      </c>
      <c r="J503" s="1">
        <v>219.14</v>
      </c>
    </row>
    <row r="504" spans="1:10" x14ac:dyDescent="0.25">
      <c r="A504" s="1" t="s">
        <v>73</v>
      </c>
      <c r="B504" s="1" t="s">
        <v>74</v>
      </c>
      <c r="C504" s="1" t="s">
        <v>655</v>
      </c>
      <c r="D504" s="1">
        <v>32.714500000000001</v>
      </c>
      <c r="E504" s="1">
        <v>-83.9863</v>
      </c>
      <c r="F504" s="1" t="s">
        <v>1925</v>
      </c>
      <c r="G504" s="22">
        <v>1566.6590452754097</v>
      </c>
      <c r="H504" s="20">
        <f ca="1">NOW() - TIME(5,30,0) + (VLOOKUP(MasterTable[[#This Row],[TimeZone]], $O$3:$P$8, 2, FALSE) / 24)</f>
        <v>45990.573544791667</v>
      </c>
      <c r="I504" s="1" t="s">
        <v>1944</v>
      </c>
      <c r="J504" s="1">
        <v>604.20000000000005</v>
      </c>
    </row>
    <row r="505" spans="1:10" x14ac:dyDescent="0.25">
      <c r="A505" s="1" t="s">
        <v>73</v>
      </c>
      <c r="B505" s="1" t="s">
        <v>74</v>
      </c>
      <c r="C505" s="1" t="s">
        <v>1495</v>
      </c>
      <c r="D505" s="1">
        <v>31.9298</v>
      </c>
      <c r="E505" s="1">
        <v>-82.938999999999993</v>
      </c>
      <c r="F505" s="1" t="s">
        <v>1925</v>
      </c>
      <c r="G505" s="22">
        <v>1634.1078135446546</v>
      </c>
      <c r="H505" s="20">
        <f ca="1">NOW() - TIME(5,30,0) + (VLOOKUP(MasterTable[[#This Row],[TimeZone]], $O$3:$P$8, 2, FALSE) / 24)</f>
        <v>45990.573544791667</v>
      </c>
      <c r="I505" s="1" t="s">
        <v>1944</v>
      </c>
      <c r="J505" s="1">
        <v>444.08</v>
      </c>
    </row>
    <row r="506" spans="1:10" x14ac:dyDescent="0.25">
      <c r="A506" s="1" t="s">
        <v>73</v>
      </c>
      <c r="B506" s="1" t="s">
        <v>74</v>
      </c>
      <c r="C506" s="1" t="s">
        <v>583</v>
      </c>
      <c r="D506" s="1">
        <v>32.358400000000003</v>
      </c>
      <c r="E506" s="1">
        <v>-84.042500000000004</v>
      </c>
      <c r="F506" s="1" t="s">
        <v>1925</v>
      </c>
      <c r="G506" s="22">
        <v>1566.2016736180474</v>
      </c>
      <c r="H506" s="20">
        <f ca="1">NOW() - TIME(5,30,0) + (VLOOKUP(MasterTable[[#This Row],[TimeZone]], $O$3:$P$8, 2, FALSE) / 24)</f>
        <v>45990.573544791667</v>
      </c>
      <c r="I506" s="1" t="s">
        <v>1944</v>
      </c>
      <c r="J506" s="1">
        <v>613.24</v>
      </c>
    </row>
    <row r="507" spans="1:10" x14ac:dyDescent="0.25">
      <c r="A507" s="1" t="s">
        <v>73</v>
      </c>
      <c r="B507" s="1" t="s">
        <v>74</v>
      </c>
      <c r="C507" s="1" t="s">
        <v>1510</v>
      </c>
      <c r="D507" s="1">
        <v>33.296999999999997</v>
      </c>
      <c r="E507" s="1">
        <v>-85.128299999999996</v>
      </c>
      <c r="F507" s="1" t="s">
        <v>1925</v>
      </c>
      <c r="G507" s="22">
        <v>1497.1096334237354</v>
      </c>
      <c r="H507" s="20">
        <f ca="1">NOW() - TIME(5,30,0) + (VLOOKUP(MasterTable[[#This Row],[TimeZone]], $O$3:$P$8, 2, FALSE) / 24)</f>
        <v>45990.573544791667</v>
      </c>
      <c r="I507" s="1" t="s">
        <v>1944</v>
      </c>
      <c r="J507" s="1">
        <v>301.08</v>
      </c>
    </row>
    <row r="508" spans="1:10" x14ac:dyDescent="0.25">
      <c r="A508" s="1" t="s">
        <v>73</v>
      </c>
      <c r="B508" s="1" t="s">
        <v>74</v>
      </c>
      <c r="C508" s="1" t="s">
        <v>1293</v>
      </c>
      <c r="D508" s="1">
        <v>31.496300000000002</v>
      </c>
      <c r="E508" s="1">
        <v>-81.410300000000007</v>
      </c>
      <c r="F508" s="1" t="s">
        <v>1925</v>
      </c>
      <c r="G508" s="22">
        <v>1727.5137962118704</v>
      </c>
      <c r="H508" s="20">
        <f ca="1">NOW() - TIME(5,30,0) + (VLOOKUP(MasterTable[[#This Row],[TimeZone]], $O$3:$P$8, 2, FALSE) / 24)</f>
        <v>45990.573544791667</v>
      </c>
      <c r="I508" s="1" t="s">
        <v>1944</v>
      </c>
      <c r="J508" s="1">
        <v>574.53</v>
      </c>
    </row>
    <row r="509" spans="1:10" x14ac:dyDescent="0.25">
      <c r="A509" s="1" t="s">
        <v>73</v>
      </c>
      <c r="B509" s="1" t="s">
        <v>74</v>
      </c>
      <c r="C509" s="1" t="s">
        <v>1521</v>
      </c>
      <c r="D509" s="1">
        <v>31.553699999999999</v>
      </c>
      <c r="E509" s="1">
        <v>-82.452699999999993</v>
      </c>
      <c r="F509" s="1" t="s">
        <v>1925</v>
      </c>
      <c r="G509" s="22">
        <v>1666.2894159731848</v>
      </c>
      <c r="H509" s="20">
        <f ca="1">NOW() - TIME(5,30,0) + (VLOOKUP(MasterTable[[#This Row],[TimeZone]], $O$3:$P$8, 2, FALSE) / 24)</f>
        <v>45990.573544791667</v>
      </c>
      <c r="I509" s="1" t="s">
        <v>1944</v>
      </c>
      <c r="J509" s="1">
        <v>285.92</v>
      </c>
    </row>
    <row r="510" spans="1:10" x14ac:dyDescent="0.25">
      <c r="A510" s="1" t="s">
        <v>73</v>
      </c>
      <c r="B510" s="1" t="s">
        <v>74</v>
      </c>
      <c r="C510" s="1" t="s">
        <v>1523</v>
      </c>
      <c r="D510" s="1">
        <v>32.157200000000003</v>
      </c>
      <c r="E510" s="1">
        <v>-83.7988</v>
      </c>
      <c r="F510" s="1" t="s">
        <v>1925</v>
      </c>
      <c r="G510" s="22">
        <v>1582.0740379135334</v>
      </c>
      <c r="H510" s="20">
        <f ca="1">NOW() - TIME(5,30,0) + (VLOOKUP(MasterTable[[#This Row],[TimeZone]], $O$3:$P$8, 2, FALSE) / 24)</f>
        <v>45990.573544791667</v>
      </c>
      <c r="I510" s="1" t="s">
        <v>1944</v>
      </c>
      <c r="J510" s="1">
        <v>397.07</v>
      </c>
    </row>
    <row r="511" spans="1:10" x14ac:dyDescent="0.25">
      <c r="A511" s="1" t="s">
        <v>73</v>
      </c>
      <c r="B511" s="1" t="s">
        <v>74</v>
      </c>
      <c r="C511" s="1" t="s">
        <v>1524</v>
      </c>
      <c r="D511" s="1">
        <v>32.403399999999998</v>
      </c>
      <c r="E511" s="1">
        <v>-82.073700000000002</v>
      </c>
      <c r="F511" s="1" t="s">
        <v>1925</v>
      </c>
      <c r="G511" s="22">
        <v>1679.7999126075879</v>
      </c>
      <c r="H511" s="20">
        <f ca="1">NOW() - TIME(5,30,0) + (VLOOKUP(MasterTable[[#This Row],[TimeZone]], $O$3:$P$8, 2, FALSE) / 24)</f>
        <v>45990.573544791667</v>
      </c>
      <c r="I511" s="1" t="s">
        <v>1944</v>
      </c>
      <c r="J511" s="1">
        <v>248.81</v>
      </c>
    </row>
    <row r="512" spans="1:10" x14ac:dyDescent="0.25">
      <c r="A512" s="1" t="s">
        <v>73</v>
      </c>
      <c r="B512" s="1" t="s">
        <v>74</v>
      </c>
      <c r="C512" s="1" t="s">
        <v>1532</v>
      </c>
      <c r="D512" s="1">
        <v>32.156799999999997</v>
      </c>
      <c r="E512" s="1">
        <v>-81.886899999999997</v>
      </c>
      <c r="F512" s="1" t="s">
        <v>1925</v>
      </c>
      <c r="G512" s="22">
        <v>1692.8992900962282</v>
      </c>
      <c r="H512" s="20">
        <f ca="1">NOW() - TIME(5,30,0) + (VLOOKUP(MasterTable[[#This Row],[TimeZone]], $O$3:$P$8, 2, FALSE) / 24)</f>
        <v>45990.573544791667</v>
      </c>
      <c r="I512" s="1" t="s">
        <v>1944</v>
      </c>
      <c r="J512" s="1">
        <v>186.88</v>
      </c>
    </row>
    <row r="513" spans="1:10" x14ac:dyDescent="0.25">
      <c r="A513" s="1" t="s">
        <v>73</v>
      </c>
      <c r="B513" s="1" t="s">
        <v>74</v>
      </c>
      <c r="C513" s="1" t="s">
        <v>1533</v>
      </c>
      <c r="D513" s="1">
        <v>31.322800000000001</v>
      </c>
      <c r="E513" s="1">
        <v>-84.903599999999997</v>
      </c>
      <c r="F513" s="1" t="s">
        <v>1925</v>
      </c>
      <c r="G513" s="22">
        <v>1526.2027554279618</v>
      </c>
      <c r="H513" s="20">
        <f ca="1">NOW() - TIME(5,30,0) + (VLOOKUP(MasterTable[[#This Row],[TimeZone]], $O$3:$P$8, 2, FALSE) / 24)</f>
        <v>45990.573544791667</v>
      </c>
      <c r="I513" s="1" t="s">
        <v>1944</v>
      </c>
      <c r="J513" s="1">
        <v>516.27</v>
      </c>
    </row>
    <row r="514" spans="1:10" x14ac:dyDescent="0.25">
      <c r="A514" s="1" t="s">
        <v>73</v>
      </c>
      <c r="B514" s="1" t="s">
        <v>74</v>
      </c>
      <c r="C514" s="1" t="s">
        <v>1550</v>
      </c>
      <c r="D514" s="1">
        <v>31.0379</v>
      </c>
      <c r="E514" s="1">
        <v>-83.062799999999996</v>
      </c>
      <c r="F514" s="1" t="s">
        <v>1925</v>
      </c>
      <c r="G514" s="22">
        <v>1636.7832638836553</v>
      </c>
      <c r="H514" s="20">
        <f ca="1">NOW() - TIME(5,30,0) + (VLOOKUP(MasterTable[[#This Row],[TimeZone]], $O$3:$P$8, 2, FALSE) / 24)</f>
        <v>45990.573544791667</v>
      </c>
      <c r="I514" s="1" t="s">
        <v>1944</v>
      </c>
      <c r="J514" s="1">
        <v>199.83</v>
      </c>
    </row>
    <row r="515" spans="1:10" x14ac:dyDescent="0.25">
      <c r="A515" s="1" t="s">
        <v>73</v>
      </c>
      <c r="B515" s="1" t="s">
        <v>74</v>
      </c>
      <c r="C515" s="1" t="s">
        <v>241</v>
      </c>
      <c r="D515" s="1">
        <v>32.232300000000002</v>
      </c>
      <c r="E515" s="1">
        <v>-83.475999999999999</v>
      </c>
      <c r="F515" s="1" t="s">
        <v>1925</v>
      </c>
      <c r="G515" s="22">
        <v>1600.1186176751705</v>
      </c>
      <c r="H515" s="20">
        <f ca="1">NOW() - TIME(5,30,0) + (VLOOKUP(MasterTable[[#This Row],[TimeZone]], $O$3:$P$8, 2, FALSE) / 24)</f>
        <v>45990.573544791667</v>
      </c>
      <c r="I515" s="1" t="s">
        <v>1944</v>
      </c>
      <c r="J515" s="1">
        <v>807.84</v>
      </c>
    </row>
    <row r="516" spans="1:10" x14ac:dyDescent="0.25">
      <c r="A516" s="1" t="s">
        <v>73</v>
      </c>
      <c r="B516" s="1" t="s">
        <v>74</v>
      </c>
      <c r="C516" s="1" t="s">
        <v>739</v>
      </c>
      <c r="D516" s="1">
        <v>33.781999999999996</v>
      </c>
      <c r="E516" s="1">
        <v>-82.743200000000002</v>
      </c>
      <c r="F516" s="1" t="s">
        <v>1925</v>
      </c>
      <c r="G516" s="22">
        <v>1631.6774897373941</v>
      </c>
      <c r="H516" s="20">
        <f ca="1">NOW() - TIME(5,30,0) + (VLOOKUP(MasterTable[[#This Row],[TimeZone]], $O$3:$P$8, 2, FALSE) / 24)</f>
        <v>45990.573544791667</v>
      </c>
      <c r="I516" s="1" t="s">
        <v>1944</v>
      </c>
      <c r="J516" s="1">
        <v>474</v>
      </c>
    </row>
    <row r="517" spans="1:10" x14ac:dyDescent="0.25">
      <c r="A517" s="1" t="s">
        <v>73</v>
      </c>
      <c r="B517" s="1" t="s">
        <v>74</v>
      </c>
      <c r="C517" s="1" t="s">
        <v>1577</v>
      </c>
      <c r="D517" s="1">
        <v>31.6022</v>
      </c>
      <c r="E517" s="1">
        <v>-83.276399999999995</v>
      </c>
      <c r="F517" s="1" t="s">
        <v>1925</v>
      </c>
      <c r="G517" s="22">
        <v>1617.8770590871125</v>
      </c>
      <c r="H517" s="20">
        <f ca="1">NOW() - TIME(5,30,0) + (VLOOKUP(MasterTable[[#This Row],[TimeZone]], $O$3:$P$8, 2, FALSE) / 24)</f>
        <v>45990.573544791667</v>
      </c>
      <c r="I517" s="1" t="s">
        <v>1944</v>
      </c>
      <c r="J517" s="1">
        <v>362.73</v>
      </c>
    </row>
    <row r="518" spans="1:10" x14ac:dyDescent="0.25">
      <c r="A518" s="1" t="s">
        <v>73</v>
      </c>
      <c r="B518" s="1" t="s">
        <v>74</v>
      </c>
      <c r="C518" s="1" t="s">
        <v>165</v>
      </c>
      <c r="D518" s="1">
        <v>32.701500000000003</v>
      </c>
      <c r="E518" s="1">
        <v>-82.6601</v>
      </c>
      <c r="F518" s="1" t="s">
        <v>1925</v>
      </c>
      <c r="G518" s="22">
        <v>1643.3934318094662</v>
      </c>
      <c r="H518" s="20">
        <f ca="1">NOW() - TIME(5,30,0) + (VLOOKUP(MasterTable[[#This Row],[TimeZone]], $O$3:$P$8, 2, FALSE) / 24)</f>
        <v>45990.573544791667</v>
      </c>
      <c r="I518" s="1" t="s">
        <v>1944</v>
      </c>
      <c r="J518" s="1">
        <v>682.74</v>
      </c>
    </row>
    <row r="519" spans="1:10" x14ac:dyDescent="0.25">
      <c r="A519" s="1" t="s">
        <v>73</v>
      </c>
      <c r="B519" s="1" t="s">
        <v>74</v>
      </c>
      <c r="C519" s="1" t="s">
        <v>1583</v>
      </c>
      <c r="D519" s="1">
        <v>32.347000000000001</v>
      </c>
      <c r="E519" s="1">
        <v>-84.787000000000006</v>
      </c>
      <c r="F519" s="1" t="s">
        <v>1925</v>
      </c>
      <c r="G519" s="22">
        <v>1523.1475343641318</v>
      </c>
      <c r="H519" s="20">
        <f ca="1">NOW() - TIME(5,30,0) + (VLOOKUP(MasterTable[[#This Row],[TimeZone]], $O$3:$P$8, 2, FALSE) / 24)</f>
        <v>45990.573544791667</v>
      </c>
      <c r="I519" s="1" t="s">
        <v>1944</v>
      </c>
      <c r="J519" s="1">
        <v>251.17</v>
      </c>
    </row>
    <row r="520" spans="1:10" x14ac:dyDescent="0.25">
      <c r="A520" s="1" t="s">
        <v>73</v>
      </c>
      <c r="B520" s="1" t="s">
        <v>74</v>
      </c>
      <c r="C520" s="1" t="s">
        <v>209</v>
      </c>
      <c r="D520" s="1">
        <v>30.938800000000001</v>
      </c>
      <c r="E520" s="1">
        <v>-84.868799999999993</v>
      </c>
      <c r="F520" s="1" t="s">
        <v>1925</v>
      </c>
      <c r="G520" s="22">
        <v>1532.6989661924129</v>
      </c>
      <c r="H520" s="20">
        <f ca="1">NOW() - TIME(5,30,0) + (VLOOKUP(MasterTable[[#This Row],[TimeZone]], $O$3:$P$8, 2, FALSE) / 24)</f>
        <v>45990.573544791667</v>
      </c>
      <c r="I520" s="1" t="s">
        <v>1944</v>
      </c>
      <c r="J520" s="1">
        <v>344.87</v>
      </c>
    </row>
    <row r="521" spans="1:10" x14ac:dyDescent="0.25">
      <c r="A521" s="1" t="s">
        <v>73</v>
      </c>
      <c r="B521" s="1" t="s">
        <v>74</v>
      </c>
      <c r="C521" s="1" t="s">
        <v>1588</v>
      </c>
      <c r="D521" s="1">
        <v>31.777000000000001</v>
      </c>
      <c r="E521" s="1">
        <v>-84.436999999999998</v>
      </c>
      <c r="F521" s="1" t="s">
        <v>1925</v>
      </c>
      <c r="G521" s="22">
        <v>1548.6016407114776</v>
      </c>
      <c r="H521" s="20">
        <f ca="1">NOW() - TIME(5,30,0) + (VLOOKUP(MasterTable[[#This Row],[TimeZone]], $O$3:$P$8, 2, FALSE) / 24)</f>
        <v>45990.573544791667</v>
      </c>
      <c r="I521" s="1" t="s">
        <v>1944</v>
      </c>
      <c r="J521" s="1">
        <v>337.63</v>
      </c>
    </row>
    <row r="522" spans="1:10" x14ac:dyDescent="0.25">
      <c r="A522" s="1" t="s">
        <v>73</v>
      </c>
      <c r="B522" s="1" t="s">
        <v>74</v>
      </c>
      <c r="C522" s="1" t="s">
        <v>1590</v>
      </c>
      <c r="D522" s="1">
        <v>31.7164</v>
      </c>
      <c r="E522" s="1">
        <v>-83.624099999999999</v>
      </c>
      <c r="F522" s="1" t="s">
        <v>1925</v>
      </c>
      <c r="G522" s="22">
        <v>1596.4668908525671</v>
      </c>
      <c r="H522" s="20">
        <f ca="1">NOW() - TIME(5,30,0) + (VLOOKUP(MasterTable[[#This Row],[TimeZone]], $O$3:$P$8, 2, FALSE) / 24)</f>
        <v>45990.573544791667</v>
      </c>
      <c r="I522" s="1" t="s">
        <v>1944</v>
      </c>
      <c r="J522" s="1">
        <v>289.85000000000002</v>
      </c>
    </row>
    <row r="523" spans="1:10" x14ac:dyDescent="0.25">
      <c r="A523" s="1" t="s">
        <v>73</v>
      </c>
      <c r="B523" s="1" t="s">
        <v>74</v>
      </c>
      <c r="C523" s="1" t="s">
        <v>1596</v>
      </c>
      <c r="D523" s="1">
        <v>32.802399999999999</v>
      </c>
      <c r="E523" s="1">
        <v>-83.171199999999999</v>
      </c>
      <c r="F523" s="1" t="s">
        <v>1925</v>
      </c>
      <c r="G523" s="22">
        <v>1613.1020352318433</v>
      </c>
      <c r="H523" s="20">
        <f ca="1">NOW() - TIME(5,30,0) + (VLOOKUP(MasterTable[[#This Row],[TimeZone]], $O$3:$P$8, 2, FALSE) / 24)</f>
        <v>45990.573544791667</v>
      </c>
      <c r="I523" s="1" t="s">
        <v>1944</v>
      </c>
      <c r="J523" s="1">
        <v>452.01</v>
      </c>
    </row>
    <row r="524" spans="1:10" x14ac:dyDescent="0.25">
      <c r="A524" s="1" t="s">
        <v>73</v>
      </c>
      <c r="B524" s="1" t="s">
        <v>74</v>
      </c>
      <c r="C524" s="1" t="s">
        <v>1541</v>
      </c>
      <c r="D524" s="1">
        <v>31.972899999999999</v>
      </c>
      <c r="E524" s="1">
        <v>-83.432299999999998</v>
      </c>
      <c r="F524" s="1" t="s">
        <v>1925</v>
      </c>
      <c r="G524" s="22">
        <v>1605.0553590325294</v>
      </c>
      <c r="H524" s="20">
        <f ca="1">NOW() - TIME(5,30,0) + (VLOOKUP(MasterTable[[#This Row],[TimeZone]], $O$3:$P$8, 2, FALSE) / 24)</f>
        <v>45990.573544791667</v>
      </c>
      <c r="I524" s="1" t="s">
        <v>1944</v>
      </c>
      <c r="J524" s="1">
        <v>907.46</v>
      </c>
    </row>
    <row r="525" spans="1:10" x14ac:dyDescent="0.25">
      <c r="A525" s="1" t="s">
        <v>73</v>
      </c>
      <c r="B525" s="1" t="s">
        <v>74</v>
      </c>
      <c r="C525" s="1" t="s">
        <v>75</v>
      </c>
      <c r="D525" s="1">
        <v>32.173400000000001</v>
      </c>
      <c r="E525" s="1">
        <v>-82.534800000000004</v>
      </c>
      <c r="F525" s="1" t="s">
        <v>1925</v>
      </c>
      <c r="G525" s="22">
        <v>1655.2038995033795</v>
      </c>
      <c r="H525" s="20">
        <f ca="1">NOW() - TIME(5,30,0) + (VLOOKUP(MasterTable[[#This Row],[TimeZone]], $O$3:$P$8, 2, FALSE) / 24)</f>
        <v>45990.573544791667</v>
      </c>
      <c r="I525" s="1" t="s">
        <v>1944</v>
      </c>
      <c r="J525" s="1">
        <v>799.76</v>
      </c>
    </row>
    <row r="526" spans="1:10" x14ac:dyDescent="0.25">
      <c r="A526" s="1" t="s">
        <v>73</v>
      </c>
      <c r="B526" s="1" t="s">
        <v>74</v>
      </c>
      <c r="C526" s="1" t="s">
        <v>1600</v>
      </c>
      <c r="D526" s="1">
        <v>32.792400000000001</v>
      </c>
      <c r="E526" s="1">
        <v>-81.963499999999996</v>
      </c>
      <c r="F526" s="1" t="s">
        <v>1925</v>
      </c>
      <c r="G526" s="22">
        <v>1682.8906008391971</v>
      </c>
      <c r="H526" s="20">
        <f ca="1">NOW() - TIME(5,30,0) + (VLOOKUP(MasterTable[[#This Row],[TimeZone]], $O$3:$P$8, 2, FALSE) / 24)</f>
        <v>45990.573544791667</v>
      </c>
      <c r="I526" s="1" t="s">
        <v>1944</v>
      </c>
      <c r="J526" s="1">
        <v>352.45</v>
      </c>
    </row>
    <row r="527" spans="1:10" x14ac:dyDescent="0.25">
      <c r="A527" s="1" t="s">
        <v>73</v>
      </c>
      <c r="B527" s="1" t="s">
        <v>74</v>
      </c>
      <c r="C527" s="1" t="s">
        <v>663</v>
      </c>
      <c r="D527" s="1">
        <v>33.270400000000002</v>
      </c>
      <c r="E527" s="1">
        <v>-83.000699999999995</v>
      </c>
      <c r="F527" s="1" t="s">
        <v>1925</v>
      </c>
      <c r="G527" s="22">
        <v>1619.739829038203</v>
      </c>
      <c r="H527" s="20">
        <f ca="1">NOW() - TIME(5,30,0) + (VLOOKUP(MasterTable[[#This Row],[TimeZone]], $O$3:$P$8, 2, FALSE) / 24)</f>
        <v>45990.573544791667</v>
      </c>
      <c r="I527" s="1" t="s">
        <v>1944</v>
      </c>
      <c r="J527" s="1">
        <v>478.76</v>
      </c>
    </row>
    <row r="528" spans="1:10" x14ac:dyDescent="0.25">
      <c r="A528" s="1" t="s">
        <v>73</v>
      </c>
      <c r="B528" s="1" t="s">
        <v>74</v>
      </c>
      <c r="C528" s="1" t="s">
        <v>1618</v>
      </c>
      <c r="D528" s="1">
        <v>31.2971</v>
      </c>
      <c r="E528" s="1">
        <v>-82.88</v>
      </c>
      <c r="F528" s="1" t="s">
        <v>1925</v>
      </c>
      <c r="G528" s="22">
        <v>1644.3377893124139</v>
      </c>
      <c r="H528" s="20">
        <f ca="1">NOW() - TIME(5,30,0) + (VLOOKUP(MasterTable[[#This Row],[TimeZone]], $O$3:$P$8, 2, FALSE) / 24)</f>
        <v>45990.573544791667</v>
      </c>
      <c r="I528" s="1" t="s">
        <v>1944</v>
      </c>
      <c r="J528" s="1">
        <v>344.1</v>
      </c>
    </row>
    <row r="529" spans="1:10" x14ac:dyDescent="0.25">
      <c r="A529" s="1" t="s">
        <v>73</v>
      </c>
      <c r="B529" s="1" t="s">
        <v>74</v>
      </c>
      <c r="C529" s="1" t="s">
        <v>1630</v>
      </c>
      <c r="D529" s="1">
        <v>32.667200000000001</v>
      </c>
      <c r="E529" s="1">
        <v>-83.427099999999996</v>
      </c>
      <c r="F529" s="1" t="s">
        <v>1925</v>
      </c>
      <c r="G529" s="22">
        <v>1599.3402945206017</v>
      </c>
      <c r="H529" s="20">
        <f ca="1">NOW() - TIME(5,30,0) + (VLOOKUP(MasterTable[[#This Row],[TimeZone]], $O$3:$P$8, 2, FALSE) / 24)</f>
        <v>45990.573544791667</v>
      </c>
      <c r="I529" s="1" t="s">
        <v>1944</v>
      </c>
      <c r="J529" s="1">
        <v>362.95</v>
      </c>
    </row>
    <row r="530" spans="1:10" x14ac:dyDescent="0.25">
      <c r="A530" s="1" t="s">
        <v>73</v>
      </c>
      <c r="B530" s="1" t="s">
        <v>74</v>
      </c>
      <c r="C530" s="1" t="s">
        <v>480</v>
      </c>
      <c r="D530" s="1">
        <v>32.555500000000002</v>
      </c>
      <c r="E530" s="1">
        <v>-84.250500000000002</v>
      </c>
      <c r="F530" s="1" t="s">
        <v>1925</v>
      </c>
      <c r="G530" s="22">
        <v>1552.5742848711584</v>
      </c>
      <c r="H530" s="20">
        <f ca="1">NOW() - TIME(5,30,0) + (VLOOKUP(MasterTable[[#This Row],[TimeZone]], $O$3:$P$8, 2, FALSE) / 24)</f>
        <v>45990.573544791667</v>
      </c>
      <c r="I530" s="1" t="s">
        <v>1944</v>
      </c>
      <c r="J530" s="1">
        <v>1232.01</v>
      </c>
    </row>
    <row r="531" spans="1:10" x14ac:dyDescent="0.25">
      <c r="A531" s="1" t="s">
        <v>73</v>
      </c>
      <c r="B531" s="1" t="s">
        <v>74</v>
      </c>
      <c r="C531" s="1" t="s">
        <v>632</v>
      </c>
      <c r="D531" s="1">
        <v>33.793599999999998</v>
      </c>
      <c r="E531" s="1">
        <v>-82.4512</v>
      </c>
      <c r="F531" s="1" t="s">
        <v>1925</v>
      </c>
      <c r="G531" s="22">
        <v>1648.3448213016879</v>
      </c>
      <c r="H531" s="20">
        <f ca="1">NOW() - TIME(5,30,0) + (VLOOKUP(MasterTable[[#This Row],[TimeZone]], $O$3:$P$8, 2, FALSE) / 24)</f>
        <v>45990.573544791667</v>
      </c>
      <c r="I531" s="1" t="s">
        <v>1944</v>
      </c>
      <c r="J531" s="1">
        <v>572.16999999999996</v>
      </c>
    </row>
    <row r="532" spans="1:10" x14ac:dyDescent="0.25">
      <c r="A532" s="1" t="s">
        <v>73</v>
      </c>
      <c r="B532" s="1" t="s">
        <v>74</v>
      </c>
      <c r="C532" s="1" t="s">
        <v>88</v>
      </c>
      <c r="D532" s="1">
        <v>32.353499999999997</v>
      </c>
      <c r="E532" s="1">
        <v>-84.524600000000007</v>
      </c>
      <c r="F532" s="1" t="s">
        <v>1925</v>
      </c>
      <c r="G532" s="22">
        <v>1538.304534807965</v>
      </c>
      <c r="H532" s="20">
        <f ca="1">NOW() - TIME(5,30,0) + (VLOOKUP(MasterTable[[#This Row],[TimeZone]], $O$3:$P$8, 2, FALSE) / 24)</f>
        <v>45990.573544791667</v>
      </c>
      <c r="I532" s="1" t="s">
        <v>1944</v>
      </c>
      <c r="J532" s="1">
        <v>743.57</v>
      </c>
    </row>
    <row r="533" spans="1:10" x14ac:dyDescent="0.25">
      <c r="A533" s="1" t="s">
        <v>73</v>
      </c>
      <c r="B533" s="1" t="s">
        <v>74</v>
      </c>
      <c r="C533" s="1" t="s">
        <v>1650</v>
      </c>
      <c r="D533" s="1">
        <v>32.116999999999997</v>
      </c>
      <c r="E533" s="1">
        <v>-82.724599999999995</v>
      </c>
      <c r="F533" s="1" t="s">
        <v>1925</v>
      </c>
      <c r="G533" s="22">
        <v>1644.7337560562244</v>
      </c>
      <c r="H533" s="20">
        <f ca="1">NOW() - TIME(5,30,0) + (VLOOKUP(MasterTable[[#This Row],[TimeZone]], $O$3:$P$8, 2, FALSE) / 24)</f>
        <v>45990.573544791667</v>
      </c>
      <c r="I533" s="1" t="s">
        <v>1944</v>
      </c>
      <c r="J533" s="1">
        <v>300.14</v>
      </c>
    </row>
    <row r="534" spans="1:10" x14ac:dyDescent="0.25">
      <c r="A534" s="1" t="s">
        <v>73</v>
      </c>
      <c r="B534" s="1" t="s">
        <v>74</v>
      </c>
      <c r="C534" s="1" t="s">
        <v>1681</v>
      </c>
      <c r="D534" s="1">
        <v>30.914999999999999</v>
      </c>
      <c r="E534" s="1">
        <v>-82.706299999999999</v>
      </c>
      <c r="F534" s="1" t="s">
        <v>1925</v>
      </c>
      <c r="G534" s="22">
        <v>1659.0876671882299</v>
      </c>
      <c r="H534" s="20">
        <f ca="1">NOW() - TIME(5,30,0) + (VLOOKUP(MasterTable[[#This Row],[TimeZone]], $O$3:$P$8, 2, FALSE) / 24)</f>
        <v>45990.573544791667</v>
      </c>
      <c r="I534" s="1" t="s">
        <v>1944</v>
      </c>
      <c r="J534" s="1">
        <v>824.17</v>
      </c>
    </row>
    <row r="535" spans="1:10" x14ac:dyDescent="0.25">
      <c r="A535" s="1" t="s">
        <v>73</v>
      </c>
      <c r="B535" s="1" t="s">
        <v>74</v>
      </c>
      <c r="C535" s="1" t="s">
        <v>1697</v>
      </c>
      <c r="D535" s="1">
        <v>32.4039</v>
      </c>
      <c r="E535" s="1">
        <v>-82.567300000000003</v>
      </c>
      <c r="F535" s="1" t="s">
        <v>1925</v>
      </c>
      <c r="G535" s="22">
        <v>1651.2354089599553</v>
      </c>
      <c r="H535" s="20">
        <f ca="1">NOW() - TIME(5,30,0) + (VLOOKUP(MasterTable[[#This Row],[TimeZone]], $O$3:$P$8, 2, FALSE) / 24)</f>
        <v>45990.573544791667</v>
      </c>
      <c r="I535" s="1" t="s">
        <v>1944</v>
      </c>
      <c r="J535" s="1">
        <v>202.19</v>
      </c>
    </row>
    <row r="536" spans="1:10" x14ac:dyDescent="0.25">
      <c r="A536" s="1" t="s">
        <v>73</v>
      </c>
      <c r="B536" s="1" t="s">
        <v>74</v>
      </c>
      <c r="C536" s="1" t="s">
        <v>477</v>
      </c>
      <c r="D536" s="1">
        <v>31.762599999999999</v>
      </c>
      <c r="E536" s="1">
        <v>-84.754199999999997</v>
      </c>
      <c r="F536" s="1" t="s">
        <v>1925</v>
      </c>
      <c r="G536" s="22">
        <v>1530.3005044464107</v>
      </c>
      <c r="H536" s="20">
        <f ca="1">NOW() - TIME(5,30,0) + (VLOOKUP(MasterTable[[#This Row],[TimeZone]], $O$3:$P$8, 2, FALSE) / 24)</f>
        <v>45990.573544791667</v>
      </c>
      <c r="I536" s="1" t="s">
        <v>1944</v>
      </c>
      <c r="J536" s="1">
        <v>584.11</v>
      </c>
    </row>
    <row r="537" spans="1:10" x14ac:dyDescent="0.25">
      <c r="A537" s="1" t="s">
        <v>73</v>
      </c>
      <c r="B537" s="1" t="s">
        <v>74</v>
      </c>
      <c r="C537" s="1" t="s">
        <v>922</v>
      </c>
      <c r="D537" s="1">
        <v>31.164000000000001</v>
      </c>
      <c r="E537" s="1">
        <v>-84.730800000000002</v>
      </c>
      <c r="F537" s="1" t="s">
        <v>1925</v>
      </c>
      <c r="G537" s="22">
        <v>1538.0712867211066</v>
      </c>
      <c r="H537" s="20">
        <f ca="1">NOW() - TIME(5,30,0) + (VLOOKUP(MasterTable[[#This Row],[TimeZone]], $O$3:$P$8, 2, FALSE) / 24)</f>
        <v>45990.573544791667</v>
      </c>
      <c r="I537" s="1" t="s">
        <v>1944</v>
      </c>
      <c r="J537" s="1">
        <v>637.48</v>
      </c>
    </row>
    <row r="538" spans="1:10" x14ac:dyDescent="0.25">
      <c r="A538" s="1" t="s">
        <v>73</v>
      </c>
      <c r="B538" s="1" t="s">
        <v>74</v>
      </c>
      <c r="C538" s="1" t="s">
        <v>978</v>
      </c>
      <c r="D538" s="1">
        <v>32.6995</v>
      </c>
      <c r="E538" s="1">
        <v>-84.533000000000001</v>
      </c>
      <c r="F538" s="1" t="s">
        <v>1925</v>
      </c>
      <c r="G538" s="22">
        <v>1535.1582156872096</v>
      </c>
      <c r="H538" s="20">
        <f ca="1">NOW() - TIME(5,30,0) + (VLOOKUP(MasterTable[[#This Row],[TimeZone]], $O$3:$P$8, 2, FALSE) / 24)</f>
        <v>45990.573544791667</v>
      </c>
      <c r="I538" s="1" t="s">
        <v>1944</v>
      </c>
      <c r="J538" s="1">
        <v>394.74</v>
      </c>
    </row>
    <row r="539" spans="1:10" x14ac:dyDescent="0.25">
      <c r="A539" s="1" t="s">
        <v>73</v>
      </c>
      <c r="B539" s="1" t="s">
        <v>74</v>
      </c>
      <c r="C539" s="1" t="s">
        <v>498</v>
      </c>
      <c r="D539" s="1">
        <v>31.529199999999999</v>
      </c>
      <c r="E539" s="1">
        <v>-84.624499999999998</v>
      </c>
      <c r="F539" s="1" t="s">
        <v>1925</v>
      </c>
      <c r="G539" s="22">
        <v>1540.2252576434994</v>
      </c>
      <c r="H539" s="20">
        <f ca="1">NOW() - TIME(5,30,0) + (VLOOKUP(MasterTable[[#This Row],[TimeZone]], $O$3:$P$8, 2, FALSE) / 24)</f>
        <v>45990.573544791667</v>
      </c>
      <c r="I539" s="1" t="s">
        <v>1944</v>
      </c>
      <c r="J539" s="1">
        <v>612.32000000000005</v>
      </c>
    </row>
    <row r="540" spans="1:10" x14ac:dyDescent="0.25">
      <c r="A540" s="1" t="s">
        <v>73</v>
      </c>
      <c r="B540" s="1" t="s">
        <v>74</v>
      </c>
      <c r="C540" s="1" t="s">
        <v>331</v>
      </c>
      <c r="D540" s="1">
        <v>33.408900000000003</v>
      </c>
      <c r="E540" s="1">
        <v>-82.6768</v>
      </c>
      <c r="F540" s="1" t="s">
        <v>1925</v>
      </c>
      <c r="G540" s="22">
        <v>1637.5208242745548</v>
      </c>
      <c r="H540" s="20">
        <f ca="1">NOW() - TIME(5,30,0) + (VLOOKUP(MasterTable[[#This Row],[TimeZone]], $O$3:$P$8, 2, FALSE) / 24)</f>
        <v>45990.573544791667</v>
      </c>
      <c r="I540" s="1" t="s">
        <v>1944</v>
      </c>
      <c r="J540" s="1">
        <v>286.74</v>
      </c>
    </row>
    <row r="541" spans="1:10" x14ac:dyDescent="0.25">
      <c r="A541" s="1" t="s">
        <v>73</v>
      </c>
      <c r="B541" s="1" t="s">
        <v>74</v>
      </c>
      <c r="C541" s="1" t="s">
        <v>1445</v>
      </c>
      <c r="D541" s="1">
        <v>32.078499999999998</v>
      </c>
      <c r="E541" s="1">
        <v>-84.8352</v>
      </c>
      <c r="F541" s="1" t="s">
        <v>1925</v>
      </c>
      <c r="G541" s="22">
        <v>1522.6351358875643</v>
      </c>
      <c r="H541" s="20">
        <f ca="1">NOW() - TIME(5,30,0) + (VLOOKUP(MasterTable[[#This Row],[TimeZone]], $O$3:$P$8, 2, FALSE) / 24)</f>
        <v>45990.573544791667</v>
      </c>
      <c r="I541" s="1" t="s">
        <v>1944</v>
      </c>
      <c r="J541" s="1">
        <v>463.23</v>
      </c>
    </row>
    <row r="542" spans="1:10" x14ac:dyDescent="0.25">
      <c r="A542" s="1" t="s">
        <v>73</v>
      </c>
      <c r="B542" s="1" t="s">
        <v>74</v>
      </c>
      <c r="C542" s="1" t="s">
        <v>1770</v>
      </c>
      <c r="D542" s="1">
        <v>32.261699999999998</v>
      </c>
      <c r="E542" s="1">
        <v>-84.314800000000005</v>
      </c>
      <c r="F542" s="1" t="s">
        <v>1925</v>
      </c>
      <c r="G542" s="22">
        <v>1551.2345392750703</v>
      </c>
      <c r="H542" s="20">
        <f ca="1">NOW() - TIME(5,30,0) + (VLOOKUP(MasterTable[[#This Row],[TimeZone]], $O$3:$P$8, 2, FALSE) / 24)</f>
        <v>45990.573544791667</v>
      </c>
      <c r="I542" s="1" t="s">
        <v>1944</v>
      </c>
      <c r="J542" s="1">
        <v>167.82</v>
      </c>
    </row>
    <row r="543" spans="1:10" x14ac:dyDescent="0.25">
      <c r="A543" s="1" t="s">
        <v>73</v>
      </c>
      <c r="B543" s="1" t="s">
        <v>74</v>
      </c>
      <c r="C543" s="1" t="s">
        <v>1791</v>
      </c>
      <c r="D543" s="1">
        <v>30.710100000000001</v>
      </c>
      <c r="E543" s="1">
        <v>-82.894000000000005</v>
      </c>
      <c r="F543" s="1" t="s">
        <v>1925</v>
      </c>
      <c r="G543" s="22">
        <v>1650.7869938283091</v>
      </c>
      <c r="H543" s="20">
        <f ca="1">NOW() - TIME(5,30,0) + (VLOOKUP(MasterTable[[#This Row],[TimeZone]], $O$3:$P$8, 2, FALSE) / 24)</f>
        <v>45990.573544791667</v>
      </c>
      <c r="I543" s="1" t="s">
        <v>1944</v>
      </c>
      <c r="J543" s="1">
        <v>420.8</v>
      </c>
    </row>
    <row r="544" spans="1:10" x14ac:dyDescent="0.25">
      <c r="A544" s="1" t="s">
        <v>73</v>
      </c>
      <c r="B544" s="1" t="s">
        <v>74</v>
      </c>
      <c r="C544" s="1" t="s">
        <v>1827</v>
      </c>
      <c r="D544" s="1">
        <v>33.229300000000002</v>
      </c>
      <c r="E544" s="1">
        <v>-82.610699999999994</v>
      </c>
      <c r="F544" s="1" t="s">
        <v>1925</v>
      </c>
      <c r="G544" s="22">
        <v>1642.4417763456875</v>
      </c>
      <c r="H544" s="20">
        <f ca="1">NOW() - TIME(5,30,0) + (VLOOKUP(MasterTable[[#This Row],[TimeZone]], $O$3:$P$8, 2, FALSE) / 24)</f>
        <v>45990.573544791667</v>
      </c>
      <c r="I544" s="1" t="s">
        <v>1944</v>
      </c>
      <c r="J544" s="1">
        <v>144.44999999999999</v>
      </c>
    </row>
    <row r="545" spans="1:10" x14ac:dyDescent="0.25">
      <c r="A545" s="1" t="s">
        <v>73</v>
      </c>
      <c r="B545" s="1" t="s">
        <v>74</v>
      </c>
      <c r="C545" s="1" t="s">
        <v>327</v>
      </c>
      <c r="D545" s="1">
        <v>31.626200000000001</v>
      </c>
      <c r="E545" s="1">
        <v>-84.980099999999993</v>
      </c>
      <c r="F545" s="1" t="s">
        <v>1925</v>
      </c>
      <c r="G545" s="22">
        <v>1518.5240630729247</v>
      </c>
      <c r="H545" s="20">
        <f ca="1">NOW() - TIME(5,30,0) + (VLOOKUP(MasterTable[[#This Row],[TimeZone]], $O$3:$P$8, 2, FALSE) / 24)</f>
        <v>45990.573544791667</v>
      </c>
      <c r="I545" s="1" t="s">
        <v>1944</v>
      </c>
      <c r="J545" s="1">
        <v>606</v>
      </c>
    </row>
    <row r="546" spans="1:10" x14ac:dyDescent="0.25">
      <c r="A546" s="1" t="s">
        <v>73</v>
      </c>
      <c r="B546" s="1" t="s">
        <v>74</v>
      </c>
      <c r="C546" s="1" t="s">
        <v>1104</v>
      </c>
      <c r="D546" s="1">
        <v>31.3261</v>
      </c>
      <c r="E546" s="1">
        <v>-84.444699999999997</v>
      </c>
      <c r="F546" s="1" t="s">
        <v>1925</v>
      </c>
      <c r="G546" s="22">
        <v>1552.8997956443288</v>
      </c>
      <c r="H546" s="20">
        <f ca="1">NOW() - TIME(5,30,0) + (VLOOKUP(MasterTable[[#This Row],[TimeZone]], $O$3:$P$8, 2, FALSE) / 24)</f>
        <v>45990.573544791667</v>
      </c>
      <c r="I546" s="1" t="s">
        <v>1944</v>
      </c>
      <c r="J546" s="1">
        <v>588.89</v>
      </c>
    </row>
    <row r="547" spans="1:10" x14ac:dyDescent="0.25">
      <c r="A547" s="1" t="s">
        <v>73</v>
      </c>
      <c r="B547" s="1" t="s">
        <v>74</v>
      </c>
      <c r="C547" s="1" t="s">
        <v>955</v>
      </c>
      <c r="D547" s="1">
        <v>32.046799999999998</v>
      </c>
      <c r="E547" s="1">
        <v>-84.551100000000005</v>
      </c>
      <c r="F547" s="1" t="s">
        <v>1925</v>
      </c>
      <c r="G547" s="22">
        <v>1539.4150343793076</v>
      </c>
      <c r="H547" s="20">
        <f ca="1">NOW() - TIME(5,30,0) + (VLOOKUP(MasterTable[[#This Row],[TimeZone]], $O$3:$P$8, 2, FALSE) / 24)</f>
        <v>45990.573544791667</v>
      </c>
      <c r="I547" s="1" t="s">
        <v>1944</v>
      </c>
      <c r="J547" s="1">
        <v>210.26</v>
      </c>
    </row>
    <row r="548" spans="1:10" x14ac:dyDescent="0.25">
      <c r="A548" s="1" t="s">
        <v>73</v>
      </c>
      <c r="B548" s="1" t="s">
        <v>74</v>
      </c>
      <c r="C548" s="1" t="s">
        <v>1713</v>
      </c>
      <c r="D548" s="1">
        <v>31.8673</v>
      </c>
      <c r="E548" s="1">
        <v>-85.018799999999999</v>
      </c>
      <c r="F548" s="1" t="s">
        <v>1925</v>
      </c>
      <c r="G548" s="22">
        <v>1513.9063012335032</v>
      </c>
      <c r="H548" s="20">
        <f ca="1">NOW() - TIME(5,30,0) + (VLOOKUP(MasterTable[[#This Row],[TimeZone]], $O$3:$P$8, 2, FALSE) / 24)</f>
        <v>45990.573544791667</v>
      </c>
      <c r="I548" s="1" t="s">
        <v>1944</v>
      </c>
      <c r="J548" s="1">
        <v>160.91999999999999</v>
      </c>
    </row>
    <row r="549" spans="1:10" x14ac:dyDescent="0.25">
      <c r="A549" s="1" t="s">
        <v>73</v>
      </c>
      <c r="B549" s="1" t="s">
        <v>74</v>
      </c>
      <c r="C549" s="1" t="s">
        <v>1874</v>
      </c>
      <c r="D549" s="1">
        <v>33.566099999999999</v>
      </c>
      <c r="E549" s="1">
        <v>-82.878799999999998</v>
      </c>
      <c r="F549" s="1" t="s">
        <v>1925</v>
      </c>
      <c r="G549" s="22">
        <v>1625.0217197143586</v>
      </c>
      <c r="H549" s="20">
        <f ca="1">NOW() - TIME(5,30,0) + (VLOOKUP(MasterTable[[#This Row],[TimeZone]], $O$3:$P$8, 2, FALSE) / 24)</f>
        <v>45990.573544791667</v>
      </c>
      <c r="I549" s="1" t="s">
        <v>1944</v>
      </c>
      <c r="J549" s="1">
        <v>195.47</v>
      </c>
    </row>
    <row r="550" spans="1:10" x14ac:dyDescent="0.25">
      <c r="A550" s="1" t="s">
        <v>82</v>
      </c>
      <c r="B550" s="1" t="s">
        <v>83</v>
      </c>
      <c r="C550" s="1" t="s">
        <v>81</v>
      </c>
      <c r="D550" s="1">
        <v>21.489899999999999</v>
      </c>
      <c r="E550" s="1">
        <v>-158.07390000000001</v>
      </c>
      <c r="F550" s="1" t="s">
        <v>1926</v>
      </c>
      <c r="G550" s="22">
        <v>2974.9757069434086</v>
      </c>
      <c r="H550" s="20">
        <f ca="1">NOW() - TIME(5,30,0) + (VLOOKUP(MasterTable[[#This Row],[TimeZone]], $O$3:$P$8, 2, FALSE) / 24)</f>
        <v>45990.365211458338</v>
      </c>
      <c r="I550" s="1" t="s">
        <v>1944</v>
      </c>
      <c r="J550" s="1">
        <v>2126.85</v>
      </c>
    </row>
    <row r="551" spans="1:10" x14ac:dyDescent="0.25">
      <c r="A551" s="1" t="s">
        <v>82</v>
      </c>
      <c r="B551" s="1" t="s">
        <v>83</v>
      </c>
      <c r="C551" s="1" t="s">
        <v>83</v>
      </c>
      <c r="D551" s="1">
        <v>19.598400000000002</v>
      </c>
      <c r="E551" s="1">
        <v>-155.51830000000001</v>
      </c>
      <c r="F551" s="1" t="s">
        <v>1926</v>
      </c>
      <c r="G551" s="22">
        <v>2882.7955588397581</v>
      </c>
      <c r="H551" s="20">
        <f ca="1">NOW() - TIME(5,30,0) + (VLOOKUP(MasterTable[[#This Row],[TimeZone]], $O$3:$P$8, 2, FALSE) / 24)</f>
        <v>45990.365211458338</v>
      </c>
      <c r="I551" s="1" t="s">
        <v>1944</v>
      </c>
      <c r="J551" s="1">
        <v>5086.7</v>
      </c>
    </row>
    <row r="552" spans="1:10" x14ac:dyDescent="0.25">
      <c r="A552" s="1" t="s">
        <v>82</v>
      </c>
      <c r="B552" s="1" t="s">
        <v>83</v>
      </c>
      <c r="C552" s="1" t="s">
        <v>440</v>
      </c>
      <c r="D552" s="1">
        <v>20.8596</v>
      </c>
      <c r="E552" s="1">
        <v>-156.565</v>
      </c>
      <c r="F552" s="1" t="s">
        <v>1926</v>
      </c>
      <c r="G552" s="22">
        <v>2905.3592406795265</v>
      </c>
      <c r="H552" s="20">
        <f ca="1">NOW() - TIME(5,30,0) + (VLOOKUP(MasterTable[[#This Row],[TimeZone]], $O$3:$P$8, 2, FALSE) / 24)</f>
        <v>45990.365211458338</v>
      </c>
      <c r="I552" s="1" t="s">
        <v>1944</v>
      </c>
      <c r="J552" s="1">
        <v>2398.7399999999998</v>
      </c>
    </row>
    <row r="553" spans="1:10" x14ac:dyDescent="0.25">
      <c r="A553" s="1" t="s">
        <v>82</v>
      </c>
      <c r="B553" s="1" t="s">
        <v>83</v>
      </c>
      <c r="C553" s="1" t="s">
        <v>697</v>
      </c>
      <c r="D553" s="1">
        <v>22.04</v>
      </c>
      <c r="E553" s="1">
        <v>-159.59610000000001</v>
      </c>
      <c r="F553" s="1" t="s">
        <v>1926</v>
      </c>
      <c r="G553" s="22">
        <v>3048.2131468067446</v>
      </c>
      <c r="H553" s="20">
        <f ca="1">NOW() - TIME(5,30,0) + (VLOOKUP(MasterTable[[#This Row],[TimeZone]], $O$3:$P$8, 2, FALSE) / 24)</f>
        <v>45990.365211458338</v>
      </c>
      <c r="I553" s="1" t="s">
        <v>1944</v>
      </c>
      <c r="J553" s="1">
        <v>1266.3699999999999</v>
      </c>
    </row>
    <row r="554" spans="1:10" x14ac:dyDescent="0.25">
      <c r="A554" s="1" t="s">
        <v>82</v>
      </c>
      <c r="B554" s="1" t="s">
        <v>83</v>
      </c>
      <c r="C554" s="1" t="s">
        <v>1921</v>
      </c>
      <c r="D554" s="1">
        <v>21.1709</v>
      </c>
      <c r="E554" s="1">
        <v>-156.94749999999999</v>
      </c>
      <c r="F554" s="1" t="s">
        <v>1926</v>
      </c>
      <c r="G554" s="22">
        <v>2918.4922155142049</v>
      </c>
      <c r="H554" s="20">
        <f ca="1">NOW() - TIME(5,30,0) + (VLOOKUP(MasterTable[[#This Row],[TimeZone]], $O$3:$P$8, 2, FALSE) / 24)</f>
        <v>45990.365211458338</v>
      </c>
      <c r="I554" s="1" t="s">
        <v>1944</v>
      </c>
      <c r="J554" s="1">
        <v>52.33</v>
      </c>
    </row>
    <row r="555" spans="1:10" x14ac:dyDescent="0.25">
      <c r="A555" s="1" t="s">
        <v>201</v>
      </c>
      <c r="B555" s="1" t="s">
        <v>202</v>
      </c>
      <c r="C555" s="1" t="s">
        <v>134</v>
      </c>
      <c r="D555" s="1">
        <v>41.685400000000001</v>
      </c>
      <c r="E555" s="1">
        <v>-93.573400000000007</v>
      </c>
      <c r="F555" s="1" t="s">
        <v>1922</v>
      </c>
      <c r="G555" s="22">
        <v>1156.5266406728852</v>
      </c>
      <c r="H555" s="20">
        <f ca="1">NOW() - TIME(5,30,0) + (VLOOKUP(MasterTable[[#This Row],[TimeZone]], $O$3:$P$8, 2, FALSE) / 24)</f>
        <v>45990.531878125003</v>
      </c>
      <c r="I555" s="1" t="s">
        <v>1944</v>
      </c>
      <c r="J555" s="1">
        <v>862.42</v>
      </c>
    </row>
    <row r="556" spans="1:10" x14ac:dyDescent="0.25">
      <c r="A556" s="1" t="s">
        <v>201</v>
      </c>
      <c r="B556" s="1" t="s">
        <v>202</v>
      </c>
      <c r="C556" s="1" t="s">
        <v>349</v>
      </c>
      <c r="D556" s="1">
        <v>42.079000000000001</v>
      </c>
      <c r="E556" s="1">
        <v>-91.599000000000004</v>
      </c>
      <c r="F556" s="1" t="s">
        <v>1922</v>
      </c>
      <c r="G556" s="22">
        <v>1259.1298311782284</v>
      </c>
      <c r="H556" s="20">
        <f ca="1">NOW() - TIME(5,30,0) + (VLOOKUP(MasterTable[[#This Row],[TimeZone]], $O$3:$P$8, 2, FALSE) / 24)</f>
        <v>45990.531878125003</v>
      </c>
      <c r="I556" s="1" t="s">
        <v>1944</v>
      </c>
      <c r="J556" s="1">
        <v>724.55</v>
      </c>
    </row>
    <row r="557" spans="1:10" x14ac:dyDescent="0.25">
      <c r="A557" s="1" t="s">
        <v>201</v>
      </c>
      <c r="B557" s="1" t="s">
        <v>202</v>
      </c>
      <c r="C557" s="1" t="s">
        <v>419</v>
      </c>
      <c r="D557" s="1">
        <v>41.637099999999997</v>
      </c>
      <c r="E557" s="1">
        <v>-90.623199999999997</v>
      </c>
      <c r="F557" s="1" t="s">
        <v>1922</v>
      </c>
      <c r="G557" s="22">
        <v>1291.6981756169703</v>
      </c>
      <c r="H557" s="20">
        <f ca="1">NOW() - TIME(5,30,0) + (VLOOKUP(MasterTable[[#This Row],[TimeZone]], $O$3:$P$8, 2, FALSE) / 24)</f>
        <v>45990.531878125003</v>
      </c>
      <c r="I557" s="1" t="s">
        <v>1944</v>
      </c>
      <c r="J557" s="1">
        <v>898.09</v>
      </c>
    </row>
    <row r="558" spans="1:10" x14ac:dyDescent="0.25">
      <c r="A558" s="1" t="s">
        <v>201</v>
      </c>
      <c r="B558" s="1" t="s">
        <v>202</v>
      </c>
      <c r="C558" s="1" t="s">
        <v>165</v>
      </c>
      <c r="D558" s="1">
        <v>41.671500000000002</v>
      </c>
      <c r="E558" s="1">
        <v>-91.588099999999997</v>
      </c>
      <c r="F558" s="1" t="s">
        <v>1922</v>
      </c>
      <c r="G558" s="22">
        <v>1247.3467519210258</v>
      </c>
      <c r="H558" s="20">
        <f ca="1">NOW() - TIME(5,30,0) + (VLOOKUP(MasterTable[[#This Row],[TimeZone]], $O$3:$P$8, 2, FALSE) / 24)</f>
        <v>45990.531878125003</v>
      </c>
      <c r="I558" s="1" t="s">
        <v>1944</v>
      </c>
      <c r="J558" s="1">
        <v>682.74</v>
      </c>
    </row>
    <row r="559" spans="1:10" x14ac:dyDescent="0.25">
      <c r="A559" s="1" t="s">
        <v>201</v>
      </c>
      <c r="B559" s="1" t="s">
        <v>202</v>
      </c>
      <c r="C559" s="1" t="s">
        <v>503</v>
      </c>
      <c r="D559" s="1">
        <v>42.470100000000002</v>
      </c>
      <c r="E559" s="1">
        <v>-92.308800000000005</v>
      </c>
      <c r="F559" s="1" t="s">
        <v>1922</v>
      </c>
      <c r="G559" s="22">
        <v>1239.4749523967741</v>
      </c>
      <c r="H559" s="20">
        <f ca="1">NOW() - TIME(5,30,0) + (VLOOKUP(MasterTable[[#This Row],[TimeZone]], $O$3:$P$8, 2, FALSE) / 24)</f>
        <v>45990.531878125003</v>
      </c>
      <c r="I559" s="1" t="s">
        <v>1944</v>
      </c>
      <c r="J559" s="1">
        <v>571.91</v>
      </c>
    </row>
    <row r="560" spans="1:10" x14ac:dyDescent="0.25">
      <c r="A560" s="1" t="s">
        <v>201</v>
      </c>
      <c r="B560" s="1" t="s">
        <v>202</v>
      </c>
      <c r="C560" s="1" t="s">
        <v>570</v>
      </c>
      <c r="D560" s="1">
        <v>42.389699999999998</v>
      </c>
      <c r="E560" s="1">
        <v>-96.044799999999995</v>
      </c>
      <c r="F560" s="1" t="s">
        <v>1922</v>
      </c>
      <c r="G560" s="22">
        <v>1075.3597640257503</v>
      </c>
      <c r="H560" s="20">
        <f ca="1">NOW() - TIME(5,30,0) + (VLOOKUP(MasterTable[[#This Row],[TimeZone]], $O$3:$P$8, 2, FALSE) / 24)</f>
        <v>45990.531878125003</v>
      </c>
      <c r="I560" s="1" t="s">
        <v>1944</v>
      </c>
      <c r="J560" s="1">
        <v>877.39</v>
      </c>
    </row>
    <row r="561" spans="1:10" x14ac:dyDescent="0.25">
      <c r="A561" s="1" t="s">
        <v>201</v>
      </c>
      <c r="B561" s="1" t="s">
        <v>202</v>
      </c>
      <c r="C561" s="1" t="s">
        <v>20</v>
      </c>
      <c r="D561" s="1">
        <v>41.684899999999999</v>
      </c>
      <c r="E561" s="1">
        <v>-94.0398</v>
      </c>
      <c r="F561" s="1" t="s">
        <v>1922</v>
      </c>
      <c r="G561" s="22">
        <v>1135.5121538028052</v>
      </c>
      <c r="H561" s="20">
        <f ca="1">NOW() - TIME(5,30,0) + (VLOOKUP(MasterTable[[#This Row],[TimeZone]], $O$3:$P$8, 2, FALSE) / 24)</f>
        <v>45990.531878125003</v>
      </c>
      <c r="I561" s="1" t="s">
        <v>1944</v>
      </c>
      <c r="J561" s="1">
        <v>993.37</v>
      </c>
    </row>
    <row r="562" spans="1:10" x14ac:dyDescent="0.25">
      <c r="A562" s="1" t="s">
        <v>201</v>
      </c>
      <c r="B562" s="1" t="s">
        <v>202</v>
      </c>
      <c r="C562" s="1" t="s">
        <v>597</v>
      </c>
      <c r="D562" s="1">
        <v>42.468800000000002</v>
      </c>
      <c r="E562" s="1">
        <v>-90.882499999999993</v>
      </c>
      <c r="F562" s="1" t="s">
        <v>1922</v>
      </c>
      <c r="G562" s="22">
        <v>1303.9143427071162</v>
      </c>
      <c r="H562" s="20">
        <f ca="1">NOW() - TIME(5,30,0) + (VLOOKUP(MasterTable[[#This Row],[TimeZone]], $O$3:$P$8, 2, FALSE) / 24)</f>
        <v>45990.531878125003</v>
      </c>
      <c r="I562" s="1" t="s">
        <v>1944</v>
      </c>
      <c r="J562" s="1">
        <v>616.55999999999995</v>
      </c>
    </row>
    <row r="563" spans="1:10" x14ac:dyDescent="0.25">
      <c r="A563" s="1" t="s">
        <v>201</v>
      </c>
      <c r="B563" s="1" t="s">
        <v>202</v>
      </c>
      <c r="C563" s="1" t="s">
        <v>602</v>
      </c>
      <c r="D563" s="1">
        <v>42.036200000000001</v>
      </c>
      <c r="E563" s="1">
        <v>-93.465000000000003</v>
      </c>
      <c r="F563" s="1" t="s">
        <v>1922</v>
      </c>
      <c r="G563" s="22">
        <v>1173.2289407649664</v>
      </c>
      <c r="H563" s="20">
        <f ca="1">NOW() - TIME(5,30,0) + (VLOOKUP(MasterTable[[#This Row],[TimeZone]], $O$3:$P$8, 2, FALSE) / 24)</f>
        <v>45990.531878125003</v>
      </c>
      <c r="I563" s="1" t="s">
        <v>1944</v>
      </c>
      <c r="J563" s="1">
        <v>573.70000000000005</v>
      </c>
    </row>
    <row r="564" spans="1:10" x14ac:dyDescent="0.25">
      <c r="A564" s="1" t="s">
        <v>201</v>
      </c>
      <c r="B564" s="1" t="s">
        <v>202</v>
      </c>
      <c r="C564" s="1" t="s">
        <v>619</v>
      </c>
      <c r="D564" s="1">
        <v>41.336599999999997</v>
      </c>
      <c r="E564" s="1">
        <v>-95.542299999999997</v>
      </c>
      <c r="F564" s="1" t="s">
        <v>1922</v>
      </c>
      <c r="G564" s="22">
        <v>1056.3690539241366</v>
      </c>
      <c r="H564" s="20">
        <f ca="1">NOW() - TIME(5,30,0) + (VLOOKUP(MasterTable[[#This Row],[TimeZone]], $O$3:$P$8, 2, FALSE) / 24)</f>
        <v>45990.531878125003</v>
      </c>
      <c r="I564" s="1" t="s">
        <v>1944</v>
      </c>
      <c r="J564" s="1">
        <v>959.94</v>
      </c>
    </row>
    <row r="565" spans="1:10" x14ac:dyDescent="0.25">
      <c r="A565" s="1" t="s">
        <v>201</v>
      </c>
      <c r="B565" s="1" t="s">
        <v>202</v>
      </c>
      <c r="C565" s="1" t="s">
        <v>331</v>
      </c>
      <c r="D565" s="1">
        <v>41.334299999999999</v>
      </c>
      <c r="E565" s="1">
        <v>-93.561499999999995</v>
      </c>
      <c r="F565" s="1" t="s">
        <v>1922</v>
      </c>
      <c r="G565" s="22">
        <v>1145.5708204246866</v>
      </c>
      <c r="H565" s="20">
        <f ca="1">NOW() - TIME(5,30,0) + (VLOOKUP(MasterTable[[#This Row],[TimeZone]], $O$3:$P$8, 2, FALSE) / 24)</f>
        <v>45990.531878125003</v>
      </c>
      <c r="I565" s="1" t="s">
        <v>1944</v>
      </c>
      <c r="J565" s="1">
        <v>286.74</v>
      </c>
    </row>
    <row r="566" spans="1:10" x14ac:dyDescent="0.25">
      <c r="A566" s="1" t="s">
        <v>201</v>
      </c>
      <c r="B566" s="1" t="s">
        <v>202</v>
      </c>
      <c r="C566" s="1" t="s">
        <v>675</v>
      </c>
      <c r="D566" s="1">
        <v>41.898000000000003</v>
      </c>
      <c r="E566" s="1">
        <v>-90.531999999999996</v>
      </c>
      <c r="F566" s="1" t="s">
        <v>1922</v>
      </c>
      <c r="G566" s="22">
        <v>1303.3114967860517</v>
      </c>
      <c r="H566" s="20">
        <f ca="1">NOW() - TIME(5,30,0) + (VLOOKUP(MasterTable[[#This Row],[TimeZone]], $O$3:$P$8, 2, FALSE) / 24)</f>
        <v>45990.531878125003</v>
      </c>
      <c r="I566" s="1" t="s">
        <v>1944</v>
      </c>
      <c r="J566" s="1">
        <v>503.48</v>
      </c>
    </row>
    <row r="567" spans="1:10" x14ac:dyDescent="0.25">
      <c r="A567" s="1" t="s">
        <v>201</v>
      </c>
      <c r="B567" s="1" t="s">
        <v>202</v>
      </c>
      <c r="C567" s="1" t="s">
        <v>919</v>
      </c>
      <c r="D567" s="1">
        <v>43.081600000000002</v>
      </c>
      <c r="E567" s="1">
        <v>-93.260800000000003</v>
      </c>
      <c r="F567" s="1" t="s">
        <v>1922</v>
      </c>
      <c r="G567" s="22">
        <v>1219.2272342327042</v>
      </c>
      <c r="H567" s="20">
        <f ca="1">NOW() - TIME(5,30,0) + (VLOOKUP(MasterTable[[#This Row],[TimeZone]], $O$3:$P$8, 2, FALSE) / 24)</f>
        <v>45990.531878125003</v>
      </c>
      <c r="I567" s="1" t="s">
        <v>1944</v>
      </c>
      <c r="J567" s="1">
        <v>575.12</v>
      </c>
    </row>
    <row r="568" spans="1:10" x14ac:dyDescent="0.25">
      <c r="A568" s="1" t="s">
        <v>201</v>
      </c>
      <c r="B568" s="1" t="s">
        <v>202</v>
      </c>
      <c r="C568" s="1" t="s">
        <v>920</v>
      </c>
      <c r="D568" s="1">
        <v>41.483899999999998</v>
      </c>
      <c r="E568" s="1">
        <v>-91.112700000000004</v>
      </c>
      <c r="F568" s="1" t="s">
        <v>1922</v>
      </c>
      <c r="G568" s="22">
        <v>1264.2705924559198</v>
      </c>
      <c r="H568" s="20">
        <f ca="1">NOW() - TIME(5,30,0) + (VLOOKUP(MasterTable[[#This Row],[TimeZone]], $O$3:$P$8, 2, FALSE) / 24)</f>
        <v>45990.531878125003</v>
      </c>
      <c r="I568" s="1" t="s">
        <v>1944</v>
      </c>
      <c r="J568" s="1">
        <v>449.07</v>
      </c>
    </row>
    <row r="569" spans="1:10" x14ac:dyDescent="0.25">
      <c r="A569" s="1" t="s">
        <v>201</v>
      </c>
      <c r="B569" s="1" t="s">
        <v>202</v>
      </c>
      <c r="C569" s="1" t="s">
        <v>600</v>
      </c>
      <c r="D569" s="1">
        <v>42.035800000000002</v>
      </c>
      <c r="E569" s="1">
        <v>-92.998800000000003</v>
      </c>
      <c r="F569" s="1" t="s">
        <v>1922</v>
      </c>
      <c r="G569" s="22">
        <v>1194.1020067731265</v>
      </c>
      <c r="H569" s="20">
        <f ca="1">NOW() - TIME(5,30,0) + (VLOOKUP(MasterTable[[#This Row],[TimeZone]], $O$3:$P$8, 2, FALSE) / 24)</f>
        <v>45990.531878125003</v>
      </c>
      <c r="I569" s="1" t="s">
        <v>1944</v>
      </c>
      <c r="J569" s="1">
        <v>623.16</v>
      </c>
    </row>
    <row r="570" spans="1:10" x14ac:dyDescent="0.25">
      <c r="A570" s="1" t="s">
        <v>201</v>
      </c>
      <c r="B570" s="1" t="s">
        <v>202</v>
      </c>
      <c r="C570" s="1" t="s">
        <v>968</v>
      </c>
      <c r="D570" s="1">
        <v>40.923200000000001</v>
      </c>
      <c r="E570" s="1">
        <v>-91.1815</v>
      </c>
      <c r="F570" s="1" t="s">
        <v>1922</v>
      </c>
      <c r="G570" s="22">
        <v>1245.6675640944184</v>
      </c>
      <c r="H570" s="20">
        <f ca="1">NOW() - TIME(5,30,0) + (VLOOKUP(MasterTable[[#This Row],[TimeZone]], $O$3:$P$8, 2, FALSE) / 24)</f>
        <v>45990.531878125003</v>
      </c>
      <c r="I570" s="1" t="s">
        <v>1944</v>
      </c>
      <c r="J570" s="1">
        <v>429.8</v>
      </c>
    </row>
    <row r="571" spans="1:10" x14ac:dyDescent="0.25">
      <c r="A571" s="1" t="s">
        <v>201</v>
      </c>
      <c r="B571" s="1" t="s">
        <v>202</v>
      </c>
      <c r="C571" s="1" t="s">
        <v>522</v>
      </c>
      <c r="D571" s="1">
        <v>41.686</v>
      </c>
      <c r="E571" s="1">
        <v>-93.053799999999995</v>
      </c>
      <c r="F571" s="1" t="s">
        <v>1922</v>
      </c>
      <c r="G571" s="22">
        <v>1180.1451438927133</v>
      </c>
      <c r="H571" s="20">
        <f ca="1">NOW() - TIME(5,30,0) + (VLOOKUP(MasterTable[[#This Row],[TimeZone]], $O$3:$P$8, 2, FALSE) / 24)</f>
        <v>45990.531878125003</v>
      </c>
      <c r="I571" s="1" t="s">
        <v>1944</v>
      </c>
      <c r="J571" s="1">
        <v>373.58</v>
      </c>
    </row>
    <row r="572" spans="1:10" x14ac:dyDescent="0.25">
      <c r="A572" s="1" t="s">
        <v>201</v>
      </c>
      <c r="B572" s="1" t="s">
        <v>202</v>
      </c>
      <c r="C572" s="1" t="s">
        <v>955</v>
      </c>
      <c r="D572" s="1">
        <v>42.427900000000001</v>
      </c>
      <c r="E572" s="1">
        <v>-94.181799999999996</v>
      </c>
      <c r="F572" s="1" t="s">
        <v>1922</v>
      </c>
      <c r="G572" s="22">
        <v>1155.6358271975594</v>
      </c>
      <c r="H572" s="20">
        <f ca="1">NOW() - TIME(5,30,0) + (VLOOKUP(MasterTable[[#This Row],[TimeZone]], $O$3:$P$8, 2, FALSE) / 24)</f>
        <v>45990.531878125003</v>
      </c>
      <c r="I572" s="1" t="s">
        <v>1944</v>
      </c>
      <c r="J572" s="1">
        <v>210.26</v>
      </c>
    </row>
    <row r="573" spans="1:10" x14ac:dyDescent="0.25">
      <c r="A573" s="1" t="s">
        <v>201</v>
      </c>
      <c r="B573" s="1" t="s">
        <v>202</v>
      </c>
      <c r="C573" s="1" t="s">
        <v>1007</v>
      </c>
      <c r="D573" s="1">
        <v>43.082599999999999</v>
      </c>
      <c r="E573" s="1">
        <v>-96.177899999999994</v>
      </c>
      <c r="F573" s="1" t="s">
        <v>1922</v>
      </c>
      <c r="G573" s="22">
        <v>1098.8221991776127</v>
      </c>
      <c r="H573" s="20">
        <f ca="1">NOW() - TIME(5,30,0) + (VLOOKUP(MasterTable[[#This Row],[TimeZone]], $O$3:$P$8, 2, FALSE) / 24)</f>
        <v>45990.531878125003</v>
      </c>
      <c r="I573" s="1" t="s">
        <v>1944</v>
      </c>
      <c r="J573" s="1">
        <v>768.58</v>
      </c>
    </row>
    <row r="574" spans="1:10" x14ac:dyDescent="0.25">
      <c r="A574" s="1" t="s">
        <v>201</v>
      </c>
      <c r="B574" s="1" t="s">
        <v>202</v>
      </c>
      <c r="C574" s="1" t="s">
        <v>1014</v>
      </c>
      <c r="D574" s="1">
        <v>41.0306</v>
      </c>
      <c r="E574" s="1">
        <v>-92.409499999999994</v>
      </c>
      <c r="F574" s="1" t="s">
        <v>1922</v>
      </c>
      <c r="G574" s="22">
        <v>1189.9868963368399</v>
      </c>
      <c r="H574" s="20">
        <f ca="1">NOW() - TIME(5,30,0) + (VLOOKUP(MasterTable[[#This Row],[TimeZone]], $O$3:$P$8, 2, FALSE) / 24)</f>
        <v>45990.531878125003</v>
      </c>
      <c r="I574" s="1" t="s">
        <v>1944</v>
      </c>
      <c r="J574" s="1">
        <v>435.98</v>
      </c>
    </row>
    <row r="575" spans="1:10" x14ac:dyDescent="0.25">
      <c r="A575" s="1" t="s">
        <v>201</v>
      </c>
      <c r="B575" s="1" t="s">
        <v>202</v>
      </c>
      <c r="C575" s="1" t="s">
        <v>88</v>
      </c>
      <c r="D575" s="1">
        <v>41.334400000000002</v>
      </c>
      <c r="E575" s="1">
        <v>-93.099400000000003</v>
      </c>
      <c r="F575" s="1" t="s">
        <v>1922</v>
      </c>
      <c r="G575" s="22">
        <v>1166.8704871076206</v>
      </c>
      <c r="H575" s="20">
        <f ca="1">NOW() - TIME(5,30,0) + (VLOOKUP(MasterTable[[#This Row],[TimeZone]], $O$3:$P$8, 2, FALSE) / 24)</f>
        <v>45990.531878125003</v>
      </c>
      <c r="I575" s="1" t="s">
        <v>1944</v>
      </c>
      <c r="J575" s="1">
        <v>743.57</v>
      </c>
    </row>
    <row r="576" spans="1:10" x14ac:dyDescent="0.25">
      <c r="A576" s="1" t="s">
        <v>201</v>
      </c>
      <c r="B576" s="1" t="s">
        <v>202</v>
      </c>
      <c r="C576" s="1" t="s">
        <v>127</v>
      </c>
      <c r="D576" s="1">
        <v>40.642000000000003</v>
      </c>
      <c r="E576" s="1">
        <v>-91.479299999999995</v>
      </c>
      <c r="F576" s="1" t="s">
        <v>1922</v>
      </c>
      <c r="G576" s="22">
        <v>1223.8614843782605</v>
      </c>
      <c r="H576" s="20">
        <f ca="1">NOW() - TIME(5,30,0) + (VLOOKUP(MasterTable[[#This Row],[TimeZone]], $O$3:$P$8, 2, FALSE) / 24)</f>
        <v>45990.531878125003</v>
      </c>
      <c r="I576" s="1" t="s">
        <v>1944</v>
      </c>
      <c r="J576" s="1">
        <v>615.54999999999995</v>
      </c>
    </row>
    <row r="577" spans="1:10" x14ac:dyDescent="0.25">
      <c r="A577" s="1" t="s">
        <v>201</v>
      </c>
      <c r="B577" s="1" t="s">
        <v>202</v>
      </c>
      <c r="C577" s="1" t="s">
        <v>398</v>
      </c>
      <c r="D577" s="1">
        <v>42.036499999999997</v>
      </c>
      <c r="E577" s="1">
        <v>-93.931600000000003</v>
      </c>
      <c r="F577" s="1" t="s">
        <v>1922</v>
      </c>
      <c r="G577" s="22">
        <v>1152.5156146336803</v>
      </c>
      <c r="H577" s="20">
        <f ca="1">NOW() - TIME(5,30,0) + (VLOOKUP(MasterTable[[#This Row],[TimeZone]], $O$3:$P$8, 2, FALSE) / 24)</f>
        <v>45990.531878125003</v>
      </c>
      <c r="I577" s="1" t="s">
        <v>1944</v>
      </c>
      <c r="J577" s="1">
        <v>601.82000000000005</v>
      </c>
    </row>
    <row r="578" spans="1:10" x14ac:dyDescent="0.25">
      <c r="A578" s="1" t="s">
        <v>201</v>
      </c>
      <c r="B578" s="1" t="s">
        <v>202</v>
      </c>
      <c r="C578" s="1" t="s">
        <v>191</v>
      </c>
      <c r="D578" s="1">
        <v>42.7378</v>
      </c>
      <c r="E578" s="1">
        <v>-96.214100000000002</v>
      </c>
      <c r="F578" s="1" t="s">
        <v>1922</v>
      </c>
      <c r="G578" s="22">
        <v>1082.7891747145022</v>
      </c>
      <c r="H578" s="20">
        <f ca="1">NOW() - TIME(5,30,0) + (VLOOKUP(MasterTable[[#This Row],[TimeZone]], $O$3:$P$8, 2, FALSE) / 24)</f>
        <v>45990.531878125003</v>
      </c>
      <c r="I578" s="1" t="s">
        <v>1944</v>
      </c>
      <c r="J578" s="1">
        <v>863.96</v>
      </c>
    </row>
    <row r="579" spans="1:10" x14ac:dyDescent="0.25">
      <c r="A579" s="1" t="s">
        <v>201</v>
      </c>
      <c r="B579" s="1" t="s">
        <v>202</v>
      </c>
      <c r="C579" s="1" t="s">
        <v>298</v>
      </c>
      <c r="D579" s="1">
        <v>42.080199999999998</v>
      </c>
      <c r="E579" s="1">
        <v>-92.065700000000007</v>
      </c>
      <c r="F579" s="1" t="s">
        <v>1922</v>
      </c>
      <c r="G579" s="22">
        <v>1237.8105821537556</v>
      </c>
      <c r="H579" s="20">
        <f ca="1">NOW() - TIME(5,30,0) + (VLOOKUP(MasterTable[[#This Row],[TimeZone]], $O$3:$P$8, 2, FALSE) / 24)</f>
        <v>45990.531878125003</v>
      </c>
      <c r="I579" s="1" t="s">
        <v>1944</v>
      </c>
      <c r="J579" s="1">
        <v>880.24</v>
      </c>
    </row>
    <row r="580" spans="1:10" x14ac:dyDescent="0.25">
      <c r="A580" s="1" t="s">
        <v>201</v>
      </c>
      <c r="B580" s="1" t="s">
        <v>202</v>
      </c>
      <c r="C580" s="1" t="s">
        <v>1168</v>
      </c>
      <c r="D580" s="1">
        <v>42.7746</v>
      </c>
      <c r="E580" s="1">
        <v>-92.318100000000001</v>
      </c>
      <c r="F580" s="1" t="s">
        <v>1922</v>
      </c>
      <c r="G580" s="22">
        <v>1249.3086192689661</v>
      </c>
      <c r="H580" s="20">
        <f ca="1">NOW() - TIME(5,30,0) + (VLOOKUP(MasterTable[[#This Row],[TimeZone]], $O$3:$P$8, 2, FALSE) / 24)</f>
        <v>45990.531878125003</v>
      </c>
      <c r="I580" s="1" t="s">
        <v>1944</v>
      </c>
      <c r="J580" s="1">
        <v>439.6</v>
      </c>
    </row>
    <row r="581" spans="1:10" x14ac:dyDescent="0.25">
      <c r="A581" s="1" t="s">
        <v>201</v>
      </c>
      <c r="B581" s="1" t="s">
        <v>202</v>
      </c>
      <c r="C581" s="1" t="s">
        <v>28</v>
      </c>
      <c r="D581" s="1">
        <v>41.335599999999999</v>
      </c>
      <c r="E581" s="1">
        <v>-91.7179</v>
      </c>
      <c r="F581" s="1" t="s">
        <v>1922</v>
      </c>
      <c r="G581" s="22">
        <v>1231.4689311274326</v>
      </c>
      <c r="H581" s="20">
        <f ca="1">NOW() - TIME(5,30,0) + (VLOOKUP(MasterTable[[#This Row],[TimeZone]], $O$3:$P$8, 2, FALSE) / 24)</f>
        <v>45990.531878125003</v>
      </c>
      <c r="I581" s="1" t="s">
        <v>1944</v>
      </c>
      <c r="J581" s="1">
        <v>1088.54</v>
      </c>
    </row>
    <row r="582" spans="1:10" x14ac:dyDescent="0.25">
      <c r="A582" s="1" t="s">
        <v>201</v>
      </c>
      <c r="B582" s="1" t="s">
        <v>202</v>
      </c>
      <c r="C582" s="1" t="s">
        <v>1225</v>
      </c>
      <c r="D582" s="1">
        <v>41.3352</v>
      </c>
      <c r="E582" s="1">
        <v>-92.640900000000002</v>
      </c>
      <c r="F582" s="1" t="s">
        <v>1922</v>
      </c>
      <c r="G582" s="22">
        <v>1188.1795306766348</v>
      </c>
      <c r="H582" s="20">
        <f ca="1">NOW() - TIME(5,30,0) + (VLOOKUP(MasterTable[[#This Row],[TimeZone]], $O$3:$P$8, 2, FALSE) / 24)</f>
        <v>45990.531878125003</v>
      </c>
      <c r="I582" s="1" t="s">
        <v>1944</v>
      </c>
      <c r="J582" s="1">
        <v>573.4</v>
      </c>
    </row>
    <row r="583" spans="1:10" x14ac:dyDescent="0.25">
      <c r="A583" s="1" t="s">
        <v>201</v>
      </c>
      <c r="B583" s="1" t="s">
        <v>202</v>
      </c>
      <c r="C583" s="1" t="s">
        <v>733</v>
      </c>
      <c r="D583" s="1">
        <v>42.121200000000002</v>
      </c>
      <c r="E583" s="1">
        <v>-91.131500000000003</v>
      </c>
      <c r="F583" s="1" t="s">
        <v>1922</v>
      </c>
      <c r="G583" s="22">
        <v>1281.935081814303</v>
      </c>
      <c r="H583" s="20">
        <f ca="1">NOW() - TIME(5,30,0) + (VLOOKUP(MasterTable[[#This Row],[TimeZone]], $O$3:$P$8, 2, FALSE) / 24)</f>
        <v>45990.531878125003</v>
      </c>
      <c r="I583" s="1" t="s">
        <v>1944</v>
      </c>
      <c r="J583" s="1">
        <v>395.39</v>
      </c>
    </row>
    <row r="584" spans="1:10" x14ac:dyDescent="0.25">
      <c r="A584" s="1" t="s">
        <v>201</v>
      </c>
      <c r="B584" s="1" t="s">
        <v>202</v>
      </c>
      <c r="C584" s="1" t="s">
        <v>1259</v>
      </c>
      <c r="D584" s="1">
        <v>42.735500000000002</v>
      </c>
      <c r="E584" s="1">
        <v>-95.1511</v>
      </c>
      <c r="F584" s="1" t="s">
        <v>1922</v>
      </c>
      <c r="G584" s="22">
        <v>1126.2700708077468</v>
      </c>
      <c r="H584" s="20">
        <f ca="1">NOW() - TIME(5,30,0) + (VLOOKUP(MasterTable[[#This Row],[TimeZone]], $O$3:$P$8, 2, FALSE) / 24)</f>
        <v>45990.531878125003</v>
      </c>
      <c r="I584" s="1" t="s">
        <v>1944</v>
      </c>
      <c r="J584" s="1">
        <v>580.07000000000005</v>
      </c>
    </row>
    <row r="585" spans="1:10" x14ac:dyDescent="0.25">
      <c r="A585" s="1" t="s">
        <v>201</v>
      </c>
      <c r="B585" s="1" t="s">
        <v>202</v>
      </c>
      <c r="C585" s="1" t="s">
        <v>418</v>
      </c>
      <c r="D585" s="1">
        <v>42.036200000000001</v>
      </c>
      <c r="E585" s="1">
        <v>-94.860500000000002</v>
      </c>
      <c r="F585" s="1" t="s">
        <v>1922</v>
      </c>
      <c r="G585" s="22">
        <v>1111.8277762191915</v>
      </c>
      <c r="H585" s="20">
        <f ca="1">NOW() - TIME(5,30,0) + (VLOOKUP(MasterTable[[#This Row],[TimeZone]], $O$3:$P$8, 2, FALSE) / 24)</f>
        <v>45990.531878125003</v>
      </c>
      <c r="I585" s="1" t="s">
        <v>1944</v>
      </c>
      <c r="J585" s="1">
        <v>638.80999999999995</v>
      </c>
    </row>
    <row r="586" spans="1:10" x14ac:dyDescent="0.25">
      <c r="A586" s="1" t="s">
        <v>201</v>
      </c>
      <c r="B586" s="1" t="s">
        <v>202</v>
      </c>
      <c r="C586" s="1" t="s">
        <v>651</v>
      </c>
      <c r="D586" s="1">
        <v>42.470799999999997</v>
      </c>
      <c r="E586" s="1">
        <v>-91.837900000000005</v>
      </c>
      <c r="F586" s="1" t="s">
        <v>1922</v>
      </c>
      <c r="G586" s="22">
        <v>1260.6272683624934</v>
      </c>
      <c r="H586" s="20">
        <f ca="1">NOW() - TIME(5,30,0) + (VLOOKUP(MasterTable[[#This Row],[TimeZone]], $O$3:$P$8, 2, FALSE) / 24)</f>
        <v>45990.531878125003</v>
      </c>
      <c r="I586" s="1" t="s">
        <v>1944</v>
      </c>
      <c r="J586" s="1">
        <v>573.35</v>
      </c>
    </row>
    <row r="587" spans="1:10" x14ac:dyDescent="0.25">
      <c r="A587" s="1" t="s">
        <v>201</v>
      </c>
      <c r="B587" s="1" t="s">
        <v>202</v>
      </c>
      <c r="C587" s="1" t="s">
        <v>332</v>
      </c>
      <c r="D587" s="1">
        <v>40.988</v>
      </c>
      <c r="E587" s="1">
        <v>-91.544499999999999</v>
      </c>
      <c r="F587" s="1" t="s">
        <v>1922</v>
      </c>
      <c r="G587" s="22">
        <v>1229.9662660044796</v>
      </c>
      <c r="H587" s="20">
        <f ca="1">NOW() - TIME(5,30,0) + (VLOOKUP(MasterTable[[#This Row],[TimeZone]], $O$3:$P$8, 2, FALSE) / 24)</f>
        <v>45990.531878125003</v>
      </c>
      <c r="I587" s="1" t="s">
        <v>1944</v>
      </c>
      <c r="J587" s="1">
        <v>568.33000000000004</v>
      </c>
    </row>
    <row r="588" spans="1:10" x14ac:dyDescent="0.25">
      <c r="A588" s="1" t="s">
        <v>201</v>
      </c>
      <c r="B588" s="1" t="s">
        <v>202</v>
      </c>
      <c r="C588" s="1" t="s">
        <v>1276</v>
      </c>
      <c r="D588" s="1">
        <v>43.290700000000001</v>
      </c>
      <c r="E588" s="1">
        <v>-91.843699999999998</v>
      </c>
      <c r="F588" s="1" t="s">
        <v>1922</v>
      </c>
      <c r="G588" s="22">
        <v>1287.8292552548567</v>
      </c>
      <c r="H588" s="20">
        <f ca="1">NOW() - TIME(5,30,0) + (VLOOKUP(MasterTable[[#This Row],[TimeZone]], $O$3:$P$8, 2, FALSE) / 24)</f>
        <v>45990.531878125003</v>
      </c>
      <c r="I588" s="1" t="s">
        <v>1944</v>
      </c>
      <c r="J588" s="1">
        <v>689.88</v>
      </c>
    </row>
    <row r="589" spans="1:10" x14ac:dyDescent="0.25">
      <c r="A589" s="1" t="s">
        <v>201</v>
      </c>
      <c r="B589" s="1" t="s">
        <v>202</v>
      </c>
      <c r="C589" s="1" t="s">
        <v>140</v>
      </c>
      <c r="D589" s="1">
        <v>42.171700000000001</v>
      </c>
      <c r="E589" s="1">
        <v>-90.574299999999994</v>
      </c>
      <c r="F589" s="1" t="s">
        <v>1922</v>
      </c>
      <c r="G589" s="22">
        <v>1309.2182440318304</v>
      </c>
      <c r="H589" s="20">
        <f ca="1">NOW() - TIME(5,30,0) + (VLOOKUP(MasterTable[[#This Row],[TimeZone]], $O$3:$P$8, 2, FALSE) / 24)</f>
        <v>45990.531878125003</v>
      </c>
      <c r="I589" s="1" t="s">
        <v>1944</v>
      </c>
      <c r="J589" s="1">
        <v>1126.77</v>
      </c>
    </row>
    <row r="590" spans="1:10" x14ac:dyDescent="0.25">
      <c r="A590" s="1" t="s">
        <v>201</v>
      </c>
      <c r="B590" s="1" t="s">
        <v>202</v>
      </c>
      <c r="C590" s="1" t="s">
        <v>279</v>
      </c>
      <c r="D590" s="1">
        <v>42.8626</v>
      </c>
      <c r="E590" s="1">
        <v>-91.844399999999993</v>
      </c>
      <c r="F590" s="1" t="s">
        <v>1922</v>
      </c>
      <c r="G590" s="22">
        <v>1273.2264804376987</v>
      </c>
      <c r="H590" s="20">
        <f ca="1">NOW() - TIME(5,30,0) + (VLOOKUP(MasterTable[[#This Row],[TimeZone]], $O$3:$P$8, 2, FALSE) / 24)</f>
        <v>45990.531878125003</v>
      </c>
      <c r="I590" s="1" t="s">
        <v>1944</v>
      </c>
      <c r="J590" s="1">
        <v>629.34</v>
      </c>
    </row>
    <row r="591" spans="1:10" x14ac:dyDescent="0.25">
      <c r="A591" s="1" t="s">
        <v>201</v>
      </c>
      <c r="B591" s="1" t="s">
        <v>202</v>
      </c>
      <c r="C591" s="1" t="s">
        <v>1306</v>
      </c>
      <c r="D591" s="1">
        <v>41.686399999999999</v>
      </c>
      <c r="E591" s="1">
        <v>-92.531499999999994</v>
      </c>
      <c r="F591" s="1" t="s">
        <v>1922</v>
      </c>
      <c r="G591" s="22">
        <v>1204.0851810030697</v>
      </c>
      <c r="H591" s="20">
        <f ca="1">NOW() - TIME(5,30,0) + (VLOOKUP(MasterTable[[#This Row],[TimeZone]], $O$3:$P$8, 2, FALSE) / 24)</f>
        <v>45990.531878125003</v>
      </c>
      <c r="I591" s="1" t="s">
        <v>1944</v>
      </c>
      <c r="J591" s="1">
        <v>586.16999999999996</v>
      </c>
    </row>
    <row r="592" spans="1:10" x14ac:dyDescent="0.25">
      <c r="A592" s="1" t="s">
        <v>201</v>
      </c>
      <c r="B592" s="1" t="s">
        <v>202</v>
      </c>
      <c r="C592" s="1" t="s">
        <v>1313</v>
      </c>
      <c r="D592" s="1">
        <v>41.772300000000001</v>
      </c>
      <c r="E592" s="1">
        <v>-91.132400000000004</v>
      </c>
      <c r="F592" s="1" t="s">
        <v>1922</v>
      </c>
      <c r="G592" s="22">
        <v>1271.5857253521517</v>
      </c>
      <c r="H592" s="20">
        <f ca="1">NOW() - TIME(5,30,0) + (VLOOKUP(MasterTable[[#This Row],[TimeZone]], $O$3:$P$8, 2, FALSE) / 24)</f>
        <v>45990.531878125003</v>
      </c>
      <c r="I592" s="1" t="s">
        <v>1944</v>
      </c>
      <c r="J592" s="1">
        <v>581.96</v>
      </c>
    </row>
    <row r="593" spans="1:10" x14ac:dyDescent="0.25">
      <c r="A593" s="1" t="s">
        <v>201</v>
      </c>
      <c r="B593" s="1" t="s">
        <v>202</v>
      </c>
      <c r="C593" s="1" t="s">
        <v>1145</v>
      </c>
      <c r="D593" s="1">
        <v>43.378</v>
      </c>
      <c r="E593" s="1">
        <v>-95.150800000000004</v>
      </c>
      <c r="F593" s="1" t="s">
        <v>1922</v>
      </c>
      <c r="G593" s="22">
        <v>1152.2841475720038</v>
      </c>
      <c r="H593" s="20">
        <f ca="1">NOW() - TIME(5,30,0) + (VLOOKUP(MasterTable[[#This Row],[TimeZone]], $O$3:$P$8, 2, FALSE) / 24)</f>
        <v>45990.531878125003</v>
      </c>
      <c r="I593" s="1" t="s">
        <v>1944</v>
      </c>
      <c r="J593" s="1">
        <v>403.69</v>
      </c>
    </row>
    <row r="594" spans="1:10" x14ac:dyDescent="0.25">
      <c r="A594" s="1" t="s">
        <v>201</v>
      </c>
      <c r="B594" s="1" t="s">
        <v>202</v>
      </c>
      <c r="C594" s="1" t="s">
        <v>174</v>
      </c>
      <c r="D594" s="1">
        <v>42.471200000000003</v>
      </c>
      <c r="E594" s="1">
        <v>-91.3673</v>
      </c>
      <c r="F594" s="1" t="s">
        <v>1922</v>
      </c>
      <c r="G594" s="22">
        <v>1281.9143765163169</v>
      </c>
      <c r="H594" s="20">
        <f ca="1">NOW() - TIME(5,30,0) + (VLOOKUP(MasterTable[[#This Row],[TimeZone]], $O$3:$P$8, 2, FALSE) / 24)</f>
        <v>45990.531878125003</v>
      </c>
      <c r="I594" s="1" t="s">
        <v>1944</v>
      </c>
      <c r="J594" s="1">
        <v>395.92</v>
      </c>
    </row>
    <row r="595" spans="1:10" x14ac:dyDescent="0.25">
      <c r="A595" s="1" t="s">
        <v>201</v>
      </c>
      <c r="B595" s="1" t="s">
        <v>202</v>
      </c>
      <c r="C595" s="1" t="s">
        <v>291</v>
      </c>
      <c r="D595" s="1">
        <v>42.844700000000003</v>
      </c>
      <c r="E595" s="1">
        <v>-91.341399999999993</v>
      </c>
      <c r="F595" s="1" t="s">
        <v>1922</v>
      </c>
      <c r="G595" s="22">
        <v>1295.028328544746</v>
      </c>
      <c r="H595" s="20">
        <f ca="1">NOW() - TIME(5,30,0) + (VLOOKUP(MasterTable[[#This Row],[TimeZone]], $O$3:$P$8, 2, FALSE) / 24)</f>
        <v>45990.531878125003</v>
      </c>
      <c r="I595" s="1" t="s">
        <v>1944</v>
      </c>
      <c r="J595" s="1">
        <v>144.28</v>
      </c>
    </row>
    <row r="596" spans="1:10" x14ac:dyDescent="0.25">
      <c r="A596" s="1" t="s">
        <v>201</v>
      </c>
      <c r="B596" s="1" t="s">
        <v>202</v>
      </c>
      <c r="C596" s="1" t="s">
        <v>1348</v>
      </c>
      <c r="D596" s="1">
        <v>42.079799999999999</v>
      </c>
      <c r="E596" s="1">
        <v>-92.532600000000002</v>
      </c>
      <c r="F596" s="1" t="s">
        <v>1922</v>
      </c>
      <c r="G596" s="22">
        <v>1216.5859594219498</v>
      </c>
      <c r="H596" s="20">
        <f ca="1">NOW() - TIME(5,30,0) + (VLOOKUP(MasterTable[[#This Row],[TimeZone]], $O$3:$P$8, 2, FALSE) / 24)</f>
        <v>45990.531878125003</v>
      </c>
      <c r="I596" s="1" t="s">
        <v>1944</v>
      </c>
      <c r="J596" s="1">
        <v>722.37</v>
      </c>
    </row>
    <row r="597" spans="1:10" x14ac:dyDescent="0.25">
      <c r="A597" s="1" t="s">
        <v>201</v>
      </c>
      <c r="B597" s="1" t="s">
        <v>202</v>
      </c>
      <c r="C597" s="1" t="s">
        <v>244</v>
      </c>
      <c r="D597" s="1">
        <v>41.3307</v>
      </c>
      <c r="E597" s="1">
        <v>-94.015600000000006</v>
      </c>
      <c r="F597" s="1" t="s">
        <v>1922</v>
      </c>
      <c r="G597" s="22">
        <v>1124.6849155449713</v>
      </c>
      <c r="H597" s="20">
        <f ca="1">NOW() - TIME(5,30,0) + (VLOOKUP(MasterTable[[#This Row],[TimeZone]], $O$3:$P$8, 2, FALSE) / 24)</f>
        <v>45990.531878125003</v>
      </c>
      <c r="I597" s="1" t="s">
        <v>1944</v>
      </c>
      <c r="J597" s="1">
        <v>812.85</v>
      </c>
    </row>
    <row r="598" spans="1:10" x14ac:dyDescent="0.25">
      <c r="A598" s="1" t="s">
        <v>201</v>
      </c>
      <c r="B598" s="1" t="s">
        <v>202</v>
      </c>
      <c r="C598" s="1" t="s">
        <v>551</v>
      </c>
      <c r="D598" s="1">
        <v>42.383899999999997</v>
      </c>
      <c r="E598" s="1">
        <v>-93.240399999999994</v>
      </c>
      <c r="F598" s="1" t="s">
        <v>1922</v>
      </c>
      <c r="G598" s="22">
        <v>1195.1716121202435</v>
      </c>
      <c r="H598" s="20">
        <f ca="1">NOW() - TIME(5,30,0) + (VLOOKUP(MasterTable[[#This Row],[TimeZone]], $O$3:$P$8, 2, FALSE) / 24)</f>
        <v>45990.531878125003</v>
      </c>
      <c r="I598" s="1" t="s">
        <v>1944</v>
      </c>
      <c r="J598" s="1">
        <v>181.53</v>
      </c>
    </row>
    <row r="599" spans="1:10" x14ac:dyDescent="0.25">
      <c r="A599" s="1" t="s">
        <v>201</v>
      </c>
      <c r="B599" s="1" t="s">
        <v>202</v>
      </c>
      <c r="C599" s="1" t="s">
        <v>202</v>
      </c>
      <c r="D599" s="1">
        <v>41.686300000000003</v>
      </c>
      <c r="E599" s="1">
        <v>-92.0655</v>
      </c>
      <c r="F599" s="1" t="s">
        <v>1922</v>
      </c>
      <c r="G599" s="22">
        <v>1225.5943199367566</v>
      </c>
      <c r="H599" s="20">
        <f ca="1">NOW() - TIME(5,30,0) + (VLOOKUP(MasterTable[[#This Row],[TimeZone]], $O$3:$P$8, 2, FALSE) / 24)</f>
        <v>45990.531878125003</v>
      </c>
      <c r="I599" s="1" t="s">
        <v>1944</v>
      </c>
      <c r="J599" s="1">
        <v>587.35</v>
      </c>
    </row>
    <row r="600" spans="1:10" x14ac:dyDescent="0.25">
      <c r="A600" s="1" t="s">
        <v>201</v>
      </c>
      <c r="B600" s="1" t="s">
        <v>202</v>
      </c>
      <c r="C600" s="1" t="s">
        <v>327</v>
      </c>
      <c r="D600" s="1">
        <v>43.082599999999999</v>
      </c>
      <c r="E600" s="1">
        <v>-95.150899999999993</v>
      </c>
      <c r="F600" s="1" t="s">
        <v>1922</v>
      </c>
      <c r="G600" s="22">
        <v>1140.1882811130847</v>
      </c>
      <c r="H600" s="20">
        <f ca="1">NOW() - TIME(5,30,0) + (VLOOKUP(MasterTable[[#This Row],[TimeZone]], $O$3:$P$8, 2, FALSE) / 24)</f>
        <v>45990.531878125003</v>
      </c>
      <c r="I600" s="1" t="s">
        <v>1944</v>
      </c>
      <c r="J600" s="1">
        <v>606</v>
      </c>
    </row>
    <row r="601" spans="1:10" x14ac:dyDescent="0.25">
      <c r="A601" s="1" t="s">
        <v>201</v>
      </c>
      <c r="B601" s="1" t="s">
        <v>202</v>
      </c>
      <c r="C601" s="1" t="s">
        <v>655</v>
      </c>
      <c r="D601" s="1">
        <v>42.037199999999999</v>
      </c>
      <c r="E601" s="1">
        <v>-95.382000000000005</v>
      </c>
      <c r="F601" s="1" t="s">
        <v>1922</v>
      </c>
      <c r="G601" s="22">
        <v>1089.3943274860453</v>
      </c>
      <c r="H601" s="20">
        <f ca="1">NOW() - TIME(5,30,0) + (VLOOKUP(MasterTable[[#This Row],[TimeZone]], $O$3:$P$8, 2, FALSE) / 24)</f>
        <v>45990.531878125003</v>
      </c>
      <c r="I601" s="1" t="s">
        <v>1944</v>
      </c>
      <c r="J601" s="1">
        <v>604.20000000000005</v>
      </c>
    </row>
    <row r="602" spans="1:10" x14ac:dyDescent="0.25">
      <c r="A602" s="1" t="s">
        <v>201</v>
      </c>
      <c r="B602" s="1" t="s">
        <v>202</v>
      </c>
      <c r="C602" s="1" t="s">
        <v>129</v>
      </c>
      <c r="D602" s="1">
        <v>41.031799999999997</v>
      </c>
      <c r="E602" s="1">
        <v>-91.948899999999995</v>
      </c>
      <c r="F602" s="1" t="s">
        <v>1922</v>
      </c>
      <c r="G602" s="22">
        <v>1211.8743576231129</v>
      </c>
      <c r="H602" s="20">
        <f ca="1">NOW() - TIME(5,30,0) + (VLOOKUP(MasterTable[[#This Row],[TimeZone]], $O$3:$P$8, 2, FALSE) / 24)</f>
        <v>45990.531878125003</v>
      </c>
      <c r="I602" s="1" t="s">
        <v>1944</v>
      </c>
      <c r="J602" s="1">
        <v>1123.8</v>
      </c>
    </row>
    <row r="603" spans="1:10" x14ac:dyDescent="0.25">
      <c r="A603" s="1" t="s">
        <v>201</v>
      </c>
      <c r="B603" s="1" t="s">
        <v>202</v>
      </c>
      <c r="C603" s="1" t="s">
        <v>595</v>
      </c>
      <c r="D603" s="1">
        <v>43.059899999999999</v>
      </c>
      <c r="E603" s="1">
        <v>-92.789000000000001</v>
      </c>
      <c r="F603" s="1" t="s">
        <v>1922</v>
      </c>
      <c r="G603" s="22">
        <v>1238.7143903288752</v>
      </c>
      <c r="H603" s="20">
        <f ca="1">NOW() - TIME(5,30,0) + (VLOOKUP(MasterTable[[#This Row],[TimeZone]], $O$3:$P$8, 2, FALSE) / 24)</f>
        <v>45990.531878125003</v>
      </c>
      <c r="I603" s="1" t="s">
        <v>1944</v>
      </c>
      <c r="J603" s="1">
        <v>518.46</v>
      </c>
    </row>
    <row r="604" spans="1:10" x14ac:dyDescent="0.25">
      <c r="A604" s="1" t="s">
        <v>201</v>
      </c>
      <c r="B604" s="1" t="s">
        <v>202</v>
      </c>
      <c r="C604" s="1" t="s">
        <v>1193</v>
      </c>
      <c r="D604" s="1">
        <v>40.739100000000001</v>
      </c>
      <c r="E604" s="1">
        <v>-95.150199999999998</v>
      </c>
      <c r="F604" s="1" t="s">
        <v>1922</v>
      </c>
      <c r="G604" s="22">
        <v>1053.1729860903913</v>
      </c>
      <c r="H604" s="20">
        <f ca="1">NOW() - TIME(5,30,0) + (VLOOKUP(MasterTable[[#This Row],[TimeZone]], $O$3:$P$8, 2, FALSE) / 24)</f>
        <v>45990.531878125003</v>
      </c>
      <c r="I604" s="1" t="s">
        <v>1944</v>
      </c>
      <c r="J604" s="1">
        <v>535.35</v>
      </c>
    </row>
    <row r="605" spans="1:10" x14ac:dyDescent="0.25">
      <c r="A605" s="1" t="s">
        <v>201</v>
      </c>
      <c r="B605" s="1" t="s">
        <v>202</v>
      </c>
      <c r="C605" s="1" t="s">
        <v>121</v>
      </c>
      <c r="D605" s="1">
        <v>42.383800000000001</v>
      </c>
      <c r="E605" s="1">
        <v>-93.706800000000001</v>
      </c>
      <c r="F605" s="1" t="s">
        <v>1922</v>
      </c>
      <c r="G605" s="22">
        <v>1174.6834842181606</v>
      </c>
      <c r="H605" s="20">
        <f ca="1">NOW() - TIME(5,30,0) + (VLOOKUP(MasterTable[[#This Row],[TimeZone]], $O$3:$P$8, 2, FALSE) / 24)</f>
        <v>45990.531878125003</v>
      </c>
      <c r="I605" s="1" t="s">
        <v>1944</v>
      </c>
      <c r="J605" s="1">
        <v>519.30999999999995</v>
      </c>
    </row>
    <row r="606" spans="1:10" x14ac:dyDescent="0.25">
      <c r="A606" s="1" t="s">
        <v>201</v>
      </c>
      <c r="B606" s="1" t="s">
        <v>202</v>
      </c>
      <c r="C606" s="1" t="s">
        <v>364</v>
      </c>
      <c r="D606" s="1">
        <v>41.682899999999997</v>
      </c>
      <c r="E606" s="1">
        <v>-95.816800000000001</v>
      </c>
      <c r="F606" s="1" t="s">
        <v>1922</v>
      </c>
      <c r="G606" s="22">
        <v>1057.240139993148</v>
      </c>
      <c r="H606" s="20">
        <f ca="1">NOW() - TIME(5,30,0) + (VLOOKUP(MasterTable[[#This Row],[TimeZone]], $O$3:$P$8, 2, FALSE) / 24)</f>
        <v>45990.531878125003</v>
      </c>
      <c r="I606" s="1" t="s">
        <v>1944</v>
      </c>
      <c r="J606" s="1">
        <v>486.88</v>
      </c>
    </row>
    <row r="607" spans="1:10" x14ac:dyDescent="0.25">
      <c r="A607" s="1" t="s">
        <v>201</v>
      </c>
      <c r="B607" s="1" t="s">
        <v>202</v>
      </c>
      <c r="C607" s="1" t="s">
        <v>1412</v>
      </c>
      <c r="D607" s="1">
        <v>43.204099999999997</v>
      </c>
      <c r="E607" s="1">
        <v>-94.206699999999998</v>
      </c>
      <c r="F607" s="1" t="s">
        <v>1922</v>
      </c>
      <c r="G607" s="22">
        <v>1183.9589903445303</v>
      </c>
      <c r="H607" s="20">
        <f ca="1">NOW() - TIME(5,30,0) + (VLOOKUP(MasterTable[[#This Row],[TimeZone]], $O$3:$P$8, 2, FALSE) / 24)</f>
        <v>45990.531878125003</v>
      </c>
      <c r="I607" s="1" t="s">
        <v>1944</v>
      </c>
      <c r="J607" s="1">
        <v>974.39</v>
      </c>
    </row>
    <row r="608" spans="1:10" x14ac:dyDescent="0.25">
      <c r="A608" s="1" t="s">
        <v>201</v>
      </c>
      <c r="B608" s="1" t="s">
        <v>202</v>
      </c>
      <c r="C608" s="1" t="s">
        <v>1416</v>
      </c>
      <c r="D608" s="1">
        <v>41.0334</v>
      </c>
      <c r="E608" s="1">
        <v>-95.621300000000005</v>
      </c>
      <c r="F608" s="1" t="s">
        <v>1922</v>
      </c>
      <c r="G608" s="22">
        <v>1041.983941796072</v>
      </c>
      <c r="H608" s="20">
        <f ca="1">NOW() - TIME(5,30,0) + (VLOOKUP(MasterTable[[#This Row],[TimeZone]], $O$3:$P$8, 2, FALSE) / 24)</f>
        <v>45990.531878125003</v>
      </c>
      <c r="I608" s="1" t="s">
        <v>1944</v>
      </c>
      <c r="J608" s="1">
        <v>439.67</v>
      </c>
    </row>
    <row r="609" spans="1:10" x14ac:dyDescent="0.25">
      <c r="A609" s="1" t="s">
        <v>201</v>
      </c>
      <c r="B609" s="1" t="s">
        <v>202</v>
      </c>
      <c r="C609" s="1" t="s">
        <v>245</v>
      </c>
      <c r="D609" s="1">
        <v>42.7316</v>
      </c>
      <c r="E609" s="1">
        <v>-92.790199999999999</v>
      </c>
      <c r="F609" s="1" t="s">
        <v>1922</v>
      </c>
      <c r="G609" s="22">
        <v>1227.0674775088019</v>
      </c>
      <c r="H609" s="20">
        <f ca="1">NOW() - TIME(5,30,0) + (VLOOKUP(MasterTable[[#This Row],[TimeZone]], $O$3:$P$8, 2, FALSE) / 24)</f>
        <v>45990.531878125003</v>
      </c>
      <c r="I609" s="1" t="s">
        <v>1944</v>
      </c>
      <c r="J609" s="1">
        <v>777.92</v>
      </c>
    </row>
    <row r="610" spans="1:10" x14ac:dyDescent="0.25">
      <c r="A610" s="1" t="s">
        <v>201</v>
      </c>
      <c r="B610" s="1" t="s">
        <v>202</v>
      </c>
      <c r="C610" s="1" t="s">
        <v>1430</v>
      </c>
      <c r="D610" s="1">
        <v>43.083799999999997</v>
      </c>
      <c r="E610" s="1">
        <v>-95.624899999999997</v>
      </c>
      <c r="F610" s="1" t="s">
        <v>1922</v>
      </c>
      <c r="G610" s="22">
        <v>1120.9934784857985</v>
      </c>
      <c r="H610" s="20">
        <f ca="1">NOW() - TIME(5,30,0) + (VLOOKUP(MasterTable[[#This Row],[TimeZone]], $O$3:$P$8, 2, FALSE) / 24)</f>
        <v>45990.531878125003</v>
      </c>
      <c r="I610" s="1" t="s">
        <v>1944</v>
      </c>
      <c r="J610" s="1">
        <v>573.25</v>
      </c>
    </row>
    <row r="611" spans="1:10" x14ac:dyDescent="0.25">
      <c r="A611" s="1" t="s">
        <v>201</v>
      </c>
      <c r="B611" s="1" t="s">
        <v>202</v>
      </c>
      <c r="C611" s="1" t="s">
        <v>1436</v>
      </c>
      <c r="D611" s="1">
        <v>43.284300000000002</v>
      </c>
      <c r="E611" s="1">
        <v>-91.378100000000003</v>
      </c>
      <c r="F611" s="1" t="s">
        <v>1922</v>
      </c>
      <c r="G611" s="22">
        <v>1307.96249458082</v>
      </c>
      <c r="H611" s="20">
        <f ca="1">NOW() - TIME(5,30,0) + (VLOOKUP(MasterTable[[#This Row],[TimeZone]], $O$3:$P$8, 2, FALSE) / 24)</f>
        <v>45990.531878125003</v>
      </c>
      <c r="I611" s="1" t="s">
        <v>1944</v>
      </c>
      <c r="J611" s="1">
        <v>658.71</v>
      </c>
    </row>
    <row r="612" spans="1:10" x14ac:dyDescent="0.25">
      <c r="A612" s="1" t="s">
        <v>201</v>
      </c>
      <c r="B612" s="1" t="s">
        <v>202</v>
      </c>
      <c r="C612" s="1" t="s">
        <v>392</v>
      </c>
      <c r="D612" s="1">
        <v>41.331499999999998</v>
      </c>
      <c r="E612" s="1">
        <v>-94.927800000000005</v>
      </c>
      <c r="F612" s="1" t="s">
        <v>1922</v>
      </c>
      <c r="G612" s="22">
        <v>1083.5111554810719</v>
      </c>
      <c r="H612" s="20">
        <f ca="1">NOW() - TIME(5,30,0) + (VLOOKUP(MasterTable[[#This Row],[TimeZone]], $O$3:$P$8, 2, FALSE) / 24)</f>
        <v>45990.531878125003</v>
      </c>
      <c r="I612" s="1" t="s">
        <v>1944</v>
      </c>
      <c r="J612" s="1">
        <v>383.73</v>
      </c>
    </row>
    <row r="613" spans="1:10" x14ac:dyDescent="0.25">
      <c r="A613" s="1" t="s">
        <v>201</v>
      </c>
      <c r="B613" s="1" t="s">
        <v>202</v>
      </c>
      <c r="C613" s="1" t="s">
        <v>478</v>
      </c>
      <c r="D613" s="1">
        <v>42.7331</v>
      </c>
      <c r="E613" s="1">
        <v>-93.735200000000006</v>
      </c>
      <c r="F613" s="1" t="s">
        <v>1922</v>
      </c>
      <c r="G613" s="22">
        <v>1186.0910958668546</v>
      </c>
      <c r="H613" s="20">
        <f ca="1">NOW() - TIME(5,30,0) + (VLOOKUP(MasterTable[[#This Row],[TimeZone]], $O$3:$P$8, 2, FALSE) / 24)</f>
        <v>45990.531878125003</v>
      </c>
      <c r="I613" s="1" t="s">
        <v>1944</v>
      </c>
      <c r="J613" s="1">
        <v>582.54</v>
      </c>
    </row>
    <row r="614" spans="1:10" x14ac:dyDescent="0.25">
      <c r="A614" s="1" t="s">
        <v>201</v>
      </c>
      <c r="B614" s="1" t="s">
        <v>202</v>
      </c>
      <c r="C614" s="1" t="s">
        <v>825</v>
      </c>
      <c r="D614" s="1">
        <v>42.401899999999998</v>
      </c>
      <c r="E614" s="1">
        <v>-92.791399999999996</v>
      </c>
      <c r="F614" s="1" t="s">
        <v>1922</v>
      </c>
      <c r="G614" s="22">
        <v>1215.6741122993533</v>
      </c>
      <c r="H614" s="20">
        <f ca="1">NOW() - TIME(5,30,0) + (VLOOKUP(MasterTable[[#This Row],[TimeZone]], $O$3:$P$8, 2, FALSE) / 24)</f>
        <v>45990.531878125003</v>
      </c>
      <c r="I614" s="1" t="s">
        <v>1944</v>
      </c>
      <c r="J614" s="1">
        <v>430.42</v>
      </c>
    </row>
    <row r="615" spans="1:10" x14ac:dyDescent="0.25">
      <c r="A615" s="1" t="s">
        <v>201</v>
      </c>
      <c r="B615" s="1" t="s">
        <v>202</v>
      </c>
      <c r="C615" s="1" t="s">
        <v>1494</v>
      </c>
      <c r="D615" s="1">
        <v>40.743200000000002</v>
      </c>
      <c r="E615" s="1">
        <v>-92.868600000000001</v>
      </c>
      <c r="F615" s="1" t="s">
        <v>1922</v>
      </c>
      <c r="G615" s="22">
        <v>1159.8856761613181</v>
      </c>
      <c r="H615" s="20">
        <f ca="1">NOW() - TIME(5,30,0) + (VLOOKUP(MasterTable[[#This Row],[TimeZone]], $O$3:$P$8, 2, FALSE) / 24)</f>
        <v>45990.531878125003</v>
      </c>
      <c r="I615" s="1" t="s">
        <v>1944</v>
      </c>
      <c r="J615" s="1">
        <v>516.35</v>
      </c>
    </row>
    <row r="616" spans="1:10" x14ac:dyDescent="0.25">
      <c r="A616" s="1" t="s">
        <v>201</v>
      </c>
      <c r="B616" s="1" t="s">
        <v>202</v>
      </c>
      <c r="C616" s="1" t="s">
        <v>773</v>
      </c>
      <c r="D616" s="1">
        <v>43.380499999999998</v>
      </c>
      <c r="E616" s="1">
        <v>-96.2102</v>
      </c>
      <c r="F616" s="1" t="s">
        <v>1922</v>
      </c>
      <c r="G616" s="22">
        <v>1110.4019322833528</v>
      </c>
      <c r="H616" s="20">
        <f ca="1">NOW() - TIME(5,30,0) + (VLOOKUP(MasterTable[[#This Row],[TimeZone]], $O$3:$P$8, 2, FALSE) / 24)</f>
        <v>45990.531878125003</v>
      </c>
      <c r="I616" s="1" t="s">
        <v>1944</v>
      </c>
      <c r="J616" s="1">
        <v>587.63</v>
      </c>
    </row>
    <row r="617" spans="1:10" x14ac:dyDescent="0.25">
      <c r="A617" s="1" t="s">
        <v>201</v>
      </c>
      <c r="B617" s="1" t="s">
        <v>202</v>
      </c>
      <c r="C617" s="1" t="s">
        <v>177</v>
      </c>
      <c r="D617" s="1">
        <v>41.027700000000003</v>
      </c>
      <c r="E617" s="1">
        <v>-94.242400000000004</v>
      </c>
      <c r="F617" s="1" t="s">
        <v>1922</v>
      </c>
      <c r="G617" s="22">
        <v>1104.3620923015869</v>
      </c>
      <c r="H617" s="20">
        <f ca="1">NOW() - TIME(5,30,0) + (VLOOKUP(MasterTable[[#This Row],[TimeZone]], $O$3:$P$8, 2, FALSE) / 24)</f>
        <v>45990.531878125003</v>
      </c>
      <c r="I617" s="1" t="s">
        <v>1944</v>
      </c>
      <c r="J617" s="1">
        <v>1055.27</v>
      </c>
    </row>
    <row r="618" spans="1:10" x14ac:dyDescent="0.25">
      <c r="A618" s="1" t="s">
        <v>201</v>
      </c>
      <c r="B618" s="1" t="s">
        <v>202</v>
      </c>
      <c r="C618" s="1" t="s">
        <v>1347</v>
      </c>
      <c r="D618" s="1">
        <v>43.060099999999998</v>
      </c>
      <c r="E618" s="1">
        <v>-92.317700000000002</v>
      </c>
      <c r="F618" s="1" t="s">
        <v>1922</v>
      </c>
      <c r="G618" s="22">
        <v>1259.1713499574844</v>
      </c>
      <c r="H618" s="20">
        <f ca="1">NOW() - TIME(5,30,0) + (VLOOKUP(MasterTable[[#This Row],[TimeZone]], $O$3:$P$8, 2, FALSE) / 24)</f>
        <v>45990.531878125003</v>
      </c>
      <c r="I618" s="1" t="s">
        <v>1944</v>
      </c>
      <c r="J618" s="1">
        <v>505.48</v>
      </c>
    </row>
    <row r="619" spans="1:10" x14ac:dyDescent="0.25">
      <c r="A619" s="1" t="s">
        <v>201</v>
      </c>
      <c r="B619" s="1" t="s">
        <v>202</v>
      </c>
      <c r="C619" s="1" t="s">
        <v>107</v>
      </c>
      <c r="D619" s="1">
        <v>41.685099999999998</v>
      </c>
      <c r="E619" s="1">
        <v>-95.310199999999995</v>
      </c>
      <c r="F619" s="1" t="s">
        <v>1922</v>
      </c>
      <c r="G619" s="22">
        <v>1079.3027952816544</v>
      </c>
      <c r="H619" s="20">
        <f ca="1">NOW() - TIME(5,30,0) + (VLOOKUP(MasterTable[[#This Row],[TimeZone]], $O$3:$P$8, 2, FALSE) / 24)</f>
        <v>45990.531878125003</v>
      </c>
      <c r="I619" s="1" t="s">
        <v>1944</v>
      </c>
      <c r="J619" s="1">
        <v>809.53</v>
      </c>
    </row>
    <row r="620" spans="1:10" x14ac:dyDescent="0.25">
      <c r="A620" s="1" t="s">
        <v>201</v>
      </c>
      <c r="B620" s="1" t="s">
        <v>202</v>
      </c>
      <c r="C620" s="1" t="s">
        <v>313</v>
      </c>
      <c r="D620" s="1">
        <v>42.735599999999998</v>
      </c>
      <c r="E620" s="1">
        <v>-95.623800000000003</v>
      </c>
      <c r="F620" s="1" t="s">
        <v>1922</v>
      </c>
      <c r="G620" s="22">
        <v>1106.7368067935693</v>
      </c>
      <c r="H620" s="20">
        <f ca="1">NOW() - TIME(5,30,0) + (VLOOKUP(MasterTable[[#This Row],[TimeZone]], $O$3:$P$8, 2, FALSE) / 24)</f>
        <v>45990.531878125003</v>
      </c>
      <c r="I620" s="1" t="s">
        <v>1944</v>
      </c>
      <c r="J620" s="1">
        <v>599.95000000000005</v>
      </c>
    </row>
    <row r="621" spans="1:10" x14ac:dyDescent="0.25">
      <c r="A621" s="1" t="s">
        <v>201</v>
      </c>
      <c r="B621" s="1" t="s">
        <v>202</v>
      </c>
      <c r="C621" s="1" t="s">
        <v>663</v>
      </c>
      <c r="D621" s="1">
        <v>43.081899999999997</v>
      </c>
      <c r="E621" s="1">
        <v>-93.734300000000005</v>
      </c>
      <c r="F621" s="1" t="s">
        <v>1922</v>
      </c>
      <c r="G621" s="22">
        <v>1199.1011436470596</v>
      </c>
      <c r="H621" s="20">
        <f ca="1">NOW() - TIME(5,30,0) + (VLOOKUP(MasterTable[[#This Row],[TimeZone]], $O$3:$P$8, 2, FALSE) / 24)</f>
        <v>45990.531878125003</v>
      </c>
      <c r="I621" s="1" t="s">
        <v>1944</v>
      </c>
      <c r="J621" s="1">
        <v>478.76</v>
      </c>
    </row>
    <row r="622" spans="1:10" x14ac:dyDescent="0.25">
      <c r="A622" s="1" t="s">
        <v>201</v>
      </c>
      <c r="B622" s="1" t="s">
        <v>202</v>
      </c>
      <c r="C622" s="1" t="s">
        <v>964</v>
      </c>
      <c r="D622" s="1">
        <v>41.218499999999999</v>
      </c>
      <c r="E622" s="1">
        <v>-91.259600000000006</v>
      </c>
      <c r="F622" s="1" t="s">
        <v>1922</v>
      </c>
      <c r="G622" s="22">
        <v>1249.9069541234369</v>
      </c>
      <c r="H622" s="20">
        <f ca="1">NOW() - TIME(5,30,0) + (VLOOKUP(MasterTable[[#This Row],[TimeZone]], $O$3:$P$8, 2, FALSE) / 24)</f>
        <v>45990.531878125003</v>
      </c>
      <c r="I622" s="1" t="s">
        <v>1944</v>
      </c>
      <c r="J622" s="1">
        <v>417.64</v>
      </c>
    </row>
    <row r="623" spans="1:10" x14ac:dyDescent="0.25">
      <c r="A623" s="1" t="s">
        <v>201</v>
      </c>
      <c r="B623" s="1" t="s">
        <v>202</v>
      </c>
      <c r="C623" s="1" t="s">
        <v>305</v>
      </c>
      <c r="D623" s="1">
        <v>43.377600000000001</v>
      </c>
      <c r="E623" s="1">
        <v>-93.734200000000001</v>
      </c>
      <c r="F623" s="1" t="s">
        <v>1922</v>
      </c>
      <c r="G623" s="22">
        <v>1210.3608605468855</v>
      </c>
      <c r="H623" s="20">
        <f ca="1">NOW() - TIME(5,30,0) + (VLOOKUP(MasterTable[[#This Row],[TimeZone]], $O$3:$P$8, 2, FALSE) / 24)</f>
        <v>45990.531878125003</v>
      </c>
      <c r="I623" s="1" t="s">
        <v>1944</v>
      </c>
      <c r="J623" s="1">
        <v>519.27</v>
      </c>
    </row>
    <row r="624" spans="1:10" x14ac:dyDescent="0.25">
      <c r="A624" s="1" t="s">
        <v>201</v>
      </c>
      <c r="B624" s="1" t="s">
        <v>202</v>
      </c>
      <c r="C624" s="1" t="s">
        <v>1534</v>
      </c>
      <c r="D624" s="1">
        <v>41.683700000000002</v>
      </c>
      <c r="E624" s="1">
        <v>-94.501099999999994</v>
      </c>
      <c r="F624" s="1" t="s">
        <v>1922</v>
      </c>
      <c r="G624" s="22">
        <v>1114.8849989599753</v>
      </c>
      <c r="H624" s="20">
        <f ca="1">NOW() - TIME(5,30,0) + (VLOOKUP(MasterTable[[#This Row],[TimeZone]], $O$3:$P$8, 2, FALSE) / 24)</f>
        <v>45990.531878125003</v>
      </c>
      <c r="I624" s="1" t="s">
        <v>1944</v>
      </c>
      <c r="J624" s="1">
        <v>593.05999999999995</v>
      </c>
    </row>
    <row r="625" spans="1:10" x14ac:dyDescent="0.25">
      <c r="A625" s="1" t="s">
        <v>201</v>
      </c>
      <c r="B625" s="1" t="s">
        <v>202</v>
      </c>
      <c r="C625" s="1" t="s">
        <v>1243</v>
      </c>
      <c r="D625" s="1">
        <v>43.356400000000001</v>
      </c>
      <c r="E625" s="1">
        <v>-92.789000000000001</v>
      </c>
      <c r="F625" s="1" t="s">
        <v>1922</v>
      </c>
      <c r="G625" s="22">
        <v>1249.4386650242416</v>
      </c>
      <c r="H625" s="20">
        <f ca="1">NOW() - TIME(5,30,0) + (VLOOKUP(MasterTable[[#This Row],[TimeZone]], $O$3:$P$8, 2, FALSE) / 24)</f>
        <v>45990.531878125003</v>
      </c>
      <c r="I625" s="1" t="s">
        <v>1944</v>
      </c>
      <c r="J625" s="1">
        <v>513.80999999999995</v>
      </c>
    </row>
    <row r="626" spans="1:10" x14ac:dyDescent="0.25">
      <c r="A626" s="1" t="s">
        <v>201</v>
      </c>
      <c r="B626" s="1" t="s">
        <v>202</v>
      </c>
      <c r="C626" s="1" t="s">
        <v>75</v>
      </c>
      <c r="D626" s="1">
        <v>41.030099999999997</v>
      </c>
      <c r="E626" s="1">
        <v>-95.156400000000005</v>
      </c>
      <c r="F626" s="1" t="s">
        <v>1922</v>
      </c>
      <c r="G626" s="22">
        <v>1062.7724106611256</v>
      </c>
      <c r="H626" s="20">
        <f ca="1">NOW() - TIME(5,30,0) + (VLOOKUP(MasterTable[[#This Row],[TimeZone]], $O$3:$P$8, 2, FALSE) / 24)</f>
        <v>45990.531878125003</v>
      </c>
      <c r="I626" s="1" t="s">
        <v>1944</v>
      </c>
      <c r="J626" s="1">
        <v>799.76</v>
      </c>
    </row>
    <row r="627" spans="1:10" x14ac:dyDescent="0.25">
      <c r="A627" s="1" t="s">
        <v>201</v>
      </c>
      <c r="B627" s="1" t="s">
        <v>202</v>
      </c>
      <c r="C627" s="1" t="s">
        <v>50</v>
      </c>
      <c r="D627" s="1">
        <v>42.732500000000002</v>
      </c>
      <c r="E627" s="1">
        <v>-93.262500000000003</v>
      </c>
      <c r="F627" s="1" t="s">
        <v>1922</v>
      </c>
      <c r="G627" s="22">
        <v>1206.4959770943281</v>
      </c>
      <c r="H627" s="20">
        <f ca="1">NOW() - TIME(5,30,0) + (VLOOKUP(MasterTable[[#This Row],[TimeZone]], $O$3:$P$8, 2, FALSE) / 24)</f>
        <v>45990.531878125003</v>
      </c>
      <c r="I627" s="1" t="s">
        <v>1944</v>
      </c>
      <c r="J627" s="1">
        <v>646.51</v>
      </c>
    </row>
    <row r="628" spans="1:10" x14ac:dyDescent="0.25">
      <c r="A628" s="1" t="s">
        <v>201</v>
      </c>
      <c r="B628" s="1" t="s">
        <v>202</v>
      </c>
      <c r="C628" s="1" t="s">
        <v>1554</v>
      </c>
      <c r="D628" s="1">
        <v>41.336500000000001</v>
      </c>
      <c r="E628" s="1">
        <v>-92.178600000000003</v>
      </c>
      <c r="F628" s="1" t="s">
        <v>1922</v>
      </c>
      <c r="G628" s="22">
        <v>1209.825123243249</v>
      </c>
      <c r="H628" s="20">
        <f ca="1">NOW() - TIME(5,30,0) + (VLOOKUP(MasterTable[[#This Row],[TimeZone]], $O$3:$P$8, 2, FALSE) / 24)</f>
        <v>45990.531878125003</v>
      </c>
      <c r="I628" s="1" t="s">
        <v>1944</v>
      </c>
      <c r="J628" s="1">
        <v>579.94000000000005</v>
      </c>
    </row>
    <row r="629" spans="1:10" x14ac:dyDescent="0.25">
      <c r="A629" s="1" t="s">
        <v>201</v>
      </c>
      <c r="B629" s="1" t="s">
        <v>202</v>
      </c>
      <c r="C629" s="1" t="s">
        <v>498</v>
      </c>
      <c r="D629" s="1">
        <v>42.385199999999998</v>
      </c>
      <c r="E629" s="1">
        <v>-94.6404</v>
      </c>
      <c r="F629" s="1" t="s">
        <v>1922</v>
      </c>
      <c r="G629" s="22">
        <v>1134.3196280298323</v>
      </c>
      <c r="H629" s="20">
        <f ca="1">NOW() - TIME(5,30,0) + (VLOOKUP(MasterTable[[#This Row],[TimeZone]], $O$3:$P$8, 2, FALSE) / 24)</f>
        <v>45990.531878125003</v>
      </c>
      <c r="I629" s="1" t="s">
        <v>1944</v>
      </c>
      <c r="J629" s="1">
        <v>612.32000000000005</v>
      </c>
    </row>
    <row r="630" spans="1:10" x14ac:dyDescent="0.25">
      <c r="A630" s="1" t="s">
        <v>201</v>
      </c>
      <c r="B630" s="1" t="s">
        <v>202</v>
      </c>
      <c r="C630" s="1" t="s">
        <v>1561</v>
      </c>
      <c r="D630" s="1">
        <v>42.386200000000002</v>
      </c>
      <c r="E630" s="1">
        <v>-95.105400000000003</v>
      </c>
      <c r="F630" s="1" t="s">
        <v>1922</v>
      </c>
      <c r="G630" s="22">
        <v>1114.5440467882245</v>
      </c>
      <c r="H630" s="20">
        <f ca="1">NOW() - TIME(5,30,0) + (VLOOKUP(MasterTable[[#This Row],[TimeZone]], $O$3:$P$8, 2, FALSE) / 24)</f>
        <v>45990.531878125003</v>
      </c>
      <c r="I630" s="1" t="s">
        <v>1944</v>
      </c>
      <c r="J630" s="1">
        <v>578.38</v>
      </c>
    </row>
    <row r="631" spans="1:10" x14ac:dyDescent="0.25">
      <c r="A631" s="1" t="s">
        <v>201</v>
      </c>
      <c r="B631" s="1" t="s">
        <v>202</v>
      </c>
      <c r="C631" s="1" t="s">
        <v>508</v>
      </c>
      <c r="D631" s="1">
        <v>41.029000000000003</v>
      </c>
      <c r="E631" s="1">
        <v>-93.785200000000003</v>
      </c>
      <c r="F631" s="1" t="s">
        <v>1922</v>
      </c>
      <c r="G631" s="22">
        <v>1125.5087486613515</v>
      </c>
      <c r="H631" s="20">
        <f ca="1">NOW() - TIME(5,30,0) + (VLOOKUP(MasterTable[[#This Row],[TimeZone]], $O$3:$P$8, 2, FALSE) / 24)</f>
        <v>45990.531878125003</v>
      </c>
      <c r="I631" s="1" t="s">
        <v>1944</v>
      </c>
      <c r="J631" s="1">
        <v>1252.51</v>
      </c>
    </row>
    <row r="632" spans="1:10" x14ac:dyDescent="0.25">
      <c r="A632" s="1" t="s">
        <v>201</v>
      </c>
      <c r="B632" s="1" t="s">
        <v>202</v>
      </c>
      <c r="C632" s="1" t="s">
        <v>495</v>
      </c>
      <c r="D632" s="1">
        <v>42.776499999999999</v>
      </c>
      <c r="E632" s="1">
        <v>-94.2072</v>
      </c>
      <c r="F632" s="1" t="s">
        <v>1922</v>
      </c>
      <c r="G632" s="22">
        <v>1167.535489338602</v>
      </c>
      <c r="H632" s="20">
        <f ca="1">NOW() - TIME(5,30,0) + (VLOOKUP(MasterTable[[#This Row],[TimeZone]], $O$3:$P$8, 2, FALSE) / 24)</f>
        <v>45990.531878125003</v>
      </c>
      <c r="I632" s="1" t="s">
        <v>1944</v>
      </c>
      <c r="J632" s="1">
        <v>4052.22</v>
      </c>
    </row>
    <row r="633" spans="1:10" x14ac:dyDescent="0.25">
      <c r="A633" s="1" t="s">
        <v>201</v>
      </c>
      <c r="B633" s="1" t="s">
        <v>202</v>
      </c>
      <c r="C633" s="1" t="s">
        <v>273</v>
      </c>
      <c r="D633" s="1">
        <v>43.3568</v>
      </c>
      <c r="E633" s="1">
        <v>-92.3172</v>
      </c>
      <c r="F633" s="1" t="s">
        <v>1922</v>
      </c>
      <c r="G633" s="22">
        <v>1269.6598678219302</v>
      </c>
      <c r="H633" s="20">
        <f ca="1">NOW() - TIME(5,30,0) + (VLOOKUP(MasterTable[[#This Row],[TimeZone]], $O$3:$P$8, 2, FALSE) / 24)</f>
        <v>45990.531878125003</v>
      </c>
      <c r="I633" s="1" t="s">
        <v>1944</v>
      </c>
      <c r="J633" s="1">
        <v>595.20000000000005</v>
      </c>
    </row>
    <row r="634" spans="1:10" x14ac:dyDescent="0.25">
      <c r="A634" s="1" t="s">
        <v>201</v>
      </c>
      <c r="B634" s="1" t="s">
        <v>202</v>
      </c>
      <c r="C634" s="1" t="s">
        <v>1025</v>
      </c>
      <c r="D634" s="1">
        <v>43.378100000000003</v>
      </c>
      <c r="E634" s="1">
        <v>-94.6785</v>
      </c>
      <c r="F634" s="1" t="s">
        <v>1922</v>
      </c>
      <c r="G634" s="22">
        <v>1171.4228892264066</v>
      </c>
      <c r="H634" s="20">
        <f ca="1">NOW() - TIME(5,30,0) + (VLOOKUP(MasterTable[[#This Row],[TimeZone]], $O$3:$P$8, 2, FALSE) / 24)</f>
        <v>45990.531878125003</v>
      </c>
      <c r="I634" s="1" t="s">
        <v>1944</v>
      </c>
      <c r="J634" s="1">
        <v>402.38</v>
      </c>
    </row>
    <row r="635" spans="1:10" x14ac:dyDescent="0.25">
      <c r="A635" s="1" t="s">
        <v>201</v>
      </c>
      <c r="B635" s="1" t="s">
        <v>202</v>
      </c>
      <c r="C635" s="1" t="s">
        <v>260</v>
      </c>
      <c r="D635" s="1">
        <v>40.747700000000002</v>
      </c>
      <c r="E635" s="1">
        <v>-92.409700000000001</v>
      </c>
      <c r="F635" s="1" t="s">
        <v>1922</v>
      </c>
      <c r="G635" s="22">
        <v>1181.8938960800231</v>
      </c>
      <c r="H635" s="20">
        <f ca="1">NOW() - TIME(5,30,0) + (VLOOKUP(MasterTable[[#This Row],[TimeZone]], $O$3:$P$8, 2, FALSE) / 24)</f>
        <v>45990.531878125003</v>
      </c>
      <c r="I635" s="1" t="s">
        <v>1944</v>
      </c>
      <c r="J635" s="1">
        <v>504.89</v>
      </c>
    </row>
    <row r="636" spans="1:10" x14ac:dyDescent="0.25">
      <c r="A636" s="1" t="s">
        <v>201</v>
      </c>
      <c r="B636" s="1" t="s">
        <v>202</v>
      </c>
      <c r="C636" s="1" t="s">
        <v>1591</v>
      </c>
      <c r="D636" s="1">
        <v>43.082099999999997</v>
      </c>
      <c r="E636" s="1">
        <v>-94.678100000000001</v>
      </c>
      <c r="F636" s="1" t="s">
        <v>1922</v>
      </c>
      <c r="G636" s="22">
        <v>1159.6108556398658</v>
      </c>
      <c r="H636" s="20">
        <f ca="1">NOW() - TIME(5,30,0) + (VLOOKUP(MasterTable[[#This Row],[TimeZone]], $O$3:$P$8, 2, FALSE) / 24)</f>
        <v>45990.531878125003</v>
      </c>
      <c r="I636" s="1" t="s">
        <v>1944</v>
      </c>
      <c r="J636" s="1">
        <v>569.4</v>
      </c>
    </row>
    <row r="637" spans="1:10" x14ac:dyDescent="0.25">
      <c r="A637" s="1" t="s">
        <v>201</v>
      </c>
      <c r="B637" s="1" t="s">
        <v>202</v>
      </c>
      <c r="C637" s="1" t="s">
        <v>289</v>
      </c>
      <c r="D637" s="1">
        <v>42.036299999999997</v>
      </c>
      <c r="E637" s="1">
        <v>-94.396799999999999</v>
      </c>
      <c r="F637" s="1" t="s">
        <v>1922</v>
      </c>
      <c r="G637" s="22">
        <v>1132.0371109063349</v>
      </c>
      <c r="H637" s="20">
        <f ca="1">NOW() - TIME(5,30,0) + (VLOOKUP(MasterTable[[#This Row],[TimeZone]], $O$3:$P$8, 2, FALSE) / 24)</f>
        <v>45990.531878125003</v>
      </c>
      <c r="I637" s="1" t="s">
        <v>1944</v>
      </c>
      <c r="J637" s="1">
        <v>659.93</v>
      </c>
    </row>
    <row r="638" spans="1:10" x14ac:dyDescent="0.25">
      <c r="A638" s="1" t="s">
        <v>201</v>
      </c>
      <c r="B638" s="1" t="s">
        <v>202</v>
      </c>
      <c r="C638" s="1" t="s">
        <v>226</v>
      </c>
      <c r="D638" s="1">
        <v>41.029400000000003</v>
      </c>
      <c r="E638" s="1">
        <v>-93.327699999999993</v>
      </c>
      <c r="F638" s="1" t="s">
        <v>1922</v>
      </c>
      <c r="G638" s="22">
        <v>1146.7995727537809</v>
      </c>
      <c r="H638" s="20">
        <f ca="1">NOW() - TIME(5,30,0) + (VLOOKUP(MasterTable[[#This Row],[TimeZone]], $O$3:$P$8, 2, FALSE) / 24)</f>
        <v>45990.531878125003</v>
      </c>
      <c r="I638" s="1" t="s">
        <v>1944</v>
      </c>
      <c r="J638" s="1">
        <v>434.17</v>
      </c>
    </row>
    <row r="639" spans="1:10" x14ac:dyDescent="0.25">
      <c r="A639" s="1" t="s">
        <v>201</v>
      </c>
      <c r="B639" s="1" t="s">
        <v>202</v>
      </c>
      <c r="C639" s="1" t="s">
        <v>1603</v>
      </c>
      <c r="D639" s="1">
        <v>42.051600000000001</v>
      </c>
      <c r="E639" s="1">
        <v>-95.959900000000005</v>
      </c>
      <c r="F639" s="1" t="s">
        <v>1922</v>
      </c>
      <c r="G639" s="22">
        <v>1065.3937025656335</v>
      </c>
      <c r="H639" s="20">
        <f ca="1">NOW() - TIME(5,30,0) + (VLOOKUP(MasterTable[[#This Row],[TimeZone]], $O$3:$P$8, 2, FALSE) / 24)</f>
        <v>45990.531878125003</v>
      </c>
      <c r="I639" s="1" t="s">
        <v>1944</v>
      </c>
      <c r="J639" s="1">
        <v>698.85</v>
      </c>
    </row>
    <row r="640" spans="1:10" x14ac:dyDescent="0.25">
      <c r="A640" s="1" t="s">
        <v>201</v>
      </c>
      <c r="B640" s="1" t="s">
        <v>202</v>
      </c>
      <c r="C640" s="1" t="s">
        <v>1087</v>
      </c>
      <c r="D640" s="1">
        <v>40.737699999999997</v>
      </c>
      <c r="E640" s="1">
        <v>-93.786299999999997</v>
      </c>
      <c r="F640" s="1" t="s">
        <v>1922</v>
      </c>
      <c r="G640" s="22">
        <v>1116.3790370062957</v>
      </c>
      <c r="H640" s="20">
        <f ca="1">NOW() - TIME(5,30,0) + (VLOOKUP(MasterTable[[#This Row],[TimeZone]], $O$3:$P$8, 2, FALSE) / 24)</f>
        <v>45990.531878125003</v>
      </c>
      <c r="I640" s="1" t="s">
        <v>1944</v>
      </c>
      <c r="J640" s="1">
        <v>623.16</v>
      </c>
    </row>
    <row r="641" spans="1:13" x14ac:dyDescent="0.25">
      <c r="A641" s="1" t="s">
        <v>201</v>
      </c>
      <c r="B641" s="1" t="s">
        <v>202</v>
      </c>
      <c r="C641" s="1" t="s">
        <v>135</v>
      </c>
      <c r="D641" s="1">
        <v>41.029800000000002</v>
      </c>
      <c r="E641" s="1">
        <v>-92.869</v>
      </c>
      <c r="F641" s="1" t="s">
        <v>1922</v>
      </c>
      <c r="G641" s="22">
        <v>1168.2972400470517</v>
      </c>
      <c r="H641" s="20">
        <f ca="1">NOW() - TIME(5,30,0) + (VLOOKUP(MasterTable[[#This Row],[TimeZone]], $O$3:$P$8, 2, FALSE) / 24)</f>
        <v>45990.531878125003</v>
      </c>
      <c r="I641" s="1" t="s">
        <v>1944</v>
      </c>
      <c r="J641" s="1">
        <v>1034.53</v>
      </c>
    </row>
    <row r="642" spans="1:13" x14ac:dyDescent="0.25">
      <c r="A642" s="1" t="s">
        <v>201</v>
      </c>
      <c r="B642" s="1" t="s">
        <v>202</v>
      </c>
      <c r="C642" s="1" t="s">
        <v>1165</v>
      </c>
      <c r="D642" s="1">
        <v>41.3307</v>
      </c>
      <c r="E642" s="1">
        <v>-94.471000000000004</v>
      </c>
      <c r="F642" s="1" t="s">
        <v>1922</v>
      </c>
      <c r="G642" s="22">
        <v>1104.025241003277</v>
      </c>
      <c r="H642" s="20">
        <f ca="1">NOW() - TIME(5,30,0) + (VLOOKUP(MasterTable[[#This Row],[TimeZone]], $O$3:$P$8, 2, FALSE) / 24)</f>
        <v>45990.531878125003</v>
      </c>
      <c r="I642" s="1" t="s">
        <v>1944</v>
      </c>
      <c r="J642" s="1">
        <v>570.30999999999995</v>
      </c>
    </row>
    <row r="643" spans="1:13" x14ac:dyDescent="0.25">
      <c r="A643" s="1" t="s">
        <v>201</v>
      </c>
      <c r="B643" s="1" t="s">
        <v>202</v>
      </c>
      <c r="C643" s="1" t="s">
        <v>1263</v>
      </c>
      <c r="D643" s="1">
        <v>43.377400000000002</v>
      </c>
      <c r="E643" s="1">
        <v>-93.260900000000007</v>
      </c>
      <c r="F643" s="1" t="s">
        <v>1922</v>
      </c>
      <c r="G643" s="22">
        <v>1230.2077708647639</v>
      </c>
      <c r="H643" s="20">
        <f ca="1">NOW() - TIME(5,30,0) + (VLOOKUP(MasterTable[[#This Row],[TimeZone]], $O$3:$P$8, 2, FALSE) / 24)</f>
        <v>45990.531878125003</v>
      </c>
      <c r="I643" s="1" t="s">
        <v>1944</v>
      </c>
      <c r="J643" s="1">
        <v>574.58000000000004</v>
      </c>
    </row>
    <row r="644" spans="1:13" x14ac:dyDescent="0.25">
      <c r="A644" s="1" t="s">
        <v>201</v>
      </c>
      <c r="B644" s="1" t="s">
        <v>202</v>
      </c>
      <c r="C644" s="1" t="s">
        <v>690</v>
      </c>
      <c r="D644" s="1">
        <v>40.7532</v>
      </c>
      <c r="E644" s="1">
        <v>-91.95</v>
      </c>
      <c r="F644" s="1" t="s">
        <v>1922</v>
      </c>
      <c r="G644" s="22">
        <v>1204.089983027061</v>
      </c>
      <c r="H644" s="20">
        <f ca="1">NOW() - TIME(5,30,0) + (VLOOKUP(MasterTable[[#This Row],[TimeZone]], $O$3:$P$8, 2, FALSE) / 24)</f>
        <v>45990.531878125003</v>
      </c>
      <c r="I644" s="1" t="s">
        <v>1944</v>
      </c>
      <c r="J644" s="1">
        <v>724.32</v>
      </c>
    </row>
    <row r="645" spans="1:13" x14ac:dyDescent="0.25">
      <c r="A645" s="1" t="s">
        <v>201</v>
      </c>
      <c r="B645" s="1" t="s">
        <v>202</v>
      </c>
      <c r="C645" s="1" t="s">
        <v>1632</v>
      </c>
      <c r="D645" s="1">
        <v>42.734200000000001</v>
      </c>
      <c r="E645" s="1">
        <v>-94.678700000000006</v>
      </c>
      <c r="F645" s="1" t="s">
        <v>1922</v>
      </c>
      <c r="G645" s="22">
        <v>1145.9848934089828</v>
      </c>
      <c r="H645" s="20">
        <f ca="1">NOW() - TIME(5,30,0) + (VLOOKUP(MasterTable[[#This Row],[TimeZone]], $O$3:$P$8, 2, FALSE) / 24)</f>
        <v>45990.531878125003</v>
      </c>
      <c r="I645" s="1" t="s">
        <v>1944</v>
      </c>
      <c r="J645" s="1">
        <v>579.13</v>
      </c>
    </row>
    <row r="646" spans="1:13" x14ac:dyDescent="0.25">
      <c r="A646" s="1" t="s">
        <v>201</v>
      </c>
      <c r="B646" s="1" t="s">
        <v>202</v>
      </c>
      <c r="C646" s="1" t="s">
        <v>1675</v>
      </c>
      <c r="D646" s="1">
        <v>42.386899999999997</v>
      </c>
      <c r="E646" s="1">
        <v>-95.513499999999993</v>
      </c>
      <c r="F646" s="1" t="s">
        <v>1922</v>
      </c>
      <c r="G646" s="22">
        <v>1097.3681420258379</v>
      </c>
      <c r="H646" s="20">
        <f ca="1">NOW() - TIME(5,30,0) + (VLOOKUP(MasterTable[[#This Row],[TimeZone]], $O$3:$P$8, 2, FALSE) / 24)</f>
        <v>45990.531878125003</v>
      </c>
      <c r="I646" s="1" t="s">
        <v>1944</v>
      </c>
      <c r="J646" s="1">
        <v>432.23</v>
      </c>
    </row>
    <row r="647" spans="1:13" x14ac:dyDescent="0.25">
      <c r="A647" s="1" t="s">
        <v>201</v>
      </c>
      <c r="B647" s="1" t="s">
        <v>202</v>
      </c>
      <c r="C647" s="1" t="s">
        <v>848</v>
      </c>
      <c r="D647" s="1">
        <v>40.745600000000003</v>
      </c>
      <c r="E647" s="1">
        <v>-95.604699999999994</v>
      </c>
      <c r="F647" s="1" t="s">
        <v>1922</v>
      </c>
      <c r="G647" s="22">
        <v>1032.6714119869157</v>
      </c>
      <c r="H647" s="20">
        <f ca="1">NOW() - TIME(5,30,0) + (VLOOKUP(MasterTable[[#This Row],[TimeZone]], $O$3:$P$8, 2, FALSE) / 24)</f>
        <v>45990.531878125003</v>
      </c>
      <c r="I647" s="1" t="s">
        <v>1944</v>
      </c>
      <c r="J647" s="1">
        <v>1533.95</v>
      </c>
    </row>
    <row r="648" spans="1:13" x14ac:dyDescent="0.25">
      <c r="A648" s="1" t="s">
        <v>201</v>
      </c>
      <c r="B648" s="1" t="s">
        <v>202</v>
      </c>
      <c r="C648" s="1" t="s">
        <v>34</v>
      </c>
      <c r="D648" s="1">
        <v>40.7395</v>
      </c>
      <c r="E648" s="1">
        <v>-93.327399999999997</v>
      </c>
      <c r="F648" s="1" t="s">
        <v>1922</v>
      </c>
      <c r="G648" s="22">
        <v>1138.0358410012298</v>
      </c>
      <c r="H648" s="20">
        <f ca="1">NOW() - TIME(5,30,0) + (VLOOKUP(MasterTable[[#This Row],[TimeZone]], $O$3:$P$8, 2, FALSE) / 24)</f>
        <v>45990.531878125003</v>
      </c>
      <c r="I648" s="1" t="s">
        <v>1944</v>
      </c>
      <c r="J648" s="1">
        <v>648.79999999999995</v>
      </c>
    </row>
    <row r="649" spans="1:13" x14ac:dyDescent="0.25">
      <c r="A649" s="1" t="s">
        <v>201</v>
      </c>
      <c r="B649" s="1" t="s">
        <v>202</v>
      </c>
      <c r="C649" s="1" t="s">
        <v>239</v>
      </c>
      <c r="D649" s="1">
        <v>43.378599999999999</v>
      </c>
      <c r="E649" s="1">
        <v>-95.623699999999999</v>
      </c>
      <c r="F649" s="1" t="s">
        <v>1922</v>
      </c>
      <c r="G649" s="22">
        <v>1133.4010085683167</v>
      </c>
      <c r="H649" s="20">
        <f ca="1">NOW() - TIME(5,30,0) + (VLOOKUP(MasterTable[[#This Row],[TimeZone]], $O$3:$P$8, 2, FALSE) / 24)</f>
        <v>45990.531878125003</v>
      </c>
      <c r="I649" s="1" t="s">
        <v>1944</v>
      </c>
      <c r="J649" s="1">
        <v>1506.35</v>
      </c>
    </row>
    <row r="650" spans="1:13" x14ac:dyDescent="0.25">
      <c r="A650" s="1" t="s">
        <v>201</v>
      </c>
      <c r="B650" s="1" t="s">
        <v>202</v>
      </c>
      <c r="C650" s="1" t="s">
        <v>480</v>
      </c>
      <c r="D650" s="1">
        <v>40.737400000000001</v>
      </c>
      <c r="E650" s="1">
        <v>-94.696399999999997</v>
      </c>
      <c r="F650" s="1" t="s">
        <v>1922</v>
      </c>
      <c r="G650" s="22">
        <v>1073.9936494657368</v>
      </c>
      <c r="H650" s="20">
        <f ca="1">NOW() - TIME(5,30,0) + (VLOOKUP(MasterTable[[#This Row],[TimeZone]], $O$3:$P$8, 2, FALSE) / 24)</f>
        <v>45990.531878125003</v>
      </c>
      <c r="I650" s="1" t="s">
        <v>1944</v>
      </c>
      <c r="J650" s="1">
        <v>1232.01</v>
      </c>
    </row>
    <row r="651" spans="1:13" x14ac:dyDescent="0.25">
      <c r="A651" s="1" t="s">
        <v>201</v>
      </c>
      <c r="B651" s="1" t="s">
        <v>202</v>
      </c>
      <c r="C651" s="1" t="s">
        <v>1729</v>
      </c>
      <c r="D651" s="1">
        <v>41.684600000000003</v>
      </c>
      <c r="E651" s="1">
        <v>-94.905799999999999</v>
      </c>
      <c r="F651" s="1" t="s">
        <v>1922</v>
      </c>
      <c r="G651" s="22">
        <v>1097.0157872563739</v>
      </c>
      <c r="H651" s="20">
        <f ca="1">NOW() - TIME(5,30,0) + (VLOOKUP(MasterTable[[#This Row],[TimeZone]], $O$3:$P$8, 2, FALSE) / 24)</f>
        <v>45990.531878125003</v>
      </c>
      <c r="I651" s="1" t="s">
        <v>1944</v>
      </c>
      <c r="J651" s="1">
        <v>443.58</v>
      </c>
    </row>
    <row r="652" spans="1:13" x14ac:dyDescent="0.25">
      <c r="A652" s="1" t="s">
        <v>201</v>
      </c>
      <c r="B652" s="1" t="s">
        <v>202</v>
      </c>
      <c r="C652" s="1" t="s">
        <v>1762</v>
      </c>
      <c r="D652" s="1">
        <v>40.735199999999999</v>
      </c>
      <c r="E652" s="1">
        <v>-94.244</v>
      </c>
      <c r="F652" s="1" t="s">
        <v>1922</v>
      </c>
      <c r="G652" s="22">
        <v>1094.9078387912973</v>
      </c>
      <c r="H652" s="20">
        <f ca="1">NOW() - TIME(5,30,0) + (VLOOKUP(MasterTable[[#This Row],[TimeZone]], $O$3:$P$8, 2, FALSE) / 24)</f>
        <v>45990.531878125003</v>
      </c>
      <c r="I652" s="1" t="s">
        <v>1944</v>
      </c>
      <c r="J652" s="1">
        <v>538.91999999999996</v>
      </c>
    </row>
    <row r="653" spans="1:13" x14ac:dyDescent="0.25">
      <c r="A653" s="1" t="s">
        <v>201</v>
      </c>
      <c r="B653" s="1" t="s">
        <v>202</v>
      </c>
      <c r="C653" s="1" t="s">
        <v>193</v>
      </c>
      <c r="D653" s="1">
        <v>41.029000000000003</v>
      </c>
      <c r="E653" s="1">
        <v>-94.699200000000005</v>
      </c>
      <c r="F653" s="1" t="s">
        <v>1922</v>
      </c>
      <c r="G653" s="22">
        <v>1083.4883630950224</v>
      </c>
      <c r="H653" s="20">
        <f ca="1">NOW() - TIME(5,30,0) + (VLOOKUP(MasterTable[[#This Row],[TimeZone]], $O$3:$P$8, 2, FALSE) / 24)</f>
        <v>45990.531878125003</v>
      </c>
      <c r="I653" s="1" t="s">
        <v>1944</v>
      </c>
      <c r="J653" s="1">
        <v>1197.71</v>
      </c>
    </row>
    <row r="654" spans="1:13" x14ac:dyDescent="0.25">
      <c r="A654" s="1" t="s">
        <v>199</v>
      </c>
      <c r="B654" s="1" t="s">
        <v>200</v>
      </c>
      <c r="C654" s="1" t="s">
        <v>198</v>
      </c>
      <c r="D654" s="1">
        <v>43.4512</v>
      </c>
      <c r="E654" s="1">
        <v>-116.24120000000001</v>
      </c>
      <c r="F654" s="1" t="s">
        <v>1923</v>
      </c>
      <c r="G654" s="22">
        <v>827.89157065870427</v>
      </c>
      <c r="H654" s="20">
        <f ca="1">NOW() - TIME(5,30,0) + (VLOOKUP(MasterTable[[#This Row],[TimeZone]], $O$3:$P$8, 2, FALSE) / 24)</f>
        <v>45990.490211458338</v>
      </c>
      <c r="I654" s="1" t="s">
        <v>1944</v>
      </c>
      <c r="J654" s="1">
        <v>1060.33</v>
      </c>
    </row>
    <row r="655" spans="1:13" x14ac:dyDescent="0.25">
      <c r="A655" s="1" t="s">
        <v>199</v>
      </c>
      <c r="B655" s="1" t="s">
        <v>200</v>
      </c>
      <c r="C655" s="1" t="s">
        <v>334</v>
      </c>
      <c r="D655" s="1">
        <v>43.625100000000003</v>
      </c>
      <c r="E655" s="1">
        <v>-116.7093</v>
      </c>
      <c r="F655" s="1" t="s">
        <v>1923</v>
      </c>
      <c r="G655" s="22">
        <v>848.08773469314031</v>
      </c>
      <c r="H655" s="20">
        <f ca="1">NOW() - TIME(5,30,0) + (VLOOKUP(MasterTable[[#This Row],[TimeZone]], $O$3:$P$8, 2, FALSE) / 24)</f>
        <v>45990.490211458338</v>
      </c>
      <c r="I655" s="1" t="s">
        <v>1944</v>
      </c>
      <c r="J655" s="1">
        <v>603.51</v>
      </c>
      <c r="L655" s="12"/>
      <c r="M655" s="12"/>
    </row>
    <row r="656" spans="1:13" x14ac:dyDescent="0.25">
      <c r="A656" s="1" t="s">
        <v>199</v>
      </c>
      <c r="B656" s="1" t="s">
        <v>200</v>
      </c>
      <c r="C656" s="1" t="s">
        <v>414</v>
      </c>
      <c r="D656" s="1">
        <v>47.674399999999999</v>
      </c>
      <c r="E656" s="1">
        <v>-116.70180000000001</v>
      </c>
      <c r="F656" s="1" t="s">
        <v>1924</v>
      </c>
      <c r="G656" s="22">
        <v>1109.895844107177</v>
      </c>
      <c r="H656" s="20">
        <f ca="1">NOW() - TIME(5,30,0) + (VLOOKUP(MasterTable[[#This Row],[TimeZone]], $O$3:$P$8, 2, FALSE) / 24)</f>
        <v>45990.448544791667</v>
      </c>
      <c r="I656" s="1" t="s">
        <v>1944</v>
      </c>
      <c r="J656" s="1">
        <v>1315.69</v>
      </c>
      <c r="L656" s="13"/>
      <c r="M656" s="17"/>
    </row>
    <row r="657" spans="1:13" x14ac:dyDescent="0.25">
      <c r="A657" s="1" t="s">
        <v>199</v>
      </c>
      <c r="B657" s="1" t="s">
        <v>200</v>
      </c>
      <c r="C657" s="1" t="s">
        <v>514</v>
      </c>
      <c r="D657" s="1">
        <v>43.387700000000002</v>
      </c>
      <c r="E657" s="1">
        <v>-111.6148</v>
      </c>
      <c r="F657" s="1" t="s">
        <v>1923</v>
      </c>
      <c r="G657" s="22">
        <v>772.45003656334131</v>
      </c>
      <c r="H657" s="20">
        <f ca="1">NOW() - TIME(5,30,0) + (VLOOKUP(MasterTable[[#This Row],[TimeZone]], $O$3:$P$8, 2, FALSE) / 24)</f>
        <v>45990.490211458338</v>
      </c>
      <c r="I657" s="1" t="s">
        <v>1944</v>
      </c>
      <c r="J657" s="1">
        <v>1900.65</v>
      </c>
      <c r="L657" s="13"/>
      <c r="M657" s="17"/>
    </row>
    <row r="658" spans="1:13" x14ac:dyDescent="0.25">
      <c r="A658" s="1" t="s">
        <v>199</v>
      </c>
      <c r="B658" s="1" t="s">
        <v>200</v>
      </c>
      <c r="C658" s="1" t="s">
        <v>626</v>
      </c>
      <c r="D658" s="1">
        <v>42.356000000000002</v>
      </c>
      <c r="E658" s="1">
        <v>-114.66719999999999</v>
      </c>
      <c r="F658" s="1" t="s">
        <v>1923</v>
      </c>
      <c r="G658" s="22">
        <v>729.61450884213764</v>
      </c>
      <c r="H658" s="20">
        <f ca="1">NOW() - TIME(5,30,0) + (VLOOKUP(MasterTable[[#This Row],[TimeZone]], $O$3:$P$8, 2, FALSE) / 24)</f>
        <v>45990.490211458338</v>
      </c>
      <c r="I658" s="1" t="s">
        <v>1944</v>
      </c>
      <c r="J658" s="1">
        <v>1928.47</v>
      </c>
      <c r="L658" s="13"/>
      <c r="M658" s="17"/>
    </row>
    <row r="659" spans="1:13" x14ac:dyDescent="0.25">
      <c r="A659" s="1" t="s">
        <v>199</v>
      </c>
      <c r="B659" s="1" t="s">
        <v>200</v>
      </c>
      <c r="C659" s="1" t="s">
        <v>637</v>
      </c>
      <c r="D659" s="1">
        <v>42.668500000000002</v>
      </c>
      <c r="E659" s="1">
        <v>-112.2246</v>
      </c>
      <c r="F659" s="1" t="s">
        <v>1923</v>
      </c>
      <c r="G659" s="22">
        <v>725.32598366389959</v>
      </c>
      <c r="H659" s="20">
        <f ca="1">NOW() - TIME(5,30,0) + (VLOOKUP(MasterTable[[#This Row],[TimeZone]], $O$3:$P$8, 2, FALSE) / 24)</f>
        <v>45990.490211458338</v>
      </c>
      <c r="I659" s="1" t="s">
        <v>1944</v>
      </c>
      <c r="J659" s="1">
        <v>1147.46</v>
      </c>
      <c r="L659" s="13"/>
      <c r="M659" s="17"/>
    </row>
    <row r="660" spans="1:13" x14ac:dyDescent="0.25">
      <c r="A660" s="1" t="s">
        <v>199</v>
      </c>
      <c r="B660" s="1" t="s">
        <v>200</v>
      </c>
      <c r="C660" s="1" t="s">
        <v>244</v>
      </c>
      <c r="D660" s="1">
        <v>43.784100000000002</v>
      </c>
      <c r="E660" s="1">
        <v>-111.6592</v>
      </c>
      <c r="F660" s="1" t="s">
        <v>1923</v>
      </c>
      <c r="G660" s="22">
        <v>799.91972783964013</v>
      </c>
      <c r="H660" s="20">
        <f ca="1">NOW() - TIME(5,30,0) + (VLOOKUP(MasterTable[[#This Row],[TimeZone]], $O$3:$P$8, 2, FALSE) / 24)</f>
        <v>45990.490211458338</v>
      </c>
      <c r="I660" s="1" t="s">
        <v>1944</v>
      </c>
      <c r="J660" s="1">
        <v>812.85</v>
      </c>
      <c r="L660" s="13"/>
      <c r="M660" s="17"/>
    </row>
    <row r="661" spans="1:13" x14ac:dyDescent="0.25">
      <c r="A661" s="1" t="s">
        <v>199</v>
      </c>
      <c r="B661" s="1" t="s">
        <v>200</v>
      </c>
      <c r="C661" s="1" t="s">
        <v>847</v>
      </c>
      <c r="D661" s="1">
        <v>48.3</v>
      </c>
      <c r="E661" s="1">
        <v>-116.6011</v>
      </c>
      <c r="F661" s="1" t="s">
        <v>1924</v>
      </c>
      <c r="G661" s="22">
        <v>1149.7378622161752</v>
      </c>
      <c r="H661" s="20">
        <f ca="1">NOW() - TIME(5,30,0) + (VLOOKUP(MasterTable[[#This Row],[TimeZone]], $O$3:$P$8, 2, FALSE) / 24)</f>
        <v>45990.448544791667</v>
      </c>
      <c r="I661" s="1" t="s">
        <v>1944</v>
      </c>
      <c r="J661" s="1">
        <v>1919.59</v>
      </c>
      <c r="L661" s="13"/>
      <c r="M661" s="17"/>
    </row>
    <row r="662" spans="1:13" x14ac:dyDescent="0.25">
      <c r="A662" s="1" t="s">
        <v>199</v>
      </c>
      <c r="B662" s="1" t="s">
        <v>200</v>
      </c>
      <c r="C662" s="1" t="s">
        <v>851</v>
      </c>
      <c r="D662" s="1">
        <v>43.2166</v>
      </c>
      <c r="E662" s="1">
        <v>-112.3981</v>
      </c>
      <c r="F662" s="1" t="s">
        <v>1923</v>
      </c>
      <c r="G662" s="22">
        <v>763.93059000781614</v>
      </c>
      <c r="H662" s="20">
        <f ca="1">NOW() - TIME(5,30,0) + (VLOOKUP(MasterTable[[#This Row],[TimeZone]], $O$3:$P$8, 2, FALSE) / 24)</f>
        <v>45990.490211458338</v>
      </c>
      <c r="I662" s="1" t="s">
        <v>1944</v>
      </c>
      <c r="J662" s="1">
        <v>2120.2399999999998</v>
      </c>
      <c r="L662" s="13"/>
      <c r="M662" s="17"/>
    </row>
    <row r="663" spans="1:13" x14ac:dyDescent="0.25">
      <c r="A663" s="1" t="s">
        <v>199</v>
      </c>
      <c r="B663" s="1" t="s">
        <v>200</v>
      </c>
      <c r="C663" s="1" t="s">
        <v>923</v>
      </c>
      <c r="D663" s="1">
        <v>46.326799999999999</v>
      </c>
      <c r="E663" s="1">
        <v>-116.75020000000001</v>
      </c>
      <c r="F663" s="1" t="s">
        <v>1924</v>
      </c>
      <c r="G663" s="22">
        <v>1022.4612461081351</v>
      </c>
      <c r="H663" s="20">
        <f ca="1">NOW() - TIME(5,30,0) + (VLOOKUP(MasterTable[[#This Row],[TimeZone]], $O$3:$P$8, 2, FALSE) / 24)</f>
        <v>45990.448544791667</v>
      </c>
      <c r="I663" s="1" t="s">
        <v>1944</v>
      </c>
      <c r="J663" s="1">
        <v>856.36</v>
      </c>
      <c r="L663" s="13"/>
      <c r="M663" s="17"/>
    </row>
    <row r="664" spans="1:13" x14ac:dyDescent="0.25">
      <c r="A664" s="1" t="s">
        <v>199</v>
      </c>
      <c r="B664" s="1" t="s">
        <v>200</v>
      </c>
      <c r="C664" s="1" t="s">
        <v>947</v>
      </c>
      <c r="D664" s="1">
        <v>46.816200000000002</v>
      </c>
      <c r="E664" s="1">
        <v>-116.71169999999999</v>
      </c>
      <c r="F664" s="1" t="s">
        <v>1924</v>
      </c>
      <c r="G664" s="22">
        <v>1053.7782556501188</v>
      </c>
      <c r="H664" s="20">
        <f ca="1">NOW() - TIME(5,30,0) + (VLOOKUP(MasterTable[[#This Row],[TimeZone]], $O$3:$P$8, 2, FALSE) / 24)</f>
        <v>45990.448544791667</v>
      </c>
      <c r="I664" s="1" t="s">
        <v>1944</v>
      </c>
      <c r="J664" s="1">
        <v>1076.8900000000001</v>
      </c>
      <c r="L664" s="13"/>
      <c r="M664" s="17"/>
    </row>
    <row r="665" spans="1:13" x14ac:dyDescent="0.25">
      <c r="A665" s="1" t="s">
        <v>199</v>
      </c>
      <c r="B665" s="1" t="s">
        <v>200</v>
      </c>
      <c r="C665" s="1" t="s">
        <v>129</v>
      </c>
      <c r="D665" s="1">
        <v>43.820099999999996</v>
      </c>
      <c r="E665" s="1">
        <v>-112.3113</v>
      </c>
      <c r="F665" s="1" t="s">
        <v>1923</v>
      </c>
      <c r="G665" s="22">
        <v>804.92439360904723</v>
      </c>
      <c r="H665" s="20">
        <f ca="1">NOW() - TIME(5,30,0) + (VLOOKUP(MasterTable[[#This Row],[TimeZone]], $O$3:$P$8, 2, FALSE) / 24)</f>
        <v>45990.490211458338</v>
      </c>
      <c r="I665" s="1" t="s">
        <v>1944</v>
      </c>
      <c r="J665" s="1">
        <v>1123.8</v>
      </c>
      <c r="L665" s="13"/>
      <c r="M665" s="17"/>
    </row>
    <row r="666" spans="1:13" x14ac:dyDescent="0.25">
      <c r="A666" s="1" t="s">
        <v>199</v>
      </c>
      <c r="B666" s="1" t="s">
        <v>200</v>
      </c>
      <c r="C666" s="1" t="s">
        <v>636</v>
      </c>
      <c r="D666" s="1">
        <v>43.353999999999999</v>
      </c>
      <c r="E666" s="1">
        <v>-115.4693</v>
      </c>
      <c r="F666" s="1" t="s">
        <v>1923</v>
      </c>
      <c r="G666" s="22">
        <v>807.88198056509657</v>
      </c>
      <c r="H666" s="20">
        <f ca="1">NOW() - TIME(5,30,0) + (VLOOKUP(MasterTable[[#This Row],[TimeZone]], $O$3:$P$8, 2, FALSE) / 24)</f>
        <v>45990.490211458338</v>
      </c>
      <c r="I666" s="1" t="s">
        <v>1944</v>
      </c>
      <c r="J666" s="1">
        <v>657.21</v>
      </c>
      <c r="L666" s="13"/>
      <c r="M666" s="17"/>
    </row>
    <row r="667" spans="1:13" x14ac:dyDescent="0.25">
      <c r="A667" s="1" t="s">
        <v>199</v>
      </c>
      <c r="B667" s="1" t="s">
        <v>200</v>
      </c>
      <c r="C667" s="1" t="s">
        <v>1140</v>
      </c>
      <c r="D667" s="1">
        <v>44.006799999999998</v>
      </c>
      <c r="E667" s="1">
        <v>-116.7608</v>
      </c>
      <c r="F667" s="1" t="s">
        <v>1923</v>
      </c>
      <c r="G667" s="22">
        <v>873.31440993849412</v>
      </c>
      <c r="H667" s="20">
        <f ca="1">NOW() - TIME(5,30,0) + (VLOOKUP(MasterTable[[#This Row],[TimeZone]], $O$3:$P$8, 2, FALSE) / 24)</f>
        <v>45990.490211458338</v>
      </c>
      <c r="I667" s="1" t="s">
        <v>1944</v>
      </c>
      <c r="J667" s="1">
        <v>410.19</v>
      </c>
      <c r="L667" s="13"/>
      <c r="M667" s="17"/>
    </row>
    <row r="668" spans="1:13" x14ac:dyDescent="0.25">
      <c r="A668" s="1" t="s">
        <v>199</v>
      </c>
      <c r="B668" s="1" t="s">
        <v>200</v>
      </c>
      <c r="C668" s="1" t="s">
        <v>1166</v>
      </c>
      <c r="D668" s="1">
        <v>42.283900000000003</v>
      </c>
      <c r="E668" s="1">
        <v>-113.6001</v>
      </c>
      <c r="F668" s="1" t="s">
        <v>1923</v>
      </c>
      <c r="G668" s="22">
        <v>710.54540010910648</v>
      </c>
      <c r="H668" s="20">
        <f ca="1">NOW() - TIME(5,30,0) + (VLOOKUP(MasterTable[[#This Row],[TimeZone]], $O$3:$P$8, 2, FALSE) / 24)</f>
        <v>45990.490211458338</v>
      </c>
      <c r="I668" s="1" t="s">
        <v>1944</v>
      </c>
      <c r="J668" s="1">
        <v>2580.31</v>
      </c>
      <c r="L668" s="13"/>
      <c r="M668" s="17"/>
    </row>
    <row r="669" spans="1:13" x14ac:dyDescent="0.25">
      <c r="A669" s="1" t="s">
        <v>199</v>
      </c>
      <c r="B669" s="1" t="s">
        <v>200</v>
      </c>
      <c r="C669" s="1" t="s">
        <v>1176</v>
      </c>
      <c r="D669" s="1">
        <v>42.689900000000002</v>
      </c>
      <c r="E669" s="1">
        <v>-114.26390000000001</v>
      </c>
      <c r="F669" s="1" t="s">
        <v>1923</v>
      </c>
      <c r="G669" s="22">
        <v>745.95724737147873</v>
      </c>
      <c r="H669" s="20">
        <f ca="1">NOW() - TIME(5,30,0) + (VLOOKUP(MasterTable[[#This Row],[TimeZone]], $O$3:$P$8, 2, FALSE) / 24)</f>
        <v>45990.490211458338</v>
      </c>
      <c r="I669" s="1" t="s">
        <v>1944</v>
      </c>
      <c r="J669" s="1">
        <v>601.87</v>
      </c>
      <c r="L669" s="13"/>
      <c r="M669" s="17"/>
    </row>
    <row r="670" spans="1:13" x14ac:dyDescent="0.25">
      <c r="A670" s="1" t="s">
        <v>199</v>
      </c>
      <c r="B670" s="1" t="s">
        <v>200</v>
      </c>
      <c r="C670" s="1" t="s">
        <v>1182</v>
      </c>
      <c r="D670" s="1">
        <v>43.411900000000003</v>
      </c>
      <c r="E670" s="1">
        <v>-113.9802</v>
      </c>
      <c r="F670" s="1" t="s">
        <v>1923</v>
      </c>
      <c r="G670" s="22">
        <v>790.8200670346871</v>
      </c>
      <c r="H670" s="20">
        <f ca="1">NOW() - TIME(5,30,0) + (VLOOKUP(MasterTable[[#This Row],[TimeZone]], $O$3:$P$8, 2, FALSE) / 24)</f>
        <v>45990.490211458338</v>
      </c>
      <c r="I670" s="1" t="s">
        <v>1944</v>
      </c>
      <c r="J670" s="1">
        <v>2661.02</v>
      </c>
      <c r="L670" s="13"/>
      <c r="M670" s="17"/>
    </row>
    <row r="671" spans="1:13" x14ac:dyDescent="0.25">
      <c r="A671" s="1" t="s">
        <v>199</v>
      </c>
      <c r="B671" s="1" t="s">
        <v>200</v>
      </c>
      <c r="C671" s="1" t="s">
        <v>1228</v>
      </c>
      <c r="D671" s="1">
        <v>42.854300000000002</v>
      </c>
      <c r="E671" s="1">
        <v>-113.6375</v>
      </c>
      <c r="F671" s="1" t="s">
        <v>1923</v>
      </c>
      <c r="G671" s="22">
        <v>749.43390111389726</v>
      </c>
      <c r="H671" s="20">
        <f ca="1">NOW() - TIME(5,30,0) + (VLOOKUP(MasterTable[[#This Row],[TimeZone]], $O$3:$P$8, 2, FALSE) / 24)</f>
        <v>45990.490211458338</v>
      </c>
      <c r="I671" s="1" t="s">
        <v>1944</v>
      </c>
      <c r="J671" s="1">
        <v>762.98</v>
      </c>
      <c r="L671" s="13"/>
      <c r="M671" s="17"/>
    </row>
    <row r="672" spans="1:13" x14ac:dyDescent="0.25">
      <c r="A672" s="1" t="s">
        <v>199</v>
      </c>
      <c r="B672" s="1" t="s">
        <v>200</v>
      </c>
      <c r="C672" s="1" t="s">
        <v>1282</v>
      </c>
      <c r="D672" s="1">
        <v>44.061500000000002</v>
      </c>
      <c r="E672" s="1">
        <v>-116.39749999999999</v>
      </c>
      <c r="F672" s="1" t="s">
        <v>1923</v>
      </c>
      <c r="G672" s="22">
        <v>869.92164503829872</v>
      </c>
      <c r="H672" s="20">
        <f ca="1">NOW() - TIME(5,30,0) + (VLOOKUP(MasterTable[[#This Row],[TimeZone]], $O$3:$P$8, 2, FALSE) / 24)</f>
        <v>45990.490211458338</v>
      </c>
      <c r="I672" s="1" t="s">
        <v>1944</v>
      </c>
      <c r="J672" s="1">
        <v>565.75</v>
      </c>
      <c r="L672" s="13"/>
      <c r="M672" s="17"/>
    </row>
    <row r="673" spans="1:13" x14ac:dyDescent="0.25">
      <c r="A673" s="1" t="s">
        <v>199</v>
      </c>
      <c r="B673" s="1" t="s">
        <v>200</v>
      </c>
      <c r="C673" s="1" t="s">
        <v>200</v>
      </c>
      <c r="D673" s="1">
        <v>45.844099999999997</v>
      </c>
      <c r="E673" s="1">
        <v>-115.4675</v>
      </c>
      <c r="F673" s="1" t="s">
        <v>1923</v>
      </c>
      <c r="G673" s="22">
        <v>971.88351507849984</v>
      </c>
      <c r="H673" s="20">
        <f ca="1">NOW() - TIME(5,30,0) + (VLOOKUP(MasterTable[[#This Row],[TimeZone]], $O$3:$P$8, 2, FALSE) / 24)</f>
        <v>45990.490211458338</v>
      </c>
      <c r="I673" s="1" t="s">
        <v>1944</v>
      </c>
      <c r="J673" s="1">
        <v>8502.48</v>
      </c>
      <c r="L673" s="13"/>
      <c r="M673" s="17"/>
    </row>
    <row r="674" spans="1:13" x14ac:dyDescent="0.25">
      <c r="A674" s="1" t="s">
        <v>199</v>
      </c>
      <c r="B674" s="1" t="s">
        <v>200</v>
      </c>
      <c r="C674" s="1" t="s">
        <v>1384</v>
      </c>
      <c r="D674" s="1">
        <v>42.970999999999997</v>
      </c>
      <c r="E674" s="1">
        <v>-114.8115</v>
      </c>
      <c r="F674" s="1" t="s">
        <v>1923</v>
      </c>
      <c r="G674" s="22">
        <v>772.36141979556362</v>
      </c>
      <c r="H674" s="20">
        <f ca="1">NOW() - TIME(5,30,0) + (VLOOKUP(MasterTable[[#This Row],[TimeZone]], $O$3:$P$8, 2, FALSE) / 24)</f>
        <v>45990.490211458338</v>
      </c>
      <c r="I674" s="1" t="s">
        <v>1944</v>
      </c>
      <c r="J674" s="1">
        <v>733.84</v>
      </c>
      <c r="L674" s="13"/>
      <c r="M674" s="17"/>
    </row>
    <row r="675" spans="1:13" x14ac:dyDescent="0.25">
      <c r="A675" s="1" t="s">
        <v>199</v>
      </c>
      <c r="B675" s="1" t="s">
        <v>200</v>
      </c>
      <c r="C675" s="1" t="s">
        <v>50</v>
      </c>
      <c r="D675" s="1">
        <v>42.181100000000001</v>
      </c>
      <c r="E675" s="1">
        <v>-111.81319999999999</v>
      </c>
      <c r="F675" s="1" t="s">
        <v>1923</v>
      </c>
      <c r="G675" s="22">
        <v>689.88680523917844</v>
      </c>
      <c r="H675" s="20">
        <f ca="1">NOW() - TIME(5,30,0) + (VLOOKUP(MasterTable[[#This Row],[TimeZone]], $O$3:$P$8, 2, FALSE) / 24)</f>
        <v>45990.490211458338</v>
      </c>
      <c r="I675" s="1" t="s">
        <v>1944</v>
      </c>
      <c r="J675" s="1">
        <v>646.51</v>
      </c>
      <c r="L675" s="13"/>
      <c r="M675" s="17"/>
    </row>
    <row r="676" spans="1:13" x14ac:dyDescent="0.25">
      <c r="A676" s="1" t="s">
        <v>199</v>
      </c>
      <c r="B676" s="1" t="s">
        <v>200</v>
      </c>
      <c r="C676" s="1" t="s">
        <v>848</v>
      </c>
      <c r="D676" s="1">
        <v>44.2288</v>
      </c>
      <c r="E676" s="1">
        <v>-111.4819</v>
      </c>
      <c r="F676" s="1" t="s">
        <v>1923</v>
      </c>
      <c r="G676" s="22">
        <v>830.20344677986611</v>
      </c>
      <c r="H676" s="20">
        <f ca="1">NOW() - TIME(5,30,0) + (VLOOKUP(MasterTable[[#This Row],[TimeZone]], $O$3:$P$8, 2, FALSE) / 24)</f>
        <v>45990.490211458338</v>
      </c>
      <c r="I676" s="1" t="s">
        <v>1944</v>
      </c>
      <c r="J676" s="1">
        <v>1533.95</v>
      </c>
      <c r="L676" s="13"/>
      <c r="M676" s="17"/>
    </row>
    <row r="677" spans="1:13" x14ac:dyDescent="0.25">
      <c r="A677" s="1" t="s">
        <v>199</v>
      </c>
      <c r="B677" s="1" t="s">
        <v>200</v>
      </c>
      <c r="C677" s="1" t="s">
        <v>1454</v>
      </c>
      <c r="D677" s="1">
        <v>47.352899999999998</v>
      </c>
      <c r="E677" s="1">
        <v>-115.89239999999999</v>
      </c>
      <c r="F677" s="1" t="s">
        <v>1924</v>
      </c>
      <c r="G677" s="22">
        <v>1077.67626906121</v>
      </c>
      <c r="H677" s="20">
        <f ca="1">NOW() - TIME(5,30,0) + (VLOOKUP(MasterTable[[#This Row],[TimeZone]], $O$3:$P$8, 2, FALSE) / 24)</f>
        <v>45990.448544791667</v>
      </c>
      <c r="I677" s="1" t="s">
        <v>1944</v>
      </c>
      <c r="J677" s="1">
        <v>2635.5</v>
      </c>
      <c r="L677" s="13"/>
      <c r="M677" s="17"/>
    </row>
    <row r="678" spans="1:13" x14ac:dyDescent="0.25">
      <c r="A678" s="1" t="s">
        <v>199</v>
      </c>
      <c r="B678" s="1" t="s">
        <v>200</v>
      </c>
      <c r="C678" s="1" t="s">
        <v>1476</v>
      </c>
      <c r="D678" s="1">
        <v>48.7669</v>
      </c>
      <c r="E678" s="1">
        <v>-116.4629</v>
      </c>
      <c r="F678" s="1" t="s">
        <v>1924</v>
      </c>
      <c r="G678" s="22">
        <v>1178.8572507543247</v>
      </c>
      <c r="H678" s="20">
        <f ca="1">NOW() - TIME(5,30,0) + (VLOOKUP(MasterTable[[#This Row],[TimeZone]], $O$3:$P$8, 2, FALSE) / 24)</f>
        <v>45990.448544791667</v>
      </c>
      <c r="I678" s="1" t="s">
        <v>1944</v>
      </c>
      <c r="J678" s="1">
        <v>1278.21</v>
      </c>
      <c r="L678" s="13"/>
      <c r="M678" s="17"/>
    </row>
    <row r="679" spans="1:13" x14ac:dyDescent="0.25">
      <c r="A679" s="1" t="s">
        <v>199</v>
      </c>
      <c r="B679" s="1" t="s">
        <v>200</v>
      </c>
      <c r="C679" s="1" t="s">
        <v>1490</v>
      </c>
      <c r="D679" s="1">
        <v>42.581400000000002</v>
      </c>
      <c r="E679" s="1">
        <v>-116.1699</v>
      </c>
      <c r="F679" s="1" t="s">
        <v>1923</v>
      </c>
      <c r="G679" s="22">
        <v>771.10739589164166</v>
      </c>
      <c r="H679" s="20">
        <f ca="1">NOW() - TIME(5,30,0) + (VLOOKUP(MasterTable[[#This Row],[TimeZone]], $O$3:$P$8, 2, FALSE) / 24)</f>
        <v>45990.490211458338</v>
      </c>
      <c r="I679" s="1" t="s">
        <v>1944</v>
      </c>
      <c r="J679" s="1">
        <v>7696.71</v>
      </c>
      <c r="L679" s="13"/>
      <c r="M679" s="17"/>
    </row>
    <row r="680" spans="1:13" x14ac:dyDescent="0.25">
      <c r="A680" s="1" t="s">
        <v>199</v>
      </c>
      <c r="B680" s="1" t="s">
        <v>200</v>
      </c>
      <c r="C680" s="1" t="s">
        <v>1497</v>
      </c>
      <c r="D680" s="1">
        <v>44.766599999999997</v>
      </c>
      <c r="E680" s="1">
        <v>-115.5663</v>
      </c>
      <c r="F680" s="1" t="s">
        <v>1923</v>
      </c>
      <c r="G680" s="22">
        <v>901.99743411608824</v>
      </c>
      <c r="H680" s="20">
        <f ca="1">NOW() - TIME(5,30,0) + (VLOOKUP(MasterTable[[#This Row],[TimeZone]], $O$3:$P$8, 2, FALSE) / 24)</f>
        <v>45990.490211458338</v>
      </c>
      <c r="I680" s="1" t="s">
        <v>1944</v>
      </c>
      <c r="J680" s="1">
        <v>3733.66</v>
      </c>
      <c r="L680" s="13"/>
      <c r="M680" s="17"/>
    </row>
    <row r="681" spans="1:13" x14ac:dyDescent="0.25">
      <c r="A681" s="1" t="s">
        <v>199</v>
      </c>
      <c r="B681" s="1" t="s">
        <v>200</v>
      </c>
      <c r="C681" s="1" t="s">
        <v>1201</v>
      </c>
      <c r="D681" s="1">
        <v>43.759399999999999</v>
      </c>
      <c r="E681" s="1">
        <v>-111.2076</v>
      </c>
      <c r="F681" s="1" t="s">
        <v>1923</v>
      </c>
      <c r="G681" s="22">
        <v>797.3727494023633</v>
      </c>
      <c r="H681" s="20">
        <f ca="1">NOW() - TIME(5,30,0) + (VLOOKUP(MasterTable[[#This Row],[TimeZone]], $O$3:$P$8, 2, FALSE) / 24)</f>
        <v>45990.490211458338</v>
      </c>
      <c r="I681" s="1" t="s">
        <v>1944</v>
      </c>
      <c r="J681" s="1">
        <v>450.57</v>
      </c>
      <c r="L681" s="13"/>
      <c r="M681" s="17"/>
    </row>
    <row r="682" spans="1:13" x14ac:dyDescent="0.25">
      <c r="A682" s="1" t="s">
        <v>199</v>
      </c>
      <c r="B682" s="1" t="s">
        <v>200</v>
      </c>
      <c r="C682" s="1" t="s">
        <v>28</v>
      </c>
      <c r="D682" s="1">
        <v>44.452399999999997</v>
      </c>
      <c r="E682" s="1">
        <v>-116.7847</v>
      </c>
      <c r="F682" s="1" t="s">
        <v>1923</v>
      </c>
      <c r="G682" s="22">
        <v>902.15618176067017</v>
      </c>
      <c r="H682" s="20">
        <f ca="1">NOW() - TIME(5,30,0) + (VLOOKUP(MasterTable[[#This Row],[TimeZone]], $O$3:$P$8, 2, FALSE) / 24)</f>
        <v>45990.490211458338</v>
      </c>
      <c r="I682" s="1" t="s">
        <v>1944</v>
      </c>
      <c r="J682" s="1">
        <v>1088.54</v>
      </c>
      <c r="L682" s="13"/>
      <c r="M682" s="17"/>
    </row>
    <row r="683" spans="1:13" x14ac:dyDescent="0.25">
      <c r="A683" s="1" t="s">
        <v>199</v>
      </c>
      <c r="B683" s="1" t="s">
        <v>200</v>
      </c>
      <c r="C683" s="1" t="s">
        <v>1557</v>
      </c>
      <c r="D683" s="1">
        <v>47.217599999999997</v>
      </c>
      <c r="E683" s="1">
        <v>-116.6587</v>
      </c>
      <c r="F683" s="1" t="s">
        <v>1924</v>
      </c>
      <c r="G683" s="22">
        <v>1079.2686798839122</v>
      </c>
      <c r="H683" s="20">
        <f ca="1">NOW() - TIME(5,30,0) + (VLOOKUP(MasterTable[[#This Row],[TimeZone]], $O$3:$P$8, 2, FALSE) / 24)</f>
        <v>45990.448544791667</v>
      </c>
      <c r="I683" s="1" t="s">
        <v>1944</v>
      </c>
      <c r="J683" s="1">
        <v>783.98</v>
      </c>
      <c r="L683" s="13"/>
      <c r="M683" s="17"/>
    </row>
    <row r="684" spans="1:13" x14ac:dyDescent="0.25">
      <c r="A684" s="1" t="s">
        <v>199</v>
      </c>
      <c r="B684" s="1" t="s">
        <v>200</v>
      </c>
      <c r="C684" s="1" t="s">
        <v>1589</v>
      </c>
      <c r="D684" s="1">
        <v>46.6736</v>
      </c>
      <c r="E684" s="1">
        <v>-115.6567</v>
      </c>
      <c r="F684" s="1" t="s">
        <v>1924</v>
      </c>
      <c r="G684" s="22">
        <v>1029.487279583559</v>
      </c>
      <c r="H684" s="20">
        <f ca="1">NOW() - TIME(5,30,0) + (VLOOKUP(MasterTable[[#This Row],[TimeZone]], $O$3:$P$8, 2, FALSE) / 24)</f>
        <v>45990.448544791667</v>
      </c>
      <c r="I684" s="1" t="s">
        <v>1944</v>
      </c>
      <c r="J684" s="1">
        <v>2488.1</v>
      </c>
      <c r="L684" s="13"/>
      <c r="M684" s="17"/>
    </row>
    <row r="685" spans="1:13" x14ac:dyDescent="0.25">
      <c r="A685" s="1" t="s">
        <v>199</v>
      </c>
      <c r="B685" s="1" t="s">
        <v>200</v>
      </c>
      <c r="C685" s="1" t="s">
        <v>1623</v>
      </c>
      <c r="D685" s="1">
        <v>44.943300000000001</v>
      </c>
      <c r="E685" s="1">
        <v>-113.9333</v>
      </c>
      <c r="F685" s="1" t="s">
        <v>1923</v>
      </c>
      <c r="G685" s="22">
        <v>893.73122910689585</v>
      </c>
      <c r="H685" s="20">
        <f ca="1">NOW() - TIME(5,30,0) + (VLOOKUP(MasterTable[[#This Row],[TimeZone]], $O$3:$P$8, 2, FALSE) / 24)</f>
        <v>45990.490211458338</v>
      </c>
      <c r="I685" s="1" t="s">
        <v>1944</v>
      </c>
      <c r="J685" s="1">
        <v>4569.5</v>
      </c>
      <c r="L685" s="13"/>
      <c r="M685" s="17"/>
    </row>
    <row r="686" spans="1:13" x14ac:dyDescent="0.25">
      <c r="A686" s="1" t="s">
        <v>199</v>
      </c>
      <c r="B686" s="1" t="s">
        <v>200</v>
      </c>
      <c r="C686" s="1" t="s">
        <v>1626</v>
      </c>
      <c r="D686" s="1">
        <v>43.989199999999997</v>
      </c>
      <c r="E686" s="1">
        <v>-115.7303</v>
      </c>
      <c r="F686" s="1" t="s">
        <v>1923</v>
      </c>
      <c r="G686" s="22">
        <v>853.61662587758553</v>
      </c>
      <c r="H686" s="20">
        <f ca="1">NOW() - TIME(5,30,0) + (VLOOKUP(MasterTable[[#This Row],[TimeZone]], $O$3:$P$8, 2, FALSE) / 24)</f>
        <v>45990.490211458338</v>
      </c>
      <c r="I686" s="1" t="s">
        <v>1944</v>
      </c>
      <c r="J686" s="1">
        <v>1906.76</v>
      </c>
      <c r="L686" s="13"/>
      <c r="M686" s="17"/>
    </row>
    <row r="687" spans="1:13" x14ac:dyDescent="0.25">
      <c r="A687" s="1" t="s">
        <v>199</v>
      </c>
      <c r="B687" s="1" t="s">
        <v>200</v>
      </c>
      <c r="C687" s="1" t="s">
        <v>1627</v>
      </c>
      <c r="D687" s="1">
        <v>42.6937</v>
      </c>
      <c r="E687" s="1">
        <v>-112.8407</v>
      </c>
      <c r="F687" s="1" t="s">
        <v>1923</v>
      </c>
      <c r="G687" s="22">
        <v>731.1092482396167</v>
      </c>
      <c r="H687" s="20">
        <f ca="1">NOW() - TIME(5,30,0) + (VLOOKUP(MasterTable[[#This Row],[TimeZone]], $O$3:$P$8, 2, FALSE) / 24)</f>
        <v>45990.490211458338</v>
      </c>
      <c r="I687" s="1" t="s">
        <v>1944</v>
      </c>
      <c r="J687" s="1">
        <v>1442.6</v>
      </c>
      <c r="L687" s="13"/>
      <c r="M687" s="17"/>
    </row>
    <row r="688" spans="1:13" x14ac:dyDescent="0.25">
      <c r="A688" s="1" t="s">
        <v>199</v>
      </c>
      <c r="B688" s="1" t="s">
        <v>200</v>
      </c>
      <c r="C688" s="1" t="s">
        <v>1664</v>
      </c>
      <c r="D688" s="1">
        <v>42.770499999999998</v>
      </c>
      <c r="E688" s="1">
        <v>-111.56229999999999</v>
      </c>
      <c r="F688" s="1" t="s">
        <v>1923</v>
      </c>
      <c r="G688" s="22">
        <v>729.72300199433687</v>
      </c>
      <c r="H688" s="20">
        <f ca="1">NOW() - TIME(5,30,0) + (VLOOKUP(MasterTable[[#This Row],[TimeZone]], $O$3:$P$8, 2, FALSE) / 24)</f>
        <v>45990.490211458338</v>
      </c>
      <c r="I688" s="1" t="s">
        <v>1944</v>
      </c>
      <c r="J688" s="1">
        <v>1798.62</v>
      </c>
      <c r="L688" s="13"/>
      <c r="M688" s="17"/>
    </row>
    <row r="689" spans="1:13" x14ac:dyDescent="0.25">
      <c r="A689" s="1" t="s">
        <v>199</v>
      </c>
      <c r="B689" s="1" t="s">
        <v>200</v>
      </c>
      <c r="C689" s="1" t="s">
        <v>1689</v>
      </c>
      <c r="D689" s="1">
        <v>42.284799999999997</v>
      </c>
      <c r="E689" s="1">
        <v>-111.3297</v>
      </c>
      <c r="F689" s="1" t="s">
        <v>1923</v>
      </c>
      <c r="G689" s="22">
        <v>695.68694542791889</v>
      </c>
      <c r="H689" s="20">
        <f ca="1">NOW() - TIME(5,30,0) + (VLOOKUP(MasterTable[[#This Row],[TimeZone]], $O$3:$P$8, 2, FALSE) / 24)</f>
        <v>45990.490211458338</v>
      </c>
      <c r="I689" s="1" t="s">
        <v>1944</v>
      </c>
      <c r="J689" s="1">
        <v>1049.44</v>
      </c>
      <c r="L689" s="13"/>
      <c r="M689" s="17"/>
    </row>
    <row r="690" spans="1:13" x14ac:dyDescent="0.25">
      <c r="A690" s="1" t="s">
        <v>199</v>
      </c>
      <c r="B690" s="1" t="s">
        <v>200</v>
      </c>
      <c r="C690" s="1" t="s">
        <v>632</v>
      </c>
      <c r="D690" s="1">
        <v>43.002400000000002</v>
      </c>
      <c r="E690" s="1">
        <v>-114.1383</v>
      </c>
      <c r="F690" s="1" t="s">
        <v>1923</v>
      </c>
      <c r="G690" s="22">
        <v>765.21611673684924</v>
      </c>
      <c r="H690" s="20">
        <f ca="1">NOW() - TIME(5,30,0) + (VLOOKUP(MasterTable[[#This Row],[TimeZone]], $O$3:$P$8, 2, FALSE) / 24)</f>
        <v>45990.490211458338</v>
      </c>
      <c r="I690" s="1" t="s">
        <v>1944</v>
      </c>
      <c r="J690" s="1">
        <v>572.16999999999996</v>
      </c>
      <c r="L690" s="13"/>
      <c r="M690" s="17"/>
    </row>
    <row r="691" spans="1:13" x14ac:dyDescent="0.25">
      <c r="A691" s="1" t="s">
        <v>199</v>
      </c>
      <c r="B691" s="1" t="s">
        <v>200</v>
      </c>
      <c r="C691" s="1" t="s">
        <v>348</v>
      </c>
      <c r="D691" s="1">
        <v>42.195</v>
      </c>
      <c r="E691" s="1">
        <v>-112.5394</v>
      </c>
      <c r="F691" s="1" t="s">
        <v>1923</v>
      </c>
      <c r="G691" s="22">
        <v>694.78447626093919</v>
      </c>
      <c r="H691" s="20">
        <f ca="1">NOW() - TIME(5,30,0) + (VLOOKUP(MasterTable[[#This Row],[TimeZone]], $O$3:$P$8, 2, FALSE) / 24)</f>
        <v>45990.490211458338</v>
      </c>
      <c r="I691" s="1" t="s">
        <v>1944</v>
      </c>
      <c r="J691" s="1">
        <v>1201.6099999999999</v>
      </c>
      <c r="L691" s="13"/>
      <c r="M691" s="17"/>
    </row>
    <row r="692" spans="1:13" x14ac:dyDescent="0.25">
      <c r="A692" s="1" t="s">
        <v>199</v>
      </c>
      <c r="B692" s="1" t="s">
        <v>200</v>
      </c>
      <c r="C692" s="1" t="s">
        <v>193</v>
      </c>
      <c r="D692" s="1">
        <v>44.889600000000002</v>
      </c>
      <c r="E692" s="1">
        <v>-116.4538</v>
      </c>
      <c r="F692" s="1" t="s">
        <v>1923</v>
      </c>
      <c r="G692" s="22">
        <v>924.28473294059779</v>
      </c>
      <c r="H692" s="20">
        <f ca="1">NOW() - TIME(5,30,0) + (VLOOKUP(MasterTable[[#This Row],[TimeZone]], $O$3:$P$8, 2, FALSE) / 24)</f>
        <v>45990.490211458338</v>
      </c>
      <c r="I692" s="1" t="s">
        <v>1944</v>
      </c>
      <c r="J692" s="1">
        <v>1197.71</v>
      </c>
      <c r="L692" s="13"/>
      <c r="M692" s="17"/>
    </row>
    <row r="693" spans="1:13" x14ac:dyDescent="0.25">
      <c r="A693" s="1" t="s">
        <v>199</v>
      </c>
      <c r="B693" s="1" t="s">
        <v>200</v>
      </c>
      <c r="C693" s="1" t="s">
        <v>1100</v>
      </c>
      <c r="D693" s="1">
        <v>44.241100000000003</v>
      </c>
      <c r="E693" s="1">
        <v>-114.2817</v>
      </c>
      <c r="F693" s="1" t="s">
        <v>1923</v>
      </c>
      <c r="G693" s="22">
        <v>850.03607895458811</v>
      </c>
      <c r="H693" s="20">
        <f ca="1">NOW() - TIME(5,30,0) + (VLOOKUP(MasterTable[[#This Row],[TimeZone]], $O$3:$P$8, 2, FALSE) / 24)</f>
        <v>45990.490211458338</v>
      </c>
      <c r="I693" s="1" t="s">
        <v>1944</v>
      </c>
      <c r="J693" s="1">
        <v>739.9</v>
      </c>
      <c r="L693" s="13"/>
      <c r="M693" s="17"/>
    </row>
    <row r="694" spans="1:13" x14ac:dyDescent="0.25">
      <c r="A694" s="1" t="s">
        <v>199</v>
      </c>
      <c r="B694" s="1" t="s">
        <v>200</v>
      </c>
      <c r="C694" s="1" t="s">
        <v>649</v>
      </c>
      <c r="D694" s="1">
        <v>46.237000000000002</v>
      </c>
      <c r="E694" s="1">
        <v>-116.4263</v>
      </c>
      <c r="F694" s="1" t="s">
        <v>1924</v>
      </c>
      <c r="G694" s="22">
        <v>1011.5196918415355</v>
      </c>
      <c r="H694" s="20">
        <f ca="1">NOW() - TIME(5,30,0) + (VLOOKUP(MasterTable[[#This Row],[TimeZone]], $O$3:$P$8, 2, FALSE) / 24)</f>
        <v>45990.448544791667</v>
      </c>
      <c r="I694" s="1" t="s">
        <v>1944</v>
      </c>
      <c r="J694" s="1">
        <v>479.81</v>
      </c>
      <c r="L694" s="13"/>
      <c r="M694" s="17"/>
    </row>
    <row r="695" spans="1:13" x14ac:dyDescent="0.25">
      <c r="A695" s="1" t="s">
        <v>199</v>
      </c>
      <c r="B695" s="1" t="s">
        <v>200</v>
      </c>
      <c r="C695" s="1" t="s">
        <v>363</v>
      </c>
      <c r="D695" s="1">
        <v>43.722900000000003</v>
      </c>
      <c r="E695" s="1">
        <v>-113.172</v>
      </c>
      <c r="F695" s="1" t="s">
        <v>1923</v>
      </c>
      <c r="G695" s="22">
        <v>803.97362279322851</v>
      </c>
      <c r="H695" s="20">
        <f ca="1">NOW() - TIME(5,30,0) + (VLOOKUP(MasterTable[[#This Row],[TimeZone]], $O$3:$P$8, 2, FALSE) / 24)</f>
        <v>45990.490211458338</v>
      </c>
      <c r="I695" s="1" t="s">
        <v>1944</v>
      </c>
      <c r="J695" s="1">
        <v>1677.11</v>
      </c>
      <c r="L695" s="13"/>
      <c r="M695" s="17"/>
    </row>
    <row r="696" spans="1:13" x14ac:dyDescent="0.25">
      <c r="A696" s="1" t="s">
        <v>199</v>
      </c>
      <c r="B696" s="1" t="s">
        <v>200</v>
      </c>
      <c r="C696" s="1" t="s">
        <v>1895</v>
      </c>
      <c r="D696" s="1">
        <v>43.463299999999997</v>
      </c>
      <c r="E696" s="1">
        <v>-114.8058</v>
      </c>
      <c r="F696" s="1" t="s">
        <v>1923</v>
      </c>
      <c r="G696" s="22">
        <v>804.83810120350392</v>
      </c>
      <c r="H696" s="20">
        <f ca="1">NOW() - TIME(5,30,0) + (VLOOKUP(MasterTable[[#This Row],[TimeZone]], $O$3:$P$8, 2, FALSE) / 24)</f>
        <v>45990.490211458338</v>
      </c>
      <c r="I696" s="1" t="s">
        <v>1944</v>
      </c>
      <c r="J696" s="1">
        <v>1079.02</v>
      </c>
      <c r="L696" s="13"/>
      <c r="M696" s="17"/>
    </row>
    <row r="697" spans="1:13" x14ac:dyDescent="0.25">
      <c r="A697" s="1" t="s">
        <v>199</v>
      </c>
      <c r="B697" s="1" t="s">
        <v>200</v>
      </c>
      <c r="C697" s="1" t="s">
        <v>23</v>
      </c>
      <c r="D697" s="1">
        <v>44.283900000000003</v>
      </c>
      <c r="E697" s="1">
        <v>-112.35120000000001</v>
      </c>
      <c r="F697" s="1" t="s">
        <v>1923</v>
      </c>
      <c r="G697" s="22">
        <v>837.00843773688189</v>
      </c>
      <c r="H697" s="20">
        <f ca="1">NOW() - TIME(5,30,0) + (VLOOKUP(MasterTable[[#This Row],[TimeZone]], $O$3:$P$8, 2, FALSE) / 24)</f>
        <v>45990.490211458338</v>
      </c>
      <c r="I697" s="1" t="s">
        <v>1944</v>
      </c>
      <c r="J697" s="1">
        <v>882.6</v>
      </c>
      <c r="L697" s="13"/>
      <c r="M697" s="17"/>
    </row>
    <row r="698" spans="1:13" x14ac:dyDescent="0.25">
      <c r="A698" s="1" t="s">
        <v>4</v>
      </c>
      <c r="B698" s="1" t="s">
        <v>5</v>
      </c>
      <c r="C698" s="1" t="s">
        <v>3</v>
      </c>
      <c r="D698" s="1">
        <v>41.8401</v>
      </c>
      <c r="E698" s="1">
        <v>-87.816800000000001</v>
      </c>
      <c r="F698" s="1" t="s">
        <v>1922</v>
      </c>
      <c r="G698" s="22">
        <v>1431.1899003631877</v>
      </c>
      <c r="H698" s="20">
        <f ca="1">NOW() - TIME(5,30,0) + (VLOOKUP(MasterTable[[#This Row],[TimeZone]], $O$3:$P$8, 2, FALSE) / 24)</f>
        <v>45990.531878125003</v>
      </c>
      <c r="I698" s="1" t="s">
        <v>1944</v>
      </c>
      <c r="J698" s="1">
        <v>233.22</v>
      </c>
      <c r="L698" s="13"/>
      <c r="M698" s="16"/>
    </row>
    <row r="699" spans="1:13" x14ac:dyDescent="0.25">
      <c r="A699" s="1" t="s">
        <v>4</v>
      </c>
      <c r="B699" s="1" t="s">
        <v>5</v>
      </c>
      <c r="C699" s="1" t="s">
        <v>105</v>
      </c>
      <c r="D699" s="1">
        <v>41.851999999999997</v>
      </c>
      <c r="E699" s="1">
        <v>-88.085599999999999</v>
      </c>
      <c r="F699" s="1" t="s">
        <v>1922</v>
      </c>
      <c r="G699" s="22">
        <v>1418.5024337343173</v>
      </c>
      <c r="H699" s="20">
        <f ca="1">NOW() - TIME(5,30,0) + (VLOOKUP(MasterTable[[#This Row],[TimeZone]], $O$3:$P$8, 2, FALSE) / 24)</f>
        <v>45990.531878125003</v>
      </c>
      <c r="I699" s="1" t="s">
        <v>1944</v>
      </c>
      <c r="J699" s="1">
        <v>336.55</v>
      </c>
      <c r="L699" s="13"/>
      <c r="M699" s="16"/>
    </row>
    <row r="700" spans="1:13" x14ac:dyDescent="0.25">
      <c r="A700" s="1" t="s">
        <v>4</v>
      </c>
      <c r="B700" s="1" t="s">
        <v>5</v>
      </c>
      <c r="C700" s="1" t="s">
        <v>142</v>
      </c>
      <c r="D700" s="1">
        <v>42.323300000000003</v>
      </c>
      <c r="E700" s="1">
        <v>-88.003699999999995</v>
      </c>
      <c r="F700" s="1" t="s">
        <v>1922</v>
      </c>
      <c r="G700" s="22">
        <v>1434.1274922906566</v>
      </c>
      <c r="H700" s="20">
        <f ca="1">NOW() - TIME(5,30,0) + (VLOOKUP(MasterTable[[#This Row],[TimeZone]], $O$3:$P$8, 2, FALSE) / 24)</f>
        <v>45990.531878125003</v>
      </c>
      <c r="I700" s="1" t="s">
        <v>1944</v>
      </c>
      <c r="J700" s="1">
        <v>1329.48</v>
      </c>
    </row>
    <row r="701" spans="1:13" x14ac:dyDescent="0.25">
      <c r="A701" s="1" t="s">
        <v>4</v>
      </c>
      <c r="B701" s="1" t="s">
        <v>5</v>
      </c>
      <c r="C701" s="1" t="s">
        <v>145</v>
      </c>
      <c r="D701" s="1">
        <v>41.445</v>
      </c>
      <c r="E701" s="1">
        <v>-87.9786</v>
      </c>
      <c r="F701" s="1" t="s">
        <v>1922</v>
      </c>
      <c r="G701" s="22">
        <v>1414.0977336197686</v>
      </c>
      <c r="H701" s="20">
        <f ca="1">NOW() - TIME(5,30,0) + (VLOOKUP(MasterTable[[#This Row],[TimeZone]], $O$3:$P$8, 2, FALSE) / 24)</f>
        <v>45990.531878125003</v>
      </c>
      <c r="I701" s="1" t="s">
        <v>1944</v>
      </c>
      <c r="J701" s="1">
        <v>849.39</v>
      </c>
    </row>
    <row r="702" spans="1:13" x14ac:dyDescent="0.25">
      <c r="A702" s="1" t="s">
        <v>4</v>
      </c>
      <c r="B702" s="1" t="s">
        <v>5</v>
      </c>
      <c r="C702" s="1" t="s">
        <v>196</v>
      </c>
      <c r="D702" s="1">
        <v>41.938800000000001</v>
      </c>
      <c r="E702" s="1">
        <v>-88.428600000000003</v>
      </c>
      <c r="F702" s="1" t="s">
        <v>1922</v>
      </c>
      <c r="G702" s="22">
        <v>1404.1574639294142</v>
      </c>
      <c r="H702" s="20">
        <f ca="1">NOW() - TIME(5,30,0) + (VLOOKUP(MasterTable[[#This Row],[TimeZone]], $O$3:$P$8, 2, FALSE) / 24)</f>
        <v>45990.531878125003</v>
      </c>
      <c r="I702" s="1" t="s">
        <v>1944</v>
      </c>
      <c r="J702" s="1">
        <v>524.08000000000004</v>
      </c>
    </row>
    <row r="703" spans="1:13" x14ac:dyDescent="0.25">
      <c r="A703" s="1" t="s">
        <v>4</v>
      </c>
      <c r="B703" s="1" t="s">
        <v>5</v>
      </c>
      <c r="C703" s="1" t="s">
        <v>285</v>
      </c>
      <c r="D703" s="1">
        <v>42.324399999999997</v>
      </c>
      <c r="E703" s="1">
        <v>-88.452299999999994</v>
      </c>
      <c r="F703" s="1" t="s">
        <v>1922</v>
      </c>
      <c r="G703" s="22">
        <v>1412.8932705714547</v>
      </c>
      <c r="H703" s="20">
        <f ca="1">NOW() - TIME(5,30,0) + (VLOOKUP(MasterTable[[#This Row],[TimeZone]], $O$3:$P$8, 2, FALSE) / 24)</f>
        <v>45990.531878125003</v>
      </c>
      <c r="I703" s="1" t="s">
        <v>1944</v>
      </c>
      <c r="J703" s="1">
        <v>611.13</v>
      </c>
    </row>
    <row r="704" spans="1:13" x14ac:dyDescent="0.25">
      <c r="A704" s="1" t="s">
        <v>4</v>
      </c>
      <c r="B704" s="1" t="s">
        <v>5</v>
      </c>
      <c r="C704" s="1" t="s">
        <v>305</v>
      </c>
      <c r="D704" s="1">
        <v>42.336300000000001</v>
      </c>
      <c r="E704" s="1">
        <v>-89.160899999999998</v>
      </c>
      <c r="F704" s="1" t="s">
        <v>1922</v>
      </c>
      <c r="G704" s="22">
        <v>1379.8315832697465</v>
      </c>
      <c r="H704" s="20">
        <f ca="1">NOW() - TIME(5,30,0) + (VLOOKUP(MasterTable[[#This Row],[TimeZone]], $O$3:$P$8, 2, FALSE) / 24)</f>
        <v>45990.531878125003</v>
      </c>
      <c r="I704" s="1" t="s">
        <v>1944</v>
      </c>
      <c r="J704" s="1">
        <v>519.27</v>
      </c>
    </row>
    <row r="705" spans="1:10" x14ac:dyDescent="0.25">
      <c r="A705" s="1" t="s">
        <v>4</v>
      </c>
      <c r="B705" s="1" t="s">
        <v>5</v>
      </c>
      <c r="C705" s="1" t="s">
        <v>244</v>
      </c>
      <c r="D705" s="1">
        <v>38.829700000000003</v>
      </c>
      <c r="E705" s="1">
        <v>-89.904899999999998</v>
      </c>
      <c r="F705" s="1" t="s">
        <v>1922</v>
      </c>
      <c r="G705" s="22">
        <v>1263.6141440966026</v>
      </c>
      <c r="H705" s="20">
        <f ca="1">NOW() - TIME(5,30,0) + (VLOOKUP(MasterTable[[#This Row],[TimeZone]], $O$3:$P$8, 2, FALSE) / 24)</f>
        <v>45990.531878125003</v>
      </c>
      <c r="I705" s="1" t="s">
        <v>1944</v>
      </c>
      <c r="J705" s="1">
        <v>812.85</v>
      </c>
    </row>
    <row r="706" spans="1:10" x14ac:dyDescent="0.25">
      <c r="A706" s="1" t="s">
        <v>4</v>
      </c>
      <c r="B706" s="1" t="s">
        <v>5</v>
      </c>
      <c r="C706" s="1" t="s">
        <v>328</v>
      </c>
      <c r="D706" s="1">
        <v>38.470300000000002</v>
      </c>
      <c r="E706" s="1">
        <v>-89.928399999999996</v>
      </c>
      <c r="F706" s="1" t="s">
        <v>1922</v>
      </c>
      <c r="G706" s="22">
        <v>1256.2870548084463</v>
      </c>
      <c r="H706" s="20">
        <f ca="1">NOW() - TIME(5,30,0) + (VLOOKUP(MasterTable[[#This Row],[TimeZone]], $O$3:$P$8, 2, FALSE) / 24)</f>
        <v>45990.531878125003</v>
      </c>
      <c r="I706" s="1" t="s">
        <v>1944</v>
      </c>
      <c r="J706" s="1">
        <v>653.61</v>
      </c>
    </row>
    <row r="707" spans="1:10" x14ac:dyDescent="0.25">
      <c r="A707" s="1" t="s">
        <v>4</v>
      </c>
      <c r="B707" s="1" t="s">
        <v>5</v>
      </c>
      <c r="C707" s="1" t="s">
        <v>371</v>
      </c>
      <c r="D707" s="1">
        <v>40.140099999999997</v>
      </c>
      <c r="E707" s="1">
        <v>-88.199200000000005</v>
      </c>
      <c r="F707" s="1" t="s">
        <v>1922</v>
      </c>
      <c r="G707" s="22">
        <v>1375.497716399939</v>
      </c>
      <c r="H707" s="20">
        <f ca="1">NOW() - TIME(5,30,0) + (VLOOKUP(MasterTable[[#This Row],[TimeZone]], $O$3:$P$8, 2, FALSE) / 24)</f>
        <v>45990.531878125003</v>
      </c>
      <c r="I707" s="1" t="s">
        <v>1944</v>
      </c>
      <c r="J707" s="1">
        <v>997.53</v>
      </c>
    </row>
    <row r="708" spans="1:10" x14ac:dyDescent="0.25">
      <c r="A708" s="1" t="s">
        <v>4</v>
      </c>
      <c r="B708" s="1" t="s">
        <v>5</v>
      </c>
      <c r="C708" s="1" t="s">
        <v>383</v>
      </c>
      <c r="D708" s="1">
        <v>39.758200000000002</v>
      </c>
      <c r="E708" s="1">
        <v>-89.658900000000003</v>
      </c>
      <c r="F708" s="1" t="s">
        <v>1922</v>
      </c>
      <c r="G708" s="22">
        <v>1293.856150166409</v>
      </c>
      <c r="H708" s="20">
        <f ca="1">NOW() - TIME(5,30,0) + (VLOOKUP(MasterTable[[#This Row],[TimeZone]], $O$3:$P$8, 2, FALSE) / 24)</f>
        <v>45990.531878125003</v>
      </c>
      <c r="I708" s="1" t="s">
        <v>1944</v>
      </c>
      <c r="J708" s="1">
        <v>877.01</v>
      </c>
    </row>
    <row r="709" spans="1:10" x14ac:dyDescent="0.25">
      <c r="A709" s="1" t="s">
        <v>4</v>
      </c>
      <c r="B709" s="1" t="s">
        <v>5</v>
      </c>
      <c r="C709" s="1" t="s">
        <v>406</v>
      </c>
      <c r="D709" s="1">
        <v>40.787999999999997</v>
      </c>
      <c r="E709" s="1">
        <v>-89.76</v>
      </c>
      <c r="F709" s="1" t="s">
        <v>1922</v>
      </c>
      <c r="G709" s="22">
        <v>1311.4855819409822</v>
      </c>
      <c r="H709" s="20">
        <f ca="1">NOW() - TIME(5,30,0) + (VLOOKUP(MasterTable[[#This Row],[TimeZone]], $O$3:$P$8, 2, FALSE) / 24)</f>
        <v>45990.531878125003</v>
      </c>
      <c r="I709" s="1" t="s">
        <v>1944</v>
      </c>
      <c r="J709" s="1">
        <v>630.89</v>
      </c>
    </row>
    <row r="710" spans="1:10" x14ac:dyDescent="0.25">
      <c r="A710" s="1" t="s">
        <v>4</v>
      </c>
      <c r="B710" s="1" t="s">
        <v>5</v>
      </c>
      <c r="C710" s="1" t="s">
        <v>426</v>
      </c>
      <c r="D710" s="1">
        <v>40.490900000000003</v>
      </c>
      <c r="E710" s="1">
        <v>-88.847300000000004</v>
      </c>
      <c r="F710" s="1" t="s">
        <v>1922</v>
      </c>
      <c r="G710" s="22">
        <v>1350.0182351030392</v>
      </c>
      <c r="H710" s="20">
        <f ca="1">NOW() - TIME(5,30,0) + (VLOOKUP(MasterTable[[#This Row],[TimeZone]], $O$3:$P$8, 2, FALSE) / 24)</f>
        <v>45990.531878125003</v>
      </c>
      <c r="I710" s="1" t="s">
        <v>1944</v>
      </c>
      <c r="J710" s="1">
        <v>1186.29</v>
      </c>
    </row>
    <row r="711" spans="1:10" x14ac:dyDescent="0.25">
      <c r="A711" s="1" t="s">
        <v>4</v>
      </c>
      <c r="B711" s="1" t="s">
        <v>5</v>
      </c>
      <c r="C711" s="1" t="s">
        <v>485</v>
      </c>
      <c r="D711" s="1">
        <v>41.467300000000002</v>
      </c>
      <c r="E711" s="1">
        <v>-90.567400000000006</v>
      </c>
      <c r="F711" s="1" t="s">
        <v>1922</v>
      </c>
      <c r="G711" s="22">
        <v>1289.6875855059282</v>
      </c>
      <c r="H711" s="20">
        <f ca="1">NOW() - TIME(5,30,0) + (VLOOKUP(MasterTable[[#This Row],[TimeZone]], $O$3:$P$8, 2, FALSE) / 24)</f>
        <v>45990.531878125003</v>
      </c>
      <c r="I711" s="1" t="s">
        <v>1944</v>
      </c>
      <c r="J711" s="1">
        <v>451.16</v>
      </c>
    </row>
    <row r="712" spans="1:10" x14ac:dyDescent="0.25">
      <c r="A712" s="1" t="s">
        <v>4</v>
      </c>
      <c r="B712" s="1" t="s">
        <v>5</v>
      </c>
      <c r="C712" s="1" t="s">
        <v>497</v>
      </c>
      <c r="D712" s="1">
        <v>41.590600000000002</v>
      </c>
      <c r="E712" s="1">
        <v>-88.428799999999995</v>
      </c>
      <c r="F712" s="1" t="s">
        <v>1922</v>
      </c>
      <c r="G712" s="22">
        <v>1395.608288055668</v>
      </c>
      <c r="H712" s="20">
        <f ca="1">NOW() - TIME(5,30,0) + (VLOOKUP(MasterTable[[#This Row],[TimeZone]], $O$3:$P$8, 2, FALSE) / 24)</f>
        <v>45990.531878125003</v>
      </c>
      <c r="I712" s="1" t="s">
        <v>1944</v>
      </c>
      <c r="J712" s="1">
        <v>322.67</v>
      </c>
    </row>
    <row r="713" spans="1:10" x14ac:dyDescent="0.25">
      <c r="A713" s="1" t="s">
        <v>4</v>
      </c>
      <c r="B713" s="1" t="s">
        <v>5</v>
      </c>
      <c r="C713" s="1" t="s">
        <v>504</v>
      </c>
      <c r="D713" s="1">
        <v>40.5075</v>
      </c>
      <c r="E713" s="1">
        <v>-89.513499999999993</v>
      </c>
      <c r="F713" s="1" t="s">
        <v>1922</v>
      </c>
      <c r="G713" s="22">
        <v>1317.1875066285593</v>
      </c>
      <c r="H713" s="20">
        <f ca="1">NOW() - TIME(5,30,0) + (VLOOKUP(MasterTable[[#This Row],[TimeZone]], $O$3:$P$8, 2, FALSE) / 24)</f>
        <v>45990.531878125003</v>
      </c>
      <c r="I713" s="1" t="s">
        <v>1944</v>
      </c>
      <c r="J713" s="1">
        <v>657.89</v>
      </c>
    </row>
    <row r="714" spans="1:10" x14ac:dyDescent="0.25">
      <c r="A714" s="1" t="s">
        <v>4</v>
      </c>
      <c r="B714" s="1" t="s">
        <v>5</v>
      </c>
      <c r="C714" s="1" t="s">
        <v>556</v>
      </c>
      <c r="D714" s="1">
        <v>41.344000000000001</v>
      </c>
      <c r="E714" s="1">
        <v>-88.885900000000007</v>
      </c>
      <c r="F714" s="1" t="s">
        <v>1922</v>
      </c>
      <c r="G714" s="22">
        <v>1367.4932160885378</v>
      </c>
      <c r="H714" s="20">
        <f ca="1">NOW() - TIME(5,30,0) + (VLOOKUP(MasterTable[[#This Row],[TimeZone]], $O$3:$P$8, 2, FALSE) / 24)</f>
        <v>45990.531878125003</v>
      </c>
      <c r="I714" s="1" t="s">
        <v>1944</v>
      </c>
      <c r="J714" s="1">
        <v>1148.04</v>
      </c>
    </row>
    <row r="715" spans="1:10" x14ac:dyDescent="0.25">
      <c r="A715" s="1" t="s">
        <v>4</v>
      </c>
      <c r="B715" s="1" t="s">
        <v>5</v>
      </c>
      <c r="C715" s="1" t="s">
        <v>566</v>
      </c>
      <c r="D715" s="1">
        <v>41.137700000000002</v>
      </c>
      <c r="E715" s="1">
        <v>-87.861800000000002</v>
      </c>
      <c r="F715" s="1" t="s">
        <v>1922</v>
      </c>
      <c r="G715" s="22">
        <v>1412.9551330814759</v>
      </c>
      <c r="H715" s="20">
        <f ca="1">NOW() - TIME(5,30,0) + (VLOOKUP(MasterTable[[#This Row],[TimeZone]], $O$3:$P$8, 2, FALSE) / 24)</f>
        <v>45990.531878125003</v>
      </c>
      <c r="I715" s="1" t="s">
        <v>1944</v>
      </c>
      <c r="J715" s="1">
        <v>681.44</v>
      </c>
    </row>
    <row r="716" spans="1:10" x14ac:dyDescent="0.25">
      <c r="A716" s="1" t="s">
        <v>4</v>
      </c>
      <c r="B716" s="1" t="s">
        <v>5</v>
      </c>
      <c r="C716" s="1" t="s">
        <v>583</v>
      </c>
      <c r="D716" s="1">
        <v>39.86</v>
      </c>
      <c r="E716" s="1">
        <v>-88.961600000000004</v>
      </c>
      <c r="F716" s="1" t="s">
        <v>1922</v>
      </c>
      <c r="G716" s="22">
        <v>1331.3233270609485</v>
      </c>
      <c r="H716" s="20">
        <f ca="1">NOW() - TIME(5,30,0) + (VLOOKUP(MasterTable[[#This Row],[TimeZone]], $O$3:$P$8, 2, FALSE) / 24)</f>
        <v>45990.531878125003</v>
      </c>
      <c r="I716" s="1" t="s">
        <v>1944</v>
      </c>
      <c r="J716" s="1">
        <v>613.24</v>
      </c>
    </row>
    <row r="717" spans="1:10" x14ac:dyDescent="0.25">
      <c r="A717" s="1" t="s">
        <v>4</v>
      </c>
      <c r="B717" s="1" t="s">
        <v>5</v>
      </c>
      <c r="C717" s="1" t="s">
        <v>133</v>
      </c>
      <c r="D717" s="1">
        <v>41.893500000000003</v>
      </c>
      <c r="E717" s="1">
        <v>-88.770300000000006</v>
      </c>
      <c r="F717" s="1" t="s">
        <v>1922</v>
      </c>
      <c r="G717" s="22">
        <v>1386.6581722642507</v>
      </c>
      <c r="H717" s="20">
        <f ca="1">NOW() - TIME(5,30,0) + (VLOOKUP(MasterTable[[#This Row],[TimeZone]], $O$3:$P$8, 2, FALSE) / 24)</f>
        <v>45990.531878125003</v>
      </c>
      <c r="I717" s="1" t="s">
        <v>1944</v>
      </c>
      <c r="J717" s="1">
        <v>778.65</v>
      </c>
    </row>
    <row r="718" spans="1:10" x14ac:dyDescent="0.25">
      <c r="A718" s="1" t="s">
        <v>4</v>
      </c>
      <c r="B718" s="1" t="s">
        <v>5</v>
      </c>
      <c r="C718" s="1" t="s">
        <v>698</v>
      </c>
      <c r="D718" s="1">
        <v>40.183399999999999</v>
      </c>
      <c r="E718" s="1">
        <v>-87.732799999999997</v>
      </c>
      <c r="F718" s="1" t="s">
        <v>1922</v>
      </c>
      <c r="G718" s="22">
        <v>1399.9939914588222</v>
      </c>
      <c r="H718" s="20">
        <f ca="1">NOW() - TIME(5,30,0) + (VLOOKUP(MasterTable[[#This Row],[TimeZone]], $O$3:$P$8, 2, FALSE) / 24)</f>
        <v>45990.531878125003</v>
      </c>
      <c r="I718" s="1" t="s">
        <v>1944</v>
      </c>
      <c r="J718" s="1">
        <v>902.14</v>
      </c>
    </row>
    <row r="719" spans="1:10" x14ac:dyDescent="0.25">
      <c r="A719" s="1" t="s">
        <v>4</v>
      </c>
      <c r="B719" s="1" t="s">
        <v>5</v>
      </c>
      <c r="C719" s="1" t="s">
        <v>161</v>
      </c>
      <c r="D719" s="1">
        <v>37.7303</v>
      </c>
      <c r="E719" s="1">
        <v>-88.929900000000004</v>
      </c>
      <c r="F719" s="1" t="s">
        <v>1922</v>
      </c>
      <c r="G719" s="22">
        <v>1298.7086567993003</v>
      </c>
      <c r="H719" s="20">
        <f ca="1">NOW() - TIME(5,30,0) + (VLOOKUP(MasterTable[[#This Row],[TimeZone]], $O$3:$P$8, 2, FALSE) / 24)</f>
        <v>45990.531878125003</v>
      </c>
      <c r="I719" s="1" t="s">
        <v>1944</v>
      </c>
      <c r="J719" s="1">
        <v>444.38</v>
      </c>
    </row>
    <row r="720" spans="1:10" x14ac:dyDescent="0.25">
      <c r="A720" s="1" t="s">
        <v>4</v>
      </c>
      <c r="B720" s="1" t="s">
        <v>5</v>
      </c>
      <c r="C720" s="1" t="s">
        <v>193</v>
      </c>
      <c r="D720" s="1">
        <v>39.987900000000003</v>
      </c>
      <c r="E720" s="1">
        <v>-91.188500000000005</v>
      </c>
      <c r="F720" s="1" t="s">
        <v>1922</v>
      </c>
      <c r="G720" s="22">
        <v>1221.9398035674017</v>
      </c>
      <c r="H720" s="20">
        <f ca="1">NOW() - TIME(5,30,0) + (VLOOKUP(MasterTable[[#This Row],[TimeZone]], $O$3:$P$8, 2, FALSE) / 24)</f>
        <v>45990.531878125003</v>
      </c>
      <c r="I720" s="1" t="s">
        <v>1944</v>
      </c>
      <c r="J720" s="1">
        <v>1197.71</v>
      </c>
    </row>
    <row r="721" spans="1:10" x14ac:dyDescent="0.25">
      <c r="A721" s="1" t="s">
        <v>4</v>
      </c>
      <c r="B721" s="1" t="s">
        <v>5</v>
      </c>
      <c r="C721" s="1" t="s">
        <v>809</v>
      </c>
      <c r="D721" s="1">
        <v>41.7562</v>
      </c>
      <c r="E721" s="1">
        <v>-89.914100000000005</v>
      </c>
      <c r="F721" s="1" t="s">
        <v>1922</v>
      </c>
      <c r="G721" s="22">
        <v>1328.5562033275978</v>
      </c>
      <c r="H721" s="20">
        <f ca="1">NOW() - TIME(5,30,0) + (VLOOKUP(MasterTable[[#This Row],[TimeZone]], $O$3:$P$8, 2, FALSE) / 24)</f>
        <v>45990.531878125003</v>
      </c>
      <c r="I721" s="1" t="s">
        <v>1944</v>
      </c>
      <c r="J721" s="1">
        <v>697.01</v>
      </c>
    </row>
    <row r="722" spans="1:10" x14ac:dyDescent="0.25">
      <c r="A722" s="1" t="s">
        <v>4</v>
      </c>
      <c r="B722" s="1" t="s">
        <v>5</v>
      </c>
      <c r="C722" s="1" t="s">
        <v>398</v>
      </c>
      <c r="D722" s="1">
        <v>42.323099999999997</v>
      </c>
      <c r="E722" s="1">
        <v>-88.823400000000007</v>
      </c>
      <c r="F722" s="1" t="s">
        <v>1922</v>
      </c>
      <c r="G722" s="22">
        <v>1395.3424000984523</v>
      </c>
      <c r="H722" s="20">
        <f ca="1">NOW() - TIME(5,30,0) + (VLOOKUP(MasterTable[[#This Row],[TimeZone]], $O$3:$P$8, 2, FALSE) / 24)</f>
        <v>45990.531878125003</v>
      </c>
      <c r="I722" s="1" t="s">
        <v>1944</v>
      </c>
      <c r="J722" s="1">
        <v>601.82000000000005</v>
      </c>
    </row>
    <row r="723" spans="1:10" x14ac:dyDescent="0.25">
      <c r="A723" s="1" t="s">
        <v>4</v>
      </c>
      <c r="B723" s="1" t="s">
        <v>5</v>
      </c>
      <c r="C723" s="1" t="s">
        <v>825</v>
      </c>
      <c r="D723" s="1">
        <v>41.2851</v>
      </c>
      <c r="E723" s="1">
        <v>-88.418499999999995</v>
      </c>
      <c r="F723" s="1" t="s">
        <v>1922</v>
      </c>
      <c r="G723" s="22">
        <v>1388.9073943578674</v>
      </c>
      <c r="H723" s="20">
        <f ca="1">NOW() - TIME(5,30,0) + (VLOOKUP(MasterTable[[#This Row],[TimeZone]], $O$3:$P$8, 2, FALSE) / 24)</f>
        <v>45990.531878125003</v>
      </c>
      <c r="I723" s="1" t="s">
        <v>1944</v>
      </c>
      <c r="J723" s="1">
        <v>430.42</v>
      </c>
    </row>
    <row r="724" spans="1:10" x14ac:dyDescent="0.25">
      <c r="A724" s="1" t="s">
        <v>4</v>
      </c>
      <c r="B724" s="1" t="s">
        <v>5</v>
      </c>
      <c r="C724" s="1" t="s">
        <v>140</v>
      </c>
      <c r="D724" s="1">
        <v>37.7851</v>
      </c>
      <c r="E724" s="1">
        <v>-89.382099999999994</v>
      </c>
      <c r="F724" s="1" t="s">
        <v>1922</v>
      </c>
      <c r="G724" s="22">
        <v>1275.1442476692184</v>
      </c>
      <c r="H724" s="20">
        <f ca="1">NOW() - TIME(5,30,0) + (VLOOKUP(MasterTable[[#This Row],[TimeZone]], $O$3:$P$8, 2, FALSE) / 24)</f>
        <v>45990.531878125003</v>
      </c>
      <c r="I724" s="1" t="s">
        <v>1944</v>
      </c>
      <c r="J724" s="1">
        <v>1126.77</v>
      </c>
    </row>
    <row r="725" spans="1:10" x14ac:dyDescent="0.25">
      <c r="A725" s="1" t="s">
        <v>4</v>
      </c>
      <c r="B725" s="1" t="s">
        <v>5</v>
      </c>
      <c r="C725" s="1" t="s">
        <v>832</v>
      </c>
      <c r="D725" s="1">
        <v>42.0426</v>
      </c>
      <c r="E725" s="1">
        <v>-89.320700000000002</v>
      </c>
      <c r="F725" s="1" t="s">
        <v>1922</v>
      </c>
      <c r="G725" s="22">
        <v>1364.3635520405944</v>
      </c>
      <c r="H725" s="20">
        <f ca="1">NOW() - TIME(5,30,0) + (VLOOKUP(MasterTable[[#This Row],[TimeZone]], $O$3:$P$8, 2, FALSE) / 24)</f>
        <v>45990.531878125003</v>
      </c>
      <c r="I725" s="1" t="s">
        <v>1944</v>
      </c>
      <c r="J725" s="1">
        <v>763.27</v>
      </c>
    </row>
    <row r="726" spans="1:10" x14ac:dyDescent="0.25">
      <c r="A726" s="1" t="s">
        <v>4</v>
      </c>
      <c r="B726" s="1" t="s">
        <v>5</v>
      </c>
      <c r="C726" s="1" t="s">
        <v>205</v>
      </c>
      <c r="D726" s="1">
        <v>40.931800000000003</v>
      </c>
      <c r="E726" s="1">
        <v>-90.213200000000001</v>
      </c>
      <c r="F726" s="1" t="s">
        <v>1922</v>
      </c>
      <c r="G726" s="22">
        <v>1292.8124221012904</v>
      </c>
      <c r="H726" s="20">
        <f ca="1">NOW() - TIME(5,30,0) + (VLOOKUP(MasterTable[[#This Row],[TimeZone]], $O$3:$P$8, 2, FALSE) / 24)</f>
        <v>45990.531878125003</v>
      </c>
      <c r="I726" s="1" t="s">
        <v>1944</v>
      </c>
      <c r="J726" s="1">
        <v>719.7</v>
      </c>
    </row>
    <row r="727" spans="1:10" x14ac:dyDescent="0.25">
      <c r="A727" s="1" t="s">
        <v>4</v>
      </c>
      <c r="B727" s="1" t="s">
        <v>5</v>
      </c>
      <c r="C727" s="1" t="s">
        <v>332</v>
      </c>
      <c r="D727" s="1">
        <v>41.353099999999998</v>
      </c>
      <c r="E727" s="1">
        <v>-90.131399999999999</v>
      </c>
      <c r="F727" s="1" t="s">
        <v>1922</v>
      </c>
      <c r="G727" s="22">
        <v>1307.5046335713832</v>
      </c>
      <c r="H727" s="20">
        <f ca="1">NOW() - TIME(5,30,0) + (VLOOKUP(MasterTable[[#This Row],[TimeZone]], $O$3:$P$8, 2, FALSE) / 24)</f>
        <v>45990.531878125003</v>
      </c>
      <c r="I727" s="1" t="s">
        <v>1944</v>
      </c>
      <c r="J727" s="1">
        <v>568.33000000000004</v>
      </c>
    </row>
    <row r="728" spans="1:10" x14ac:dyDescent="0.25">
      <c r="A728" s="1" t="s">
        <v>4</v>
      </c>
      <c r="B728" s="1" t="s">
        <v>5</v>
      </c>
      <c r="C728" s="1" t="s">
        <v>870</v>
      </c>
      <c r="D728" s="1">
        <v>39.520299999999999</v>
      </c>
      <c r="E728" s="1">
        <v>-88.221699999999998</v>
      </c>
      <c r="F728" s="1" t="s">
        <v>1922</v>
      </c>
      <c r="G728" s="22">
        <v>1362.9302940720809</v>
      </c>
      <c r="H728" s="20">
        <f ca="1">NOW() - TIME(5,30,0) + (VLOOKUP(MasterTable[[#This Row],[TimeZone]], $O$3:$P$8, 2, FALSE) / 24)</f>
        <v>45990.531878125003</v>
      </c>
      <c r="I728" s="1" t="s">
        <v>1944</v>
      </c>
      <c r="J728" s="1">
        <v>510.07</v>
      </c>
    </row>
    <row r="729" spans="1:10" x14ac:dyDescent="0.25">
      <c r="A729" s="1" t="s">
        <v>4</v>
      </c>
      <c r="B729" s="1" t="s">
        <v>5</v>
      </c>
      <c r="C729" s="1" t="s">
        <v>896</v>
      </c>
      <c r="D729" s="1">
        <v>39.261000000000003</v>
      </c>
      <c r="E729" s="1">
        <v>-89.924499999999995</v>
      </c>
      <c r="F729" s="1" t="s">
        <v>1922</v>
      </c>
      <c r="G729" s="22">
        <v>1270.4981103772163</v>
      </c>
      <c r="H729" s="20">
        <f ca="1">NOW() - TIME(5,30,0) + (VLOOKUP(MasterTable[[#This Row],[TimeZone]], $O$3:$P$8, 2, FALSE) / 24)</f>
        <v>45990.531878125003</v>
      </c>
      <c r="I729" s="1" t="s">
        <v>1944</v>
      </c>
      <c r="J729" s="1">
        <v>867.61</v>
      </c>
    </row>
    <row r="730" spans="1:10" x14ac:dyDescent="0.25">
      <c r="A730" s="1" t="s">
        <v>4</v>
      </c>
      <c r="B730" s="1" t="s">
        <v>5</v>
      </c>
      <c r="C730" s="1" t="s">
        <v>902</v>
      </c>
      <c r="D730" s="1">
        <v>42.351799999999997</v>
      </c>
      <c r="E730" s="1">
        <v>-89.662300000000002</v>
      </c>
      <c r="F730" s="1" t="s">
        <v>1922</v>
      </c>
      <c r="G730" s="22">
        <v>1356.8105078242461</v>
      </c>
      <c r="H730" s="20">
        <f ca="1">NOW() - TIME(5,30,0) + (VLOOKUP(MasterTable[[#This Row],[TimeZone]], $O$3:$P$8, 2, FALSE) / 24)</f>
        <v>45990.531878125003</v>
      </c>
      <c r="I730" s="1" t="s">
        <v>1944</v>
      </c>
      <c r="J730" s="1">
        <v>564.72</v>
      </c>
    </row>
    <row r="731" spans="1:10" x14ac:dyDescent="0.25">
      <c r="A731" s="1" t="s">
        <v>4</v>
      </c>
      <c r="B731" s="1" t="s">
        <v>5</v>
      </c>
      <c r="C731" s="1" t="s">
        <v>970</v>
      </c>
      <c r="D731" s="1">
        <v>40.7883</v>
      </c>
      <c r="E731" s="1">
        <v>-89.211299999999994</v>
      </c>
      <c r="F731" s="1" t="s">
        <v>1922</v>
      </c>
      <c r="G731" s="22">
        <v>1338.5182159247395</v>
      </c>
      <c r="H731" s="20">
        <f ca="1">NOW() - TIME(5,30,0) + (VLOOKUP(MasterTable[[#This Row],[TimeZone]], $O$3:$P$8, 2, FALSE) / 24)</f>
        <v>45990.531878125003</v>
      </c>
      <c r="I731" s="1" t="s">
        <v>1944</v>
      </c>
      <c r="J731" s="1">
        <v>542.74</v>
      </c>
    </row>
    <row r="732" spans="1:10" x14ac:dyDescent="0.25">
      <c r="A732" s="1" t="s">
        <v>4</v>
      </c>
      <c r="B732" s="1" t="s">
        <v>5</v>
      </c>
      <c r="C732" s="1" t="s">
        <v>50</v>
      </c>
      <c r="D732" s="1">
        <v>37.9923</v>
      </c>
      <c r="E732" s="1">
        <v>-88.924199999999999</v>
      </c>
      <c r="F732" s="1" t="s">
        <v>1922</v>
      </c>
      <c r="G732" s="22">
        <v>1302.4068912223574</v>
      </c>
      <c r="H732" s="20">
        <f ca="1">NOW() - TIME(5,30,0) + (VLOOKUP(MasterTable[[#This Row],[TimeZone]], $O$3:$P$8, 2, FALSE) / 24)</f>
        <v>45990.531878125003</v>
      </c>
      <c r="I732" s="1" t="s">
        <v>1944</v>
      </c>
      <c r="J732" s="1">
        <v>646.51</v>
      </c>
    </row>
    <row r="733" spans="1:10" x14ac:dyDescent="0.25">
      <c r="A733" s="1" t="s">
        <v>4</v>
      </c>
      <c r="B733" s="1" t="s">
        <v>5</v>
      </c>
      <c r="C733" s="1" t="s">
        <v>88</v>
      </c>
      <c r="D733" s="1">
        <v>38.6496</v>
      </c>
      <c r="E733" s="1">
        <v>-88.918999999999997</v>
      </c>
      <c r="F733" s="1" t="s">
        <v>1922</v>
      </c>
      <c r="G733" s="22">
        <v>1312.2125836460962</v>
      </c>
      <c r="H733" s="20">
        <f ca="1">NOW() - TIME(5,30,0) + (VLOOKUP(MasterTable[[#This Row],[TimeZone]], $O$3:$P$8, 2, FALSE) / 24)</f>
        <v>45990.531878125003</v>
      </c>
      <c r="I733" s="1" t="s">
        <v>1944</v>
      </c>
      <c r="J733" s="1">
        <v>743.57</v>
      </c>
    </row>
    <row r="734" spans="1:10" x14ac:dyDescent="0.25">
      <c r="A734" s="1" t="s">
        <v>4</v>
      </c>
      <c r="B734" s="1" t="s">
        <v>5</v>
      </c>
      <c r="C734" s="1" t="s">
        <v>675</v>
      </c>
      <c r="D734" s="1">
        <v>38.606499999999997</v>
      </c>
      <c r="E734" s="1">
        <v>-89.422499999999999</v>
      </c>
      <c r="F734" s="1" t="s">
        <v>1922</v>
      </c>
      <c r="G734" s="22">
        <v>1285.0759461864468</v>
      </c>
      <c r="H734" s="20">
        <f ca="1">NOW() - TIME(5,30,0) + (VLOOKUP(MasterTable[[#This Row],[TimeZone]], $O$3:$P$8, 2, FALSE) / 24)</f>
        <v>45990.531878125003</v>
      </c>
      <c r="I734" s="1" t="s">
        <v>1944</v>
      </c>
      <c r="J734" s="1">
        <v>503.48</v>
      </c>
    </row>
    <row r="735" spans="1:10" x14ac:dyDescent="0.25">
      <c r="A735" s="1" t="s">
        <v>4</v>
      </c>
      <c r="B735" s="1" t="s">
        <v>5</v>
      </c>
      <c r="C735" s="1" t="s">
        <v>129</v>
      </c>
      <c r="D735" s="1">
        <v>38.3005</v>
      </c>
      <c r="E735" s="1">
        <v>-88.924000000000007</v>
      </c>
      <c r="F735" s="1" t="s">
        <v>1922</v>
      </c>
      <c r="G735" s="22">
        <v>1306.7060726856221</v>
      </c>
      <c r="H735" s="20">
        <f ca="1">NOW() - TIME(5,30,0) + (VLOOKUP(MasterTable[[#This Row],[TimeZone]], $O$3:$P$8, 2, FALSE) / 24)</f>
        <v>45990.531878125003</v>
      </c>
      <c r="I735" s="1" t="s">
        <v>1944</v>
      </c>
      <c r="J735" s="1">
        <v>1123.8</v>
      </c>
    </row>
    <row r="736" spans="1:10" x14ac:dyDescent="0.25">
      <c r="A736" s="1" t="s">
        <v>4</v>
      </c>
      <c r="B736" s="1" t="s">
        <v>5</v>
      </c>
      <c r="C736" s="1" t="s">
        <v>384</v>
      </c>
      <c r="D736" s="1">
        <v>40.891599999999997</v>
      </c>
      <c r="E736" s="1">
        <v>-88.557699999999997</v>
      </c>
      <c r="F736" s="1" t="s">
        <v>1922</v>
      </c>
      <c r="G736" s="22">
        <v>1373.1461510073316</v>
      </c>
      <c r="H736" s="20">
        <f ca="1">NOW() - TIME(5,30,0) + (VLOOKUP(MasterTable[[#This Row],[TimeZone]], $O$3:$P$8, 2, FALSE) / 24)</f>
        <v>45990.531878125003</v>
      </c>
      <c r="I736" s="1" t="s">
        <v>1944</v>
      </c>
      <c r="J736" s="1">
        <v>1045.43</v>
      </c>
    </row>
    <row r="737" spans="1:10" x14ac:dyDescent="0.25">
      <c r="A737" s="1" t="s">
        <v>4</v>
      </c>
      <c r="B737" s="1" t="s">
        <v>5</v>
      </c>
      <c r="C737" s="1" t="s">
        <v>135</v>
      </c>
      <c r="D737" s="1">
        <v>38.278500000000001</v>
      </c>
      <c r="E737" s="1">
        <v>-90.177300000000002</v>
      </c>
      <c r="F737" s="1" t="s">
        <v>1922</v>
      </c>
      <c r="G737" s="22">
        <v>1240.0723822955104</v>
      </c>
      <c r="H737" s="20">
        <f ca="1">NOW() - TIME(5,30,0) + (VLOOKUP(MasterTable[[#This Row],[TimeZone]], $O$3:$P$8, 2, FALSE) / 24)</f>
        <v>45990.531878125003</v>
      </c>
      <c r="I737" s="1" t="s">
        <v>1944</v>
      </c>
      <c r="J737" s="1">
        <v>1034.53</v>
      </c>
    </row>
    <row r="738" spans="1:10" x14ac:dyDescent="0.25">
      <c r="A738" s="1" t="s">
        <v>4</v>
      </c>
      <c r="B738" s="1" t="s">
        <v>5</v>
      </c>
      <c r="C738" s="1" t="s">
        <v>726</v>
      </c>
      <c r="D738" s="1">
        <v>39.059800000000003</v>
      </c>
      <c r="E738" s="1">
        <v>-88.5899</v>
      </c>
      <c r="F738" s="1" t="s">
        <v>1922</v>
      </c>
      <c r="G738" s="22">
        <v>1336.0210787035996</v>
      </c>
      <c r="H738" s="20">
        <f ca="1">NOW() - TIME(5,30,0) + (VLOOKUP(MasterTable[[#This Row],[TimeZone]], $O$3:$P$8, 2, FALSE) / 24)</f>
        <v>45990.531878125003</v>
      </c>
      <c r="I738" s="1" t="s">
        <v>1944</v>
      </c>
      <c r="J738" s="1">
        <v>482.82</v>
      </c>
    </row>
    <row r="739" spans="1:10" x14ac:dyDescent="0.25">
      <c r="A739" s="1" t="s">
        <v>4</v>
      </c>
      <c r="B739" s="1" t="s">
        <v>5</v>
      </c>
      <c r="C739" s="1" t="s">
        <v>127</v>
      </c>
      <c r="D739" s="1">
        <v>41.746099999999998</v>
      </c>
      <c r="E739" s="1">
        <v>-89.300299999999993</v>
      </c>
      <c r="F739" s="1" t="s">
        <v>1922</v>
      </c>
      <c r="G739" s="22">
        <v>1357.5352913597512</v>
      </c>
      <c r="H739" s="20">
        <f ca="1">NOW() - TIME(5,30,0) + (VLOOKUP(MasterTable[[#This Row],[TimeZone]], $O$3:$P$8, 2, FALSE) / 24)</f>
        <v>45990.531878125003</v>
      </c>
      <c r="I739" s="1" t="s">
        <v>1944</v>
      </c>
      <c r="J739" s="1">
        <v>615.54999999999995</v>
      </c>
    </row>
    <row r="740" spans="1:10" x14ac:dyDescent="0.25">
      <c r="A740" s="1" t="s">
        <v>4</v>
      </c>
      <c r="B740" s="1" t="s">
        <v>5</v>
      </c>
      <c r="C740" s="1" t="s">
        <v>629</v>
      </c>
      <c r="D740" s="1">
        <v>39.5458</v>
      </c>
      <c r="E740" s="1">
        <v>-89.277299999999997</v>
      </c>
      <c r="F740" s="1" t="s">
        <v>1922</v>
      </c>
      <c r="G740" s="22">
        <v>1309.1393200845389</v>
      </c>
      <c r="H740" s="20">
        <f ca="1">NOW() - TIME(5,30,0) + (VLOOKUP(MasterTable[[#This Row],[TimeZone]], $O$3:$P$8, 2, FALSE) / 24)</f>
        <v>45990.531878125003</v>
      </c>
      <c r="I740" s="1" t="s">
        <v>1944</v>
      </c>
      <c r="J740" s="1">
        <v>715.71</v>
      </c>
    </row>
    <row r="741" spans="1:10" x14ac:dyDescent="0.25">
      <c r="A741" s="1" t="s">
        <v>4</v>
      </c>
      <c r="B741" s="1" t="s">
        <v>5</v>
      </c>
      <c r="C741" s="1" t="s">
        <v>72</v>
      </c>
      <c r="D741" s="1">
        <v>40.472799999999999</v>
      </c>
      <c r="E741" s="1">
        <v>-90.207499999999996</v>
      </c>
      <c r="F741" s="1" t="s">
        <v>1922</v>
      </c>
      <c r="G741" s="22">
        <v>1281.9930664264443</v>
      </c>
      <c r="H741" s="20">
        <f ca="1">NOW() - TIME(5,30,0) + (VLOOKUP(MasterTable[[#This Row],[TimeZone]], $O$3:$P$8, 2, FALSE) / 24)</f>
        <v>45990.531878125003</v>
      </c>
      <c r="I741" s="1" t="s">
        <v>1944</v>
      </c>
      <c r="J741" s="1">
        <v>620.30999999999995</v>
      </c>
    </row>
    <row r="742" spans="1:10" x14ac:dyDescent="0.25">
      <c r="A742" s="1" t="s">
        <v>4</v>
      </c>
      <c r="B742" s="1" t="s">
        <v>5</v>
      </c>
      <c r="C742" s="1" t="s">
        <v>1039</v>
      </c>
      <c r="D742" s="1">
        <v>41.4041</v>
      </c>
      <c r="E742" s="1">
        <v>-89.528599999999997</v>
      </c>
      <c r="F742" s="1" t="s">
        <v>1922</v>
      </c>
      <c r="G742" s="22">
        <v>1337.8350114659563</v>
      </c>
      <c r="H742" s="20">
        <f ca="1">NOW() - TIME(5,30,0) + (VLOOKUP(MasterTable[[#This Row],[TimeZone]], $O$3:$P$8, 2, FALSE) / 24)</f>
        <v>45990.531878125003</v>
      </c>
      <c r="I742" s="1" t="s">
        <v>1944</v>
      </c>
      <c r="J742" s="1">
        <v>873.3</v>
      </c>
    </row>
    <row r="743" spans="1:10" x14ac:dyDescent="0.25">
      <c r="A743" s="1" t="s">
        <v>4</v>
      </c>
      <c r="B743" s="1" t="s">
        <v>5</v>
      </c>
      <c r="C743" s="1" t="s">
        <v>521</v>
      </c>
      <c r="D743" s="1">
        <v>39.715600000000002</v>
      </c>
      <c r="E743" s="1">
        <v>-90.201499999999996</v>
      </c>
      <c r="F743" s="1" t="s">
        <v>1922</v>
      </c>
      <c r="G743" s="22">
        <v>1265.4622956400858</v>
      </c>
      <c r="H743" s="20">
        <f ca="1">NOW() - TIME(5,30,0) + (VLOOKUP(MasterTable[[#This Row],[TimeZone]], $O$3:$P$8, 2, FALSE) / 24)</f>
        <v>45990.531878125003</v>
      </c>
      <c r="I743" s="1" t="s">
        <v>1944</v>
      </c>
      <c r="J743" s="1">
        <v>599.05999999999995</v>
      </c>
    </row>
    <row r="744" spans="1:10" x14ac:dyDescent="0.25">
      <c r="A744" s="1" t="s">
        <v>4</v>
      </c>
      <c r="B744" s="1" t="s">
        <v>5</v>
      </c>
      <c r="C744" s="1" t="s">
        <v>477</v>
      </c>
      <c r="D744" s="1">
        <v>38.052100000000003</v>
      </c>
      <c r="E744" s="1">
        <v>-89.825199999999995</v>
      </c>
      <c r="F744" s="1" t="s">
        <v>1922</v>
      </c>
      <c r="G744" s="22">
        <v>1255.2329235937655</v>
      </c>
      <c r="H744" s="20">
        <f ca="1">NOW() - TIME(5,30,0) + (VLOOKUP(MasterTable[[#This Row],[TimeZone]], $O$3:$P$8, 2, FALSE) / 24)</f>
        <v>45990.531878125003</v>
      </c>
      <c r="I744" s="1" t="s">
        <v>1944</v>
      </c>
      <c r="J744" s="1">
        <v>584.11</v>
      </c>
    </row>
    <row r="745" spans="1:10" x14ac:dyDescent="0.25">
      <c r="A745" s="1" t="s">
        <v>4</v>
      </c>
      <c r="B745" s="1" t="s">
        <v>5</v>
      </c>
      <c r="C745" s="1" t="s">
        <v>75</v>
      </c>
      <c r="D745" s="1">
        <v>39.231000000000002</v>
      </c>
      <c r="E745" s="1">
        <v>-89.478899999999996</v>
      </c>
      <c r="F745" s="1" t="s">
        <v>1922</v>
      </c>
      <c r="G745" s="22">
        <v>1292.8948278812509</v>
      </c>
      <c r="H745" s="20">
        <f ca="1">NOW() - TIME(5,30,0) + (VLOOKUP(MasterTable[[#This Row],[TimeZone]], $O$3:$P$8, 2, FALSE) / 24)</f>
        <v>45990.531878125003</v>
      </c>
      <c r="I745" s="1" t="s">
        <v>1944</v>
      </c>
      <c r="J745" s="1">
        <v>799.76</v>
      </c>
    </row>
    <row r="746" spans="1:10" x14ac:dyDescent="0.25">
      <c r="A746" s="1" t="s">
        <v>4</v>
      </c>
      <c r="B746" s="1" t="s">
        <v>5</v>
      </c>
      <c r="C746" s="1" t="s">
        <v>837</v>
      </c>
      <c r="D746" s="1">
        <v>40.124499999999998</v>
      </c>
      <c r="E746" s="1">
        <v>-89.367500000000007</v>
      </c>
      <c r="F746" s="1" t="s">
        <v>1922</v>
      </c>
      <c r="G746" s="22">
        <v>1316.1580839859512</v>
      </c>
      <c r="H746" s="20">
        <f ca="1">NOW() - TIME(5,30,0) + (VLOOKUP(MasterTable[[#This Row],[TimeZone]], $O$3:$P$8, 2, FALSE) / 24)</f>
        <v>45990.531878125003</v>
      </c>
      <c r="I746" s="1" t="s">
        <v>1944</v>
      </c>
      <c r="J746" s="1">
        <v>731.5</v>
      </c>
    </row>
    <row r="747" spans="1:10" x14ac:dyDescent="0.25">
      <c r="A747" s="1" t="s">
        <v>4</v>
      </c>
      <c r="B747" s="1" t="s">
        <v>5</v>
      </c>
      <c r="C747" s="1" t="s">
        <v>1123</v>
      </c>
      <c r="D747" s="1">
        <v>40.456200000000003</v>
      </c>
      <c r="E747" s="1">
        <v>-90.677899999999994</v>
      </c>
      <c r="F747" s="1" t="s">
        <v>1922</v>
      </c>
      <c r="G747" s="22">
        <v>1258.3832830709696</v>
      </c>
      <c r="H747" s="20">
        <f ca="1">NOW() - TIME(5,30,0) + (VLOOKUP(MasterTable[[#This Row],[TimeZone]], $O$3:$P$8, 2, FALSE) / 24)</f>
        <v>45990.531878125003</v>
      </c>
      <c r="I747" s="1" t="s">
        <v>1944</v>
      </c>
      <c r="J747" s="1">
        <v>590.02</v>
      </c>
    </row>
    <row r="748" spans="1:10" x14ac:dyDescent="0.25">
      <c r="A748" s="1" t="s">
        <v>4</v>
      </c>
      <c r="B748" s="1" t="s">
        <v>5</v>
      </c>
      <c r="C748" s="1" t="s">
        <v>1133</v>
      </c>
      <c r="D748" s="1">
        <v>40.747300000000003</v>
      </c>
      <c r="E748" s="1">
        <v>-87.824299999999994</v>
      </c>
      <c r="F748" s="1" t="s">
        <v>1922</v>
      </c>
      <c r="G748" s="22">
        <v>1406.5195728751346</v>
      </c>
      <c r="H748" s="20">
        <f ca="1">NOW() - TIME(5,30,0) + (VLOOKUP(MasterTable[[#This Row],[TimeZone]], $O$3:$P$8, 2, FALSE) / 24)</f>
        <v>45990.531878125003</v>
      </c>
      <c r="I748" s="1" t="s">
        <v>1944</v>
      </c>
      <c r="J748" s="1">
        <v>1118.03</v>
      </c>
    </row>
    <row r="749" spans="1:10" x14ac:dyDescent="0.25">
      <c r="A749" s="1" t="s">
        <v>4</v>
      </c>
      <c r="B749" s="1" t="s">
        <v>5</v>
      </c>
      <c r="C749" s="1" t="s">
        <v>517</v>
      </c>
      <c r="D749" s="1">
        <v>37.753100000000003</v>
      </c>
      <c r="E749" s="1">
        <v>-88.540700000000001</v>
      </c>
      <c r="F749" s="1" t="s">
        <v>1922</v>
      </c>
      <c r="G749" s="22">
        <v>1319.9154030323048</v>
      </c>
      <c r="H749" s="20">
        <f ca="1">NOW() - TIME(5,30,0) + (VLOOKUP(MasterTable[[#This Row],[TimeZone]], $O$3:$P$8, 2, FALSE) / 24)</f>
        <v>45990.531878125003</v>
      </c>
      <c r="I749" s="1" t="s">
        <v>1944</v>
      </c>
      <c r="J749" s="1">
        <v>730.46</v>
      </c>
    </row>
    <row r="750" spans="1:10" x14ac:dyDescent="0.25">
      <c r="A750" s="1" t="s">
        <v>4</v>
      </c>
      <c r="B750" s="1" t="s">
        <v>5</v>
      </c>
      <c r="C750" s="1" t="s">
        <v>1229</v>
      </c>
      <c r="D750" s="1">
        <v>42.3658</v>
      </c>
      <c r="E750" s="1">
        <v>-90.212599999999995</v>
      </c>
      <c r="F750" s="1" t="s">
        <v>1922</v>
      </c>
      <c r="G750" s="22">
        <v>1331.6472749120294</v>
      </c>
      <c r="H750" s="20">
        <f ca="1">NOW() - TIME(5,30,0) + (VLOOKUP(MasterTable[[#This Row],[TimeZone]], $O$3:$P$8, 2, FALSE) / 24)</f>
        <v>45990.531878125003</v>
      </c>
      <c r="I750" s="1" t="s">
        <v>1944</v>
      </c>
      <c r="J750" s="1">
        <v>618.72</v>
      </c>
    </row>
    <row r="751" spans="1:10" x14ac:dyDescent="0.25">
      <c r="A751" s="1" t="s">
        <v>4</v>
      </c>
      <c r="B751" s="1" t="s">
        <v>5</v>
      </c>
      <c r="C751" s="1" t="s">
        <v>279</v>
      </c>
      <c r="D751" s="1">
        <v>39.0002</v>
      </c>
      <c r="E751" s="1">
        <v>-89.024100000000004</v>
      </c>
      <c r="F751" s="1" t="s">
        <v>1922</v>
      </c>
      <c r="G751" s="22">
        <v>1312.410542441854</v>
      </c>
      <c r="H751" s="20">
        <f ca="1">NOW() - TIME(5,30,0) + (VLOOKUP(MasterTable[[#This Row],[TimeZone]], $O$3:$P$8, 2, FALSE) / 24)</f>
        <v>45990.531878125003</v>
      </c>
      <c r="I751" s="1" t="s">
        <v>1944</v>
      </c>
      <c r="J751" s="1">
        <v>629.34</v>
      </c>
    </row>
    <row r="752" spans="1:10" x14ac:dyDescent="0.25">
      <c r="A752" s="1" t="s">
        <v>4</v>
      </c>
      <c r="B752" s="1" t="s">
        <v>5</v>
      </c>
      <c r="C752" s="1" t="s">
        <v>1247</v>
      </c>
      <c r="D752" s="1">
        <v>39.085500000000003</v>
      </c>
      <c r="E752" s="1">
        <v>-90.356499999999997</v>
      </c>
      <c r="F752" s="1" t="s">
        <v>1922</v>
      </c>
      <c r="G752" s="22">
        <v>1244.9084105243699</v>
      </c>
      <c r="H752" s="20">
        <f ca="1">NOW() - TIME(5,30,0) + (VLOOKUP(MasterTable[[#This Row],[TimeZone]], $O$3:$P$8, 2, FALSE) / 24)</f>
        <v>45990.531878125003</v>
      </c>
      <c r="I752" s="1" t="s">
        <v>1944</v>
      </c>
      <c r="J752" s="1">
        <v>377.02</v>
      </c>
    </row>
    <row r="753" spans="1:10" x14ac:dyDescent="0.25">
      <c r="A753" s="1" t="s">
        <v>4</v>
      </c>
      <c r="B753" s="1" t="s">
        <v>5</v>
      </c>
      <c r="C753" s="1" t="s">
        <v>107</v>
      </c>
      <c r="D753" s="1">
        <v>39.391100000000002</v>
      </c>
      <c r="E753" s="1">
        <v>-88.805499999999995</v>
      </c>
      <c r="F753" s="1" t="s">
        <v>1922</v>
      </c>
      <c r="G753" s="22">
        <v>1330.5365260651927</v>
      </c>
      <c r="H753" s="20">
        <f ca="1">NOW() - TIME(5,30,0) + (VLOOKUP(MasterTable[[#This Row],[TimeZone]], $O$3:$P$8, 2, FALSE) / 24)</f>
        <v>45990.531878125003</v>
      </c>
      <c r="I753" s="1" t="s">
        <v>1944</v>
      </c>
      <c r="J753" s="1">
        <v>809.53</v>
      </c>
    </row>
    <row r="754" spans="1:10" x14ac:dyDescent="0.25">
      <c r="A754" s="1" t="s">
        <v>4</v>
      </c>
      <c r="B754" s="1" t="s">
        <v>5</v>
      </c>
      <c r="C754" s="1" t="s">
        <v>877</v>
      </c>
      <c r="D754" s="1">
        <v>38.0837</v>
      </c>
      <c r="E754" s="1">
        <v>-89.367000000000004</v>
      </c>
      <c r="F754" s="1" t="s">
        <v>1922</v>
      </c>
      <c r="G754" s="22">
        <v>1280.0609895407829</v>
      </c>
      <c r="H754" s="20">
        <f ca="1">NOW() - TIME(5,30,0) + (VLOOKUP(MasterTable[[#This Row],[TimeZone]], $O$3:$P$8, 2, FALSE) / 24)</f>
        <v>45990.531878125003</v>
      </c>
      <c r="I754" s="1" t="s">
        <v>1944</v>
      </c>
      <c r="J754" s="1">
        <v>724.08</v>
      </c>
    </row>
    <row r="755" spans="1:10" x14ac:dyDescent="0.25">
      <c r="A755" s="1" t="s">
        <v>4</v>
      </c>
      <c r="B755" s="1" t="s">
        <v>5</v>
      </c>
      <c r="C755" s="1" t="s">
        <v>170</v>
      </c>
      <c r="D755" s="1">
        <v>39.769399999999997</v>
      </c>
      <c r="E755" s="1">
        <v>-88.217299999999994</v>
      </c>
      <c r="F755" s="1" t="s">
        <v>1922</v>
      </c>
      <c r="G755" s="22">
        <v>1367.6043632758049</v>
      </c>
      <c r="H755" s="20">
        <f ca="1">NOW() - TIME(5,30,0) + (VLOOKUP(MasterTable[[#This Row],[TimeZone]], $O$3:$P$8, 2, FALSE) / 24)</f>
        <v>45990.531878125003</v>
      </c>
      <c r="I755" s="1" t="s">
        <v>1944</v>
      </c>
      <c r="J755" s="1">
        <v>842.75</v>
      </c>
    </row>
    <row r="756" spans="1:10" x14ac:dyDescent="0.25">
      <c r="A756" s="1" t="s">
        <v>4</v>
      </c>
      <c r="B756" s="1" t="s">
        <v>5</v>
      </c>
      <c r="C756" s="1" t="s">
        <v>655</v>
      </c>
      <c r="D756" s="1">
        <v>39.002699999999997</v>
      </c>
      <c r="E756" s="1">
        <v>-87.759600000000006</v>
      </c>
      <c r="F756" s="1" t="s">
        <v>1922</v>
      </c>
      <c r="G756" s="22">
        <v>1378.4926657386084</v>
      </c>
      <c r="H756" s="20">
        <f ca="1">NOW() - TIME(5,30,0) + (VLOOKUP(MasterTable[[#This Row],[TimeZone]], $O$3:$P$8, 2, FALSE) / 24)</f>
        <v>45990.531878125003</v>
      </c>
      <c r="I756" s="1" t="s">
        <v>1944</v>
      </c>
      <c r="J756" s="1">
        <v>604.20000000000005</v>
      </c>
    </row>
    <row r="757" spans="1:10" x14ac:dyDescent="0.25">
      <c r="A757" s="1" t="s">
        <v>4</v>
      </c>
      <c r="B757" s="1" t="s">
        <v>5</v>
      </c>
      <c r="C757" s="1" t="s">
        <v>663</v>
      </c>
      <c r="D757" s="1">
        <v>40.403700000000001</v>
      </c>
      <c r="E757" s="1">
        <v>-91.164699999999996</v>
      </c>
      <c r="F757" s="1" t="s">
        <v>1922</v>
      </c>
      <c r="G757" s="22">
        <v>1233.1550859935026</v>
      </c>
      <c r="H757" s="20">
        <f ca="1">NOW() - TIME(5,30,0) + (VLOOKUP(MasterTable[[#This Row],[TimeZone]], $O$3:$P$8, 2, FALSE) / 24)</f>
        <v>45990.531878125003</v>
      </c>
      <c r="I757" s="1" t="s">
        <v>1944</v>
      </c>
      <c r="J757" s="1">
        <v>478.76</v>
      </c>
    </row>
    <row r="758" spans="1:10" x14ac:dyDescent="0.25">
      <c r="A758" s="1" t="s">
        <v>4</v>
      </c>
      <c r="B758" s="1" t="s">
        <v>5</v>
      </c>
      <c r="C758" s="1" t="s">
        <v>177</v>
      </c>
      <c r="D758" s="1">
        <v>37.471299999999999</v>
      </c>
      <c r="E758" s="1">
        <v>-89.255099999999999</v>
      </c>
      <c r="F758" s="1" t="s">
        <v>1922</v>
      </c>
      <c r="G758" s="22">
        <v>1278.0135007678339</v>
      </c>
      <c r="H758" s="20">
        <f ca="1">NOW() - TIME(5,30,0) + (VLOOKUP(MasterTable[[#This Row],[TimeZone]], $O$3:$P$8, 2, FALSE) / 24)</f>
        <v>45990.531878125003</v>
      </c>
      <c r="I758" s="1" t="s">
        <v>1944</v>
      </c>
      <c r="J758" s="1">
        <v>1055.27</v>
      </c>
    </row>
    <row r="759" spans="1:10" x14ac:dyDescent="0.25">
      <c r="A759" s="1" t="s">
        <v>4</v>
      </c>
      <c r="B759" s="1" t="s">
        <v>5</v>
      </c>
      <c r="C759" s="1" t="s">
        <v>1357</v>
      </c>
      <c r="D759" s="1">
        <v>40.010300000000001</v>
      </c>
      <c r="E759" s="1">
        <v>-88.591099999999997</v>
      </c>
      <c r="F759" s="1" t="s">
        <v>1922</v>
      </c>
      <c r="G759" s="22">
        <v>1353.090070551536</v>
      </c>
      <c r="H759" s="20">
        <f ca="1">NOW() - TIME(5,30,0) + (VLOOKUP(MasterTable[[#This Row],[TimeZone]], $O$3:$P$8, 2, FALSE) / 24)</f>
        <v>45990.531878125003</v>
      </c>
      <c r="I759" s="1" t="s">
        <v>1944</v>
      </c>
      <c r="J759" s="1">
        <v>440.33</v>
      </c>
    </row>
    <row r="760" spans="1:10" x14ac:dyDescent="0.25">
      <c r="A760" s="1" t="s">
        <v>4</v>
      </c>
      <c r="B760" s="1" t="s">
        <v>5</v>
      </c>
      <c r="C760" s="1" t="s">
        <v>1359</v>
      </c>
      <c r="D760" s="1">
        <v>39.678600000000003</v>
      </c>
      <c r="E760" s="1">
        <v>-87.745599999999996</v>
      </c>
      <c r="F760" s="1" t="s">
        <v>1922</v>
      </c>
      <c r="G760" s="22">
        <v>1390.2152212982962</v>
      </c>
      <c r="H760" s="20">
        <f ca="1">NOW() - TIME(5,30,0) + (VLOOKUP(MasterTable[[#This Row],[TimeZone]], $O$3:$P$8, 2, FALSE) / 24)</f>
        <v>45990.531878125003</v>
      </c>
      <c r="I760" s="1" t="s">
        <v>1944</v>
      </c>
      <c r="J760" s="1">
        <v>624.17999999999995</v>
      </c>
    </row>
    <row r="761" spans="1:10" x14ac:dyDescent="0.25">
      <c r="A761" s="1" t="s">
        <v>4</v>
      </c>
      <c r="B761" s="1" t="s">
        <v>5</v>
      </c>
      <c r="C761" s="1" t="s">
        <v>1361</v>
      </c>
      <c r="D761" s="1">
        <v>38.886800000000001</v>
      </c>
      <c r="E761" s="1">
        <v>-89.435500000000005</v>
      </c>
      <c r="F761" s="1" t="s">
        <v>1922</v>
      </c>
      <c r="G761" s="22">
        <v>1289.0530534911311</v>
      </c>
      <c r="H761" s="20">
        <f ca="1">NOW() - TIME(5,30,0) + (VLOOKUP(MasterTable[[#This Row],[TimeZone]], $O$3:$P$8, 2, FALSE) / 24)</f>
        <v>45990.531878125003</v>
      </c>
      <c r="I761" s="1" t="s">
        <v>1944</v>
      </c>
      <c r="J761" s="1">
        <v>382.67</v>
      </c>
    </row>
    <row r="762" spans="1:10" x14ac:dyDescent="0.25">
      <c r="A762" s="1" t="s">
        <v>4</v>
      </c>
      <c r="B762" s="1" t="s">
        <v>5</v>
      </c>
      <c r="C762" s="1" t="s">
        <v>331</v>
      </c>
      <c r="D762" s="1">
        <v>40.848799999999997</v>
      </c>
      <c r="E762" s="1">
        <v>-90.614999999999995</v>
      </c>
      <c r="F762" s="1" t="s">
        <v>1922</v>
      </c>
      <c r="G762" s="22">
        <v>1271.1749083913614</v>
      </c>
      <c r="H762" s="20">
        <f ca="1">NOW() - TIME(5,30,0) + (VLOOKUP(MasterTable[[#This Row],[TimeZone]], $O$3:$P$8, 2, FALSE) / 24)</f>
        <v>45990.531878125003</v>
      </c>
      <c r="I762" s="1" t="s">
        <v>1944</v>
      </c>
      <c r="J762" s="1">
        <v>286.74</v>
      </c>
    </row>
    <row r="763" spans="1:10" x14ac:dyDescent="0.25">
      <c r="A763" s="1" t="s">
        <v>4</v>
      </c>
      <c r="B763" s="1" t="s">
        <v>5</v>
      </c>
      <c r="C763" s="1" t="s">
        <v>34</v>
      </c>
      <c r="D763" s="1">
        <v>38.429600000000001</v>
      </c>
      <c r="E763" s="1">
        <v>-88.425600000000003</v>
      </c>
      <c r="F763" s="1" t="s">
        <v>1922</v>
      </c>
      <c r="G763" s="22">
        <v>1334.9710497516041</v>
      </c>
      <c r="H763" s="20">
        <f ca="1">NOW() - TIME(5,30,0) + (VLOOKUP(MasterTable[[#This Row],[TimeZone]], $O$3:$P$8, 2, FALSE) / 24)</f>
        <v>45990.531878125003</v>
      </c>
      <c r="I763" s="1" t="s">
        <v>1944</v>
      </c>
      <c r="J763" s="1">
        <v>648.79999999999995</v>
      </c>
    </row>
    <row r="764" spans="1:10" x14ac:dyDescent="0.25">
      <c r="A764" s="1" t="s">
        <v>4</v>
      </c>
      <c r="B764" s="1" t="s">
        <v>5</v>
      </c>
      <c r="C764" s="1" t="s">
        <v>232</v>
      </c>
      <c r="D764" s="1">
        <v>38.712400000000002</v>
      </c>
      <c r="E764" s="1">
        <v>-88.085099999999997</v>
      </c>
      <c r="F764" s="1" t="s">
        <v>1922</v>
      </c>
      <c r="G764" s="22">
        <v>1357.0498483164861</v>
      </c>
      <c r="H764" s="20">
        <f ca="1">NOW() - TIME(5,30,0) + (VLOOKUP(MasterTable[[#This Row],[TimeZone]], $O$3:$P$8, 2, FALSE) / 24)</f>
        <v>45990.531878125003</v>
      </c>
      <c r="I764" s="1" t="s">
        <v>1944</v>
      </c>
      <c r="J764" s="1">
        <v>362.01</v>
      </c>
    </row>
    <row r="765" spans="1:10" x14ac:dyDescent="0.25">
      <c r="A765" s="1" t="s">
        <v>4</v>
      </c>
      <c r="B765" s="1" t="s">
        <v>5</v>
      </c>
      <c r="C765" s="1" t="s">
        <v>418</v>
      </c>
      <c r="D765" s="1">
        <v>42.0687</v>
      </c>
      <c r="E765" s="1">
        <v>-89.934299999999993</v>
      </c>
      <c r="F765" s="1" t="s">
        <v>1922</v>
      </c>
      <c r="G765" s="22">
        <v>1336.1545814153505</v>
      </c>
      <c r="H765" s="20">
        <f ca="1">NOW() - TIME(5,30,0) + (VLOOKUP(MasterTable[[#This Row],[TimeZone]], $O$3:$P$8, 2, FALSE) / 24)</f>
        <v>45990.531878125003</v>
      </c>
      <c r="I765" s="1" t="s">
        <v>1944</v>
      </c>
      <c r="J765" s="1">
        <v>638.80999999999995</v>
      </c>
    </row>
    <row r="766" spans="1:10" x14ac:dyDescent="0.25">
      <c r="A766" s="1" t="s">
        <v>4</v>
      </c>
      <c r="B766" s="1" t="s">
        <v>5</v>
      </c>
      <c r="C766" s="1" t="s">
        <v>249</v>
      </c>
      <c r="D766" s="1">
        <v>41.205300000000001</v>
      </c>
      <c r="E766" s="1">
        <v>-90.741399999999999</v>
      </c>
      <c r="F766" s="1" t="s">
        <v>1922</v>
      </c>
      <c r="G766" s="22">
        <v>1274.3280230661835</v>
      </c>
      <c r="H766" s="20">
        <f ca="1">NOW() - TIME(5,30,0) + (VLOOKUP(MasterTable[[#This Row],[TimeZone]], $O$3:$P$8, 2, FALSE) / 24)</f>
        <v>45990.531878125003</v>
      </c>
      <c r="I766" s="1" t="s">
        <v>1944</v>
      </c>
      <c r="J766" s="1">
        <v>568.88</v>
      </c>
    </row>
    <row r="767" spans="1:10" x14ac:dyDescent="0.25">
      <c r="A767" s="1" t="s">
        <v>4</v>
      </c>
      <c r="B767" s="1" t="s">
        <v>5</v>
      </c>
      <c r="C767" s="1" t="s">
        <v>1388</v>
      </c>
      <c r="D767" s="1">
        <v>40.174599999999998</v>
      </c>
      <c r="E767" s="1">
        <v>-88.9041</v>
      </c>
      <c r="F767" s="1" t="s">
        <v>1922</v>
      </c>
      <c r="G767" s="22">
        <v>1340.5418048046554</v>
      </c>
      <c r="H767" s="20">
        <f ca="1">NOW() - TIME(5,30,0) + (VLOOKUP(MasterTable[[#This Row],[TimeZone]], $O$3:$P$8, 2, FALSE) / 24)</f>
        <v>45990.531878125003</v>
      </c>
      <c r="I767" s="1" t="s">
        <v>1944</v>
      </c>
      <c r="J767" s="1">
        <v>405.15</v>
      </c>
    </row>
    <row r="768" spans="1:10" x14ac:dyDescent="0.25">
      <c r="A768" s="1" t="s">
        <v>4</v>
      </c>
      <c r="B768" s="1" t="s">
        <v>5</v>
      </c>
      <c r="C768" s="1" t="s">
        <v>23</v>
      </c>
      <c r="D768" s="1">
        <v>39.333599999999997</v>
      </c>
      <c r="E768" s="1">
        <v>-87.787700000000001</v>
      </c>
      <c r="F768" s="1" t="s">
        <v>1922</v>
      </c>
      <c r="G768" s="22">
        <v>1382.2408931783984</v>
      </c>
      <c r="H768" s="20">
        <f ca="1">NOW() - TIME(5,30,0) + (VLOOKUP(MasterTable[[#This Row],[TimeZone]], $O$3:$P$8, 2, FALSE) / 24)</f>
        <v>45990.531878125003</v>
      </c>
      <c r="I768" s="1" t="s">
        <v>1944</v>
      </c>
      <c r="J768" s="1">
        <v>882.6</v>
      </c>
    </row>
    <row r="769" spans="1:10" x14ac:dyDescent="0.25">
      <c r="A769" s="1" t="s">
        <v>4</v>
      </c>
      <c r="B769" s="1" t="s">
        <v>5</v>
      </c>
      <c r="C769" s="1" t="s">
        <v>644</v>
      </c>
      <c r="D769" s="1">
        <v>38.72</v>
      </c>
      <c r="E769" s="1">
        <v>-87.726799999999997</v>
      </c>
      <c r="F769" s="1" t="s">
        <v>1922</v>
      </c>
      <c r="G769" s="22">
        <v>1376.0475058688419</v>
      </c>
      <c r="H769" s="20">
        <f ca="1">NOW() - TIME(5,30,0) + (VLOOKUP(MasterTable[[#This Row],[TimeZone]], $O$3:$P$8, 2, FALSE) / 24)</f>
        <v>45990.531878125003</v>
      </c>
      <c r="I769" s="1" t="s">
        <v>1944</v>
      </c>
      <c r="J769" s="1">
        <v>718.07</v>
      </c>
    </row>
    <row r="770" spans="1:10" x14ac:dyDescent="0.25">
      <c r="A770" s="1" t="s">
        <v>4</v>
      </c>
      <c r="B770" s="1" t="s">
        <v>5</v>
      </c>
      <c r="C770" s="1" t="s">
        <v>783</v>
      </c>
      <c r="D770" s="1">
        <v>39.622500000000002</v>
      </c>
      <c r="E770" s="1">
        <v>-90.886300000000006</v>
      </c>
      <c r="F770" s="1" t="s">
        <v>1922</v>
      </c>
      <c r="G770" s="22">
        <v>1228.8356091599364</v>
      </c>
      <c r="H770" s="20">
        <f ca="1">NOW() - TIME(5,30,0) + (VLOOKUP(MasterTable[[#This Row],[TimeZone]], $O$3:$P$8, 2, FALSE) / 24)</f>
        <v>45990.531878125003</v>
      </c>
      <c r="I770" s="1" t="s">
        <v>1944</v>
      </c>
      <c r="J770" s="1">
        <v>672.1</v>
      </c>
    </row>
    <row r="771" spans="1:10" x14ac:dyDescent="0.25">
      <c r="A771" s="1" t="s">
        <v>4</v>
      </c>
      <c r="B771" s="1" t="s">
        <v>5</v>
      </c>
      <c r="C771" s="1" t="s">
        <v>1418</v>
      </c>
      <c r="D771" s="1">
        <v>39.641500000000001</v>
      </c>
      <c r="E771" s="1">
        <v>-88.619299999999996</v>
      </c>
      <c r="F771" s="1" t="s">
        <v>1922</v>
      </c>
      <c r="G771" s="22">
        <v>1344.6557481577449</v>
      </c>
      <c r="H771" s="20">
        <f ca="1">NOW() - TIME(5,30,0) + (VLOOKUP(MasterTable[[#This Row],[TimeZone]], $O$3:$P$8, 2, FALSE) / 24)</f>
        <v>45990.531878125003</v>
      </c>
      <c r="I771" s="1" t="s">
        <v>1944</v>
      </c>
      <c r="J771" s="1">
        <v>344.47</v>
      </c>
    </row>
    <row r="772" spans="1:10" x14ac:dyDescent="0.25">
      <c r="A772" s="1" t="s">
        <v>4</v>
      </c>
      <c r="B772" s="1" t="s">
        <v>5</v>
      </c>
      <c r="C772" s="1" t="s">
        <v>1438</v>
      </c>
      <c r="D772" s="1">
        <v>37.218899999999998</v>
      </c>
      <c r="E772" s="1">
        <v>-88.707599999999999</v>
      </c>
      <c r="F772" s="1" t="s">
        <v>1922</v>
      </c>
      <c r="G772" s="22">
        <v>1304.8505884234448</v>
      </c>
      <c r="H772" s="20">
        <f ca="1">NOW() - TIME(5,30,0) + (VLOOKUP(MasterTable[[#This Row],[TimeZone]], $O$3:$P$8, 2, FALSE) / 24)</f>
        <v>45990.531878125003</v>
      </c>
      <c r="I772" s="1" t="s">
        <v>1944</v>
      </c>
      <c r="J772" s="1">
        <v>242.12</v>
      </c>
    </row>
    <row r="773" spans="1:10" x14ac:dyDescent="0.25">
      <c r="A773" s="1" t="s">
        <v>4</v>
      </c>
      <c r="B773" s="1" t="s">
        <v>5</v>
      </c>
      <c r="C773" s="1" t="s">
        <v>682</v>
      </c>
      <c r="D773" s="1">
        <v>38.087499999999999</v>
      </c>
      <c r="E773" s="1">
        <v>-88.179599999999994</v>
      </c>
      <c r="F773" s="1" t="s">
        <v>1922</v>
      </c>
      <c r="G773" s="22">
        <v>1343.4402934168243</v>
      </c>
      <c r="H773" s="20">
        <f ca="1">NOW() - TIME(5,30,0) + (VLOOKUP(MasterTable[[#This Row],[TimeZone]], $O$3:$P$8, 2, FALSE) / 24)</f>
        <v>45990.531878125003</v>
      </c>
      <c r="I773" s="1" t="s">
        <v>1944</v>
      </c>
      <c r="J773" s="1">
        <v>1042.3599999999999</v>
      </c>
    </row>
    <row r="774" spans="1:10" x14ac:dyDescent="0.25">
      <c r="A774" s="1" t="s">
        <v>4</v>
      </c>
      <c r="B774" s="1" t="s">
        <v>5</v>
      </c>
      <c r="C774" s="1" t="s">
        <v>28</v>
      </c>
      <c r="D774" s="1">
        <v>38.352200000000003</v>
      </c>
      <c r="E774" s="1">
        <v>-89.410499999999999</v>
      </c>
      <c r="F774" s="1" t="s">
        <v>1922</v>
      </c>
      <c r="G774" s="22">
        <v>1281.7175452300298</v>
      </c>
      <c r="H774" s="20">
        <f ca="1">NOW() - TIME(5,30,0) + (VLOOKUP(MasterTable[[#This Row],[TimeZone]], $O$3:$P$8, 2, FALSE) / 24)</f>
        <v>45990.531878125003</v>
      </c>
      <c r="I774" s="1" t="s">
        <v>1944</v>
      </c>
      <c r="J774" s="1">
        <v>1088.54</v>
      </c>
    </row>
    <row r="775" spans="1:10" x14ac:dyDescent="0.25">
      <c r="A775" s="1" t="s">
        <v>4</v>
      </c>
      <c r="B775" s="1" t="s">
        <v>5</v>
      </c>
      <c r="C775" s="1" t="s">
        <v>1026</v>
      </c>
      <c r="D775" s="1">
        <v>40.597200000000001</v>
      </c>
      <c r="E775" s="1">
        <v>-88.223299999999995</v>
      </c>
      <c r="F775" s="1" t="s">
        <v>1922</v>
      </c>
      <c r="G775" s="22">
        <v>1383.4613360816752</v>
      </c>
      <c r="H775" s="20">
        <f ca="1">NOW() - TIME(5,30,0) + (VLOOKUP(MasterTable[[#This Row],[TimeZone]], $O$3:$P$8, 2, FALSE) / 24)</f>
        <v>45990.531878125003</v>
      </c>
      <c r="I775" s="1" t="s">
        <v>1944</v>
      </c>
      <c r="J775" s="1">
        <v>486.42</v>
      </c>
    </row>
    <row r="776" spans="1:10" x14ac:dyDescent="0.25">
      <c r="A776" s="1" t="s">
        <v>4</v>
      </c>
      <c r="B776" s="1" t="s">
        <v>5</v>
      </c>
      <c r="C776" s="1" t="s">
        <v>165</v>
      </c>
      <c r="D776" s="1">
        <v>37.459699999999998</v>
      </c>
      <c r="E776" s="1">
        <v>-88.880899999999997</v>
      </c>
      <c r="F776" s="1" t="s">
        <v>1922</v>
      </c>
      <c r="G776" s="22">
        <v>1298.1003151111934</v>
      </c>
      <c r="H776" s="20">
        <f ca="1">NOW() - TIME(5,30,0) + (VLOOKUP(MasterTable[[#This Row],[TimeZone]], $O$3:$P$8, 2, FALSE) / 24)</f>
        <v>45990.531878125003</v>
      </c>
      <c r="I776" s="1" t="s">
        <v>1944</v>
      </c>
      <c r="J776" s="1">
        <v>682.74</v>
      </c>
    </row>
    <row r="777" spans="1:10" x14ac:dyDescent="0.25">
      <c r="A777" s="1" t="s">
        <v>4</v>
      </c>
      <c r="B777" s="1" t="s">
        <v>5</v>
      </c>
      <c r="C777" s="1" t="s">
        <v>327</v>
      </c>
      <c r="D777" s="1">
        <v>38.754199999999997</v>
      </c>
      <c r="E777" s="1">
        <v>-88.490200000000002</v>
      </c>
      <c r="F777" s="1" t="s">
        <v>1922</v>
      </c>
      <c r="G777" s="22">
        <v>1336.3669630473144</v>
      </c>
      <c r="H777" s="20">
        <f ca="1">NOW() - TIME(5,30,0) + (VLOOKUP(MasterTable[[#This Row],[TimeZone]], $O$3:$P$8, 2, FALSE) / 24)</f>
        <v>45990.531878125003</v>
      </c>
      <c r="I777" s="1" t="s">
        <v>1944</v>
      </c>
      <c r="J777" s="1">
        <v>606</v>
      </c>
    </row>
    <row r="778" spans="1:10" x14ac:dyDescent="0.25">
      <c r="A778" s="1" t="s">
        <v>4</v>
      </c>
      <c r="B778" s="1" t="s">
        <v>5</v>
      </c>
      <c r="C778" s="1" t="s">
        <v>730</v>
      </c>
      <c r="D778" s="1">
        <v>40.239600000000003</v>
      </c>
      <c r="E778" s="1">
        <v>-89.916799999999995</v>
      </c>
      <c r="F778" s="1" t="s">
        <v>1922</v>
      </c>
      <c r="G778" s="22">
        <v>1291.1099025420281</v>
      </c>
      <c r="H778" s="20">
        <f ca="1">NOW() - TIME(5,30,0) + (VLOOKUP(MasterTable[[#This Row],[TimeZone]], $O$3:$P$8, 2, FALSE) / 24)</f>
        <v>45990.531878125003</v>
      </c>
      <c r="I778" s="1" t="s">
        <v>1944</v>
      </c>
      <c r="J778" s="1">
        <v>563.37</v>
      </c>
    </row>
    <row r="779" spans="1:10" x14ac:dyDescent="0.25">
      <c r="A779" s="1" t="s">
        <v>4</v>
      </c>
      <c r="B779" s="1" t="s">
        <v>5</v>
      </c>
      <c r="C779" s="1" t="s">
        <v>392</v>
      </c>
      <c r="D779" s="1">
        <v>39.973500000000001</v>
      </c>
      <c r="E779" s="1">
        <v>-90.247399999999999</v>
      </c>
      <c r="F779" s="1" t="s">
        <v>1922</v>
      </c>
      <c r="G779" s="22">
        <v>1268.6788216187285</v>
      </c>
      <c r="H779" s="20">
        <f ca="1">NOW() - TIME(5,30,0) + (VLOOKUP(MasterTable[[#This Row],[TimeZone]], $O$3:$P$8, 2, FALSE) / 24)</f>
        <v>45990.531878125003</v>
      </c>
      <c r="I779" s="1" t="s">
        <v>1944</v>
      </c>
      <c r="J779" s="1">
        <v>383.73</v>
      </c>
    </row>
    <row r="780" spans="1:10" x14ac:dyDescent="0.25">
      <c r="A780" s="1" t="s">
        <v>4</v>
      </c>
      <c r="B780" s="1" t="s">
        <v>5</v>
      </c>
      <c r="C780" s="1" t="s">
        <v>1496</v>
      </c>
      <c r="D780" s="1">
        <v>40.0274</v>
      </c>
      <c r="E780" s="1">
        <v>-89.802199999999999</v>
      </c>
      <c r="F780" s="1" t="s">
        <v>1922</v>
      </c>
      <c r="G780" s="22">
        <v>1292.2243767968866</v>
      </c>
      <c r="H780" s="20">
        <f ca="1">NOW() - TIME(5,30,0) + (VLOOKUP(MasterTable[[#This Row],[TimeZone]], $O$3:$P$8, 2, FALSE) / 24)</f>
        <v>45990.531878125003</v>
      </c>
      <c r="I780" s="1" t="s">
        <v>1944</v>
      </c>
      <c r="J780" s="1">
        <v>315.37</v>
      </c>
    </row>
    <row r="781" spans="1:10" x14ac:dyDescent="0.25">
      <c r="A781" s="1" t="s">
        <v>4</v>
      </c>
      <c r="B781" s="1" t="s">
        <v>5</v>
      </c>
      <c r="C781" s="1" t="s">
        <v>289</v>
      </c>
      <c r="D781" s="1">
        <v>39.356200000000001</v>
      </c>
      <c r="E781" s="1">
        <v>-90.390500000000003</v>
      </c>
      <c r="F781" s="1" t="s">
        <v>1922</v>
      </c>
      <c r="G781" s="22">
        <v>1248.465826049777</v>
      </c>
      <c r="H781" s="20">
        <f ca="1">NOW() - TIME(5,30,0) + (VLOOKUP(MasterTable[[#This Row],[TimeZone]], $O$3:$P$8, 2, FALSE) / 24)</f>
        <v>45990.531878125003</v>
      </c>
      <c r="I781" s="1" t="s">
        <v>1944</v>
      </c>
      <c r="J781" s="1">
        <v>659.93</v>
      </c>
    </row>
    <row r="782" spans="1:10" x14ac:dyDescent="0.25">
      <c r="A782" s="1" t="s">
        <v>4</v>
      </c>
      <c r="B782" s="1" t="s">
        <v>5</v>
      </c>
      <c r="C782" s="1" t="s">
        <v>600</v>
      </c>
      <c r="D782" s="1">
        <v>41.033200000000001</v>
      </c>
      <c r="E782" s="1">
        <v>-89.344800000000006</v>
      </c>
      <c r="F782" s="1" t="s">
        <v>1922</v>
      </c>
      <c r="G782" s="22">
        <v>1337.6721669069075</v>
      </c>
      <c r="H782" s="20">
        <f ca="1">NOW() - TIME(5,30,0) + (VLOOKUP(MasterTable[[#This Row],[TimeZone]], $O$3:$P$8, 2, FALSE) / 24)</f>
        <v>45990.531878125003</v>
      </c>
      <c r="I782" s="1" t="s">
        <v>1944</v>
      </c>
      <c r="J782" s="1">
        <v>623.16</v>
      </c>
    </row>
    <row r="783" spans="1:10" x14ac:dyDescent="0.25">
      <c r="A783" s="1" t="s">
        <v>4</v>
      </c>
      <c r="B783" s="1" t="s">
        <v>5</v>
      </c>
      <c r="C783" s="1" t="s">
        <v>1059</v>
      </c>
      <c r="D783" s="1">
        <v>38.446100000000001</v>
      </c>
      <c r="E783" s="1">
        <v>-87.844300000000004</v>
      </c>
      <c r="F783" s="1" t="s">
        <v>1922</v>
      </c>
      <c r="G783" s="22">
        <v>1366.0200296174814</v>
      </c>
      <c r="H783" s="20">
        <f ca="1">NOW() - TIME(5,30,0) + (VLOOKUP(MasterTable[[#This Row],[TimeZone]], $O$3:$P$8, 2, FALSE) / 24)</f>
        <v>45990.531878125003</v>
      </c>
      <c r="I783" s="1" t="s">
        <v>1944</v>
      </c>
      <c r="J783" s="1">
        <v>227.76</v>
      </c>
    </row>
    <row r="784" spans="1:10" x14ac:dyDescent="0.25">
      <c r="A784" s="1" t="s">
        <v>4</v>
      </c>
      <c r="B784" s="1" t="s">
        <v>5</v>
      </c>
      <c r="C784" s="1" t="s">
        <v>271</v>
      </c>
      <c r="D784" s="1">
        <v>39.273299999999999</v>
      </c>
      <c r="E784" s="1">
        <v>-88.240200000000002</v>
      </c>
      <c r="F784" s="1" t="s">
        <v>1922</v>
      </c>
      <c r="G784" s="22">
        <v>1357.7517739109555</v>
      </c>
      <c r="H784" s="20">
        <f ca="1">NOW() - TIME(5,30,0) + (VLOOKUP(MasterTable[[#This Row],[TimeZone]], $O$3:$P$8, 2, FALSE) / 24)</f>
        <v>45990.531878125003</v>
      </c>
      <c r="I784" s="1" t="s">
        <v>1944</v>
      </c>
      <c r="J784" s="1">
        <v>347</v>
      </c>
    </row>
    <row r="785" spans="1:10" x14ac:dyDescent="0.25">
      <c r="A785" s="1" t="s">
        <v>4</v>
      </c>
      <c r="B785" s="1" t="s">
        <v>5</v>
      </c>
      <c r="C785" s="1" t="s">
        <v>522</v>
      </c>
      <c r="D785" s="1">
        <v>39.010100000000001</v>
      </c>
      <c r="E785" s="1">
        <v>-88.153800000000004</v>
      </c>
      <c r="F785" s="1" t="s">
        <v>1922</v>
      </c>
      <c r="G785" s="22">
        <v>1357.9795356381546</v>
      </c>
      <c r="H785" s="20">
        <f ca="1">NOW() - TIME(5,30,0) + (VLOOKUP(MasterTable[[#This Row],[TimeZone]], $O$3:$P$8, 2, FALSE) / 24)</f>
        <v>45990.531878125003</v>
      </c>
      <c r="I785" s="1" t="s">
        <v>1944</v>
      </c>
      <c r="J785" s="1">
        <v>373.58</v>
      </c>
    </row>
    <row r="786" spans="1:10" x14ac:dyDescent="0.25">
      <c r="A786" s="1" t="s">
        <v>4</v>
      </c>
      <c r="B786" s="1" t="s">
        <v>5</v>
      </c>
      <c r="C786" s="1" t="s">
        <v>121</v>
      </c>
      <c r="D786" s="1">
        <v>38.081600000000002</v>
      </c>
      <c r="E786" s="1">
        <v>-88.539100000000005</v>
      </c>
      <c r="F786" s="1" t="s">
        <v>1922</v>
      </c>
      <c r="G786" s="22">
        <v>1324.1607298139972</v>
      </c>
      <c r="H786" s="20">
        <f ca="1">NOW() - TIME(5,30,0) + (VLOOKUP(MasterTable[[#This Row],[TimeZone]], $O$3:$P$8, 2, FALSE) / 24)</f>
        <v>45990.531878125003</v>
      </c>
      <c r="I786" s="1" t="s">
        <v>1944</v>
      </c>
      <c r="J786" s="1">
        <v>519.30999999999995</v>
      </c>
    </row>
    <row r="787" spans="1:10" x14ac:dyDescent="0.25">
      <c r="A787" s="1" t="s">
        <v>4</v>
      </c>
      <c r="B787" s="1" t="s">
        <v>5</v>
      </c>
      <c r="C787" s="1" t="s">
        <v>1330</v>
      </c>
      <c r="D787" s="1">
        <v>40.158000000000001</v>
      </c>
      <c r="E787" s="1">
        <v>-90.615099999999998</v>
      </c>
      <c r="F787" s="1" t="s">
        <v>1922</v>
      </c>
      <c r="G787" s="22">
        <v>1254.4457892524897</v>
      </c>
      <c r="H787" s="20">
        <f ca="1">NOW() - TIME(5,30,0) + (VLOOKUP(MasterTable[[#This Row],[TimeZone]], $O$3:$P$8, 2, FALSE) / 24)</f>
        <v>45990.531878125003</v>
      </c>
      <c r="I787" s="1" t="s">
        <v>1944</v>
      </c>
      <c r="J787" s="1">
        <v>441.39</v>
      </c>
    </row>
    <row r="788" spans="1:10" x14ac:dyDescent="0.25">
      <c r="A788" s="1" t="s">
        <v>4</v>
      </c>
      <c r="B788" s="1" t="s">
        <v>5</v>
      </c>
      <c r="C788" s="1" t="s">
        <v>316</v>
      </c>
      <c r="D788" s="1">
        <v>39.961799999999997</v>
      </c>
      <c r="E788" s="1">
        <v>-90.750399999999999</v>
      </c>
      <c r="F788" s="1" t="s">
        <v>1922</v>
      </c>
      <c r="G788" s="22">
        <v>1243.2044582243834</v>
      </c>
      <c r="H788" s="20">
        <f ca="1">NOW() - TIME(5,30,0) + (VLOOKUP(MasterTable[[#This Row],[TimeZone]], $O$3:$P$8, 2, FALSE) / 24)</f>
        <v>45990.531878125003</v>
      </c>
      <c r="I788" s="1" t="s">
        <v>1944</v>
      </c>
      <c r="J788" s="1">
        <v>307.24</v>
      </c>
    </row>
    <row r="789" spans="1:10" x14ac:dyDescent="0.25">
      <c r="A789" s="1" t="s">
        <v>4</v>
      </c>
      <c r="B789" s="1" t="s">
        <v>5</v>
      </c>
      <c r="C789" s="1" t="s">
        <v>535</v>
      </c>
      <c r="D789" s="1">
        <v>40.817999999999998</v>
      </c>
      <c r="E789" s="1">
        <v>-90.9251</v>
      </c>
      <c r="F789" s="1" t="s">
        <v>1922</v>
      </c>
      <c r="G789" s="22">
        <v>1255.3231071182347</v>
      </c>
      <c r="H789" s="20">
        <f ca="1">NOW() - TIME(5,30,0) + (VLOOKUP(MasterTable[[#This Row],[TimeZone]], $O$3:$P$8, 2, FALSE) / 24)</f>
        <v>45990.531878125003</v>
      </c>
      <c r="I789" s="1" t="s">
        <v>1944</v>
      </c>
      <c r="J789" s="1">
        <v>395.12</v>
      </c>
    </row>
    <row r="790" spans="1:10" x14ac:dyDescent="0.25">
      <c r="A790" s="1" t="s">
        <v>4</v>
      </c>
      <c r="B790" s="1" t="s">
        <v>5</v>
      </c>
      <c r="C790" s="1" t="s">
        <v>1708</v>
      </c>
      <c r="D790" s="1">
        <v>38.416499999999999</v>
      </c>
      <c r="E790" s="1">
        <v>-88.053299999999993</v>
      </c>
      <c r="F790" s="1" t="s">
        <v>1922</v>
      </c>
      <c r="G790" s="22">
        <v>1354.5261306639743</v>
      </c>
      <c r="H790" s="20">
        <f ca="1">NOW() - TIME(5,30,0) + (VLOOKUP(MasterTable[[#This Row],[TimeZone]], $O$3:$P$8, 2, FALSE) / 24)</f>
        <v>45990.531878125003</v>
      </c>
      <c r="I790" s="1" t="s">
        <v>1944</v>
      </c>
      <c r="J790" s="1">
        <v>222.66</v>
      </c>
    </row>
    <row r="791" spans="1:10" x14ac:dyDescent="0.25">
      <c r="A791" s="1" t="s">
        <v>4</v>
      </c>
      <c r="B791" s="1" t="s">
        <v>5</v>
      </c>
      <c r="C791" s="1" t="s">
        <v>604</v>
      </c>
      <c r="D791" s="1">
        <v>41.204500000000003</v>
      </c>
      <c r="E791" s="1">
        <v>-89.285799999999995</v>
      </c>
      <c r="F791" s="1" t="s">
        <v>1922</v>
      </c>
      <c r="G791" s="22">
        <v>1344.6673925449409</v>
      </c>
      <c r="H791" s="20">
        <f ca="1">NOW() - TIME(5,30,0) + (VLOOKUP(MasterTable[[#This Row],[TimeZone]], $O$3:$P$8, 2, FALSE) / 24)</f>
        <v>45990.531878125003</v>
      </c>
      <c r="I791" s="1" t="s">
        <v>1944</v>
      </c>
      <c r="J791" s="1">
        <v>827.16</v>
      </c>
    </row>
    <row r="792" spans="1:10" x14ac:dyDescent="0.25">
      <c r="A792" s="1" t="s">
        <v>4</v>
      </c>
      <c r="B792" s="1" t="s">
        <v>5</v>
      </c>
      <c r="C792" s="1" t="s">
        <v>255</v>
      </c>
      <c r="D792" s="1">
        <v>41.093400000000003</v>
      </c>
      <c r="E792" s="1">
        <v>-89.797499999999999</v>
      </c>
      <c r="F792" s="1" t="s">
        <v>1922</v>
      </c>
      <c r="G792" s="22">
        <v>1317.0504971783114</v>
      </c>
      <c r="H792" s="20">
        <f ca="1">NOW() - TIME(5,30,0) + (VLOOKUP(MasterTable[[#This Row],[TimeZone]], $O$3:$P$8, 2, FALSE) / 24)</f>
        <v>45990.531878125003</v>
      </c>
      <c r="I792" s="1" t="s">
        <v>1944</v>
      </c>
      <c r="J792" s="1">
        <v>288.20999999999998</v>
      </c>
    </row>
    <row r="793" spans="1:10" x14ac:dyDescent="0.25">
      <c r="A793" s="1" t="s">
        <v>4</v>
      </c>
      <c r="B793" s="1" t="s">
        <v>5</v>
      </c>
      <c r="C793" s="1" t="s">
        <v>241</v>
      </c>
      <c r="D793" s="1">
        <v>37.223199999999999</v>
      </c>
      <c r="E793" s="1">
        <v>-89.126599999999996</v>
      </c>
      <c r="F793" s="1" t="s">
        <v>1922</v>
      </c>
      <c r="G793" s="22">
        <v>1282.1220201491915</v>
      </c>
      <c r="H793" s="20">
        <f ca="1">NOW() - TIME(5,30,0) + (VLOOKUP(MasterTable[[#This Row],[TimeZone]], $O$3:$P$8, 2, FALSE) / 24)</f>
        <v>45990.531878125003</v>
      </c>
      <c r="I793" s="1" t="s">
        <v>1944</v>
      </c>
      <c r="J793" s="1">
        <v>807.84</v>
      </c>
    </row>
    <row r="794" spans="1:10" x14ac:dyDescent="0.25">
      <c r="A794" s="1" t="s">
        <v>4</v>
      </c>
      <c r="B794" s="1" t="s">
        <v>5</v>
      </c>
      <c r="C794" s="1" t="s">
        <v>1004</v>
      </c>
      <c r="D794" s="1">
        <v>37.191499999999998</v>
      </c>
      <c r="E794" s="1">
        <v>-89.337500000000006</v>
      </c>
      <c r="F794" s="1" t="s">
        <v>1922</v>
      </c>
      <c r="G794" s="22">
        <v>1270.3146566967393</v>
      </c>
      <c r="H794" s="20">
        <f ca="1">NOW() - TIME(5,30,0) + (VLOOKUP(MasterTable[[#This Row],[TimeZone]], $O$3:$P$8, 2, FALSE) / 24)</f>
        <v>45990.531878125003</v>
      </c>
      <c r="I794" s="1" t="s">
        <v>1944</v>
      </c>
      <c r="J794" s="1">
        <v>252.54</v>
      </c>
    </row>
    <row r="795" spans="1:10" x14ac:dyDescent="0.25">
      <c r="A795" s="1" t="s">
        <v>4</v>
      </c>
      <c r="B795" s="1" t="s">
        <v>5</v>
      </c>
      <c r="C795" s="1" t="s">
        <v>523</v>
      </c>
      <c r="D795" s="1">
        <v>37.762799999999999</v>
      </c>
      <c r="E795" s="1">
        <v>-88.230500000000006</v>
      </c>
      <c r="F795" s="1" t="s">
        <v>1922</v>
      </c>
      <c r="G795" s="22">
        <v>1336.7221135567327</v>
      </c>
      <c r="H795" s="20">
        <f ca="1">NOW() - TIME(5,30,0) + (VLOOKUP(MasterTable[[#This Row],[TimeZone]], $O$3:$P$8, 2, FALSE) / 24)</f>
        <v>45990.531878125003</v>
      </c>
      <c r="I795" s="1" t="s">
        <v>1944</v>
      </c>
      <c r="J795" s="1">
        <v>328.41</v>
      </c>
    </row>
    <row r="796" spans="1:10" x14ac:dyDescent="0.25">
      <c r="A796" s="1" t="s">
        <v>4</v>
      </c>
      <c r="B796" s="1" t="s">
        <v>5</v>
      </c>
      <c r="C796" s="1" t="s">
        <v>419</v>
      </c>
      <c r="D796" s="1">
        <v>39.644100000000002</v>
      </c>
      <c r="E796" s="1">
        <v>-90.474699999999999</v>
      </c>
      <c r="F796" s="1" t="s">
        <v>1922</v>
      </c>
      <c r="G796" s="22">
        <v>1250.1191365239606</v>
      </c>
      <c r="H796" s="20">
        <f ca="1">NOW() - TIME(5,30,0) + (VLOOKUP(MasterTable[[#This Row],[TimeZone]], $O$3:$P$8, 2, FALSE) / 24)</f>
        <v>45990.531878125003</v>
      </c>
      <c r="I796" s="1" t="s">
        <v>1944</v>
      </c>
      <c r="J796" s="1">
        <v>898.09</v>
      </c>
    </row>
    <row r="797" spans="1:10" x14ac:dyDescent="0.25">
      <c r="A797" s="1" t="s">
        <v>4</v>
      </c>
      <c r="B797" s="1" t="s">
        <v>5</v>
      </c>
      <c r="C797" s="1" t="s">
        <v>498</v>
      </c>
      <c r="D797" s="1">
        <v>39.1693</v>
      </c>
      <c r="E797" s="1">
        <v>-90.667599999999993</v>
      </c>
      <c r="F797" s="1" t="s">
        <v>1922</v>
      </c>
      <c r="G797" s="22">
        <v>1230.54171380925</v>
      </c>
      <c r="H797" s="20">
        <f ca="1">NOW() - TIME(5,30,0) + (VLOOKUP(MasterTable[[#This Row],[TimeZone]], $O$3:$P$8, 2, FALSE) / 24)</f>
        <v>45990.531878125003</v>
      </c>
      <c r="I797" s="1" t="s">
        <v>1944</v>
      </c>
      <c r="J797" s="1">
        <v>612.32000000000005</v>
      </c>
    </row>
    <row r="798" spans="1:10" x14ac:dyDescent="0.25">
      <c r="A798" s="1" t="s">
        <v>4</v>
      </c>
      <c r="B798" s="1" t="s">
        <v>5</v>
      </c>
      <c r="C798" s="1" t="s">
        <v>758</v>
      </c>
      <c r="D798" s="1">
        <v>37.412700000000001</v>
      </c>
      <c r="E798" s="1">
        <v>-88.561499999999995</v>
      </c>
      <c r="F798" s="1" t="s">
        <v>1922</v>
      </c>
      <c r="G798" s="22">
        <v>1314.8619912208669</v>
      </c>
      <c r="H798" s="20">
        <f ca="1">NOW() - TIME(5,30,0) + (VLOOKUP(MasterTable[[#This Row],[TimeZone]], $O$3:$P$8, 2, FALSE) / 24)</f>
        <v>45990.531878125003</v>
      </c>
      <c r="I798" s="1" t="s">
        <v>1944</v>
      </c>
      <c r="J798" s="1">
        <v>830.79</v>
      </c>
    </row>
    <row r="799" spans="1:10" x14ac:dyDescent="0.25">
      <c r="A799" s="1" t="s">
        <v>4</v>
      </c>
      <c r="B799" s="1" t="s">
        <v>5</v>
      </c>
      <c r="C799" s="1" t="s">
        <v>551</v>
      </c>
      <c r="D799" s="1">
        <v>37.5182</v>
      </c>
      <c r="E799" s="1">
        <v>-88.266800000000003</v>
      </c>
      <c r="F799" s="1" t="s">
        <v>1922</v>
      </c>
      <c r="G799" s="22">
        <v>1331.9781932864653</v>
      </c>
      <c r="H799" s="20">
        <f ca="1">NOW() - TIME(5,30,0) + (VLOOKUP(MasterTable[[#This Row],[TimeZone]], $O$3:$P$8, 2, FALSE) / 24)</f>
        <v>45990.531878125003</v>
      </c>
      <c r="I799" s="1" t="s">
        <v>1944</v>
      </c>
      <c r="J799" s="1">
        <v>181.53</v>
      </c>
    </row>
    <row r="800" spans="1:10" x14ac:dyDescent="0.25">
      <c r="A800" s="1" t="s">
        <v>89</v>
      </c>
      <c r="B800" s="1" t="s">
        <v>90</v>
      </c>
      <c r="C800" s="1" t="s">
        <v>88</v>
      </c>
      <c r="D800" s="1">
        <v>39.781700000000001</v>
      </c>
      <c r="E800" s="1">
        <v>-86.138499999999993</v>
      </c>
      <c r="F800" s="1" t="s">
        <v>1925</v>
      </c>
      <c r="G800" s="22">
        <v>1474.8652920781556</v>
      </c>
      <c r="H800" s="20">
        <f ca="1">NOW() - TIME(5,30,0) + (VLOOKUP(MasterTable[[#This Row],[TimeZone]], $O$3:$P$8, 2, FALSE) / 24)</f>
        <v>45990.573544791667</v>
      </c>
      <c r="I800" s="1" t="s">
        <v>1944</v>
      </c>
      <c r="J800" s="1">
        <v>743.57</v>
      </c>
    </row>
    <row r="801" spans="1:13" x14ac:dyDescent="0.25">
      <c r="A801" s="1" t="s">
        <v>89</v>
      </c>
      <c r="B801" s="1" t="s">
        <v>90</v>
      </c>
      <c r="C801" s="1" t="s">
        <v>142</v>
      </c>
      <c r="D801" s="1">
        <v>41.416699999999999</v>
      </c>
      <c r="E801" s="1">
        <v>-87.382099999999994</v>
      </c>
      <c r="F801" s="1" t="s">
        <v>1922</v>
      </c>
      <c r="G801" s="22">
        <v>1442.6914658326932</v>
      </c>
      <c r="H801" s="20">
        <f ca="1">NOW() - TIME(5,30,0) + (VLOOKUP(MasterTable[[#This Row],[TimeZone]], $O$3:$P$8, 2, FALSE) / 24)</f>
        <v>45990.531878125003</v>
      </c>
      <c r="I801" s="1" t="s">
        <v>1944</v>
      </c>
      <c r="J801" s="1">
        <v>1329.48</v>
      </c>
      <c r="L801" s="12"/>
      <c r="M801" s="12"/>
    </row>
    <row r="802" spans="1:13" x14ac:dyDescent="0.25">
      <c r="A802" s="1" t="s">
        <v>89</v>
      </c>
      <c r="B802" s="1" t="s">
        <v>90</v>
      </c>
      <c r="C802" s="1" t="s">
        <v>246</v>
      </c>
      <c r="D802" s="1">
        <v>41.090899999999998</v>
      </c>
      <c r="E802" s="1">
        <v>-85.066500000000005</v>
      </c>
      <c r="F802" s="1" t="s">
        <v>1925</v>
      </c>
      <c r="G802" s="22">
        <v>1551.4227228798593</v>
      </c>
      <c r="H802" s="20">
        <f ca="1">NOW() - TIME(5,30,0) + (VLOOKUP(MasterTable[[#This Row],[TimeZone]], $O$3:$P$8, 2, FALSE) / 24)</f>
        <v>45990.573544791667</v>
      </c>
      <c r="I802" s="1" t="s">
        <v>1944</v>
      </c>
      <c r="J802" s="1">
        <v>660.1</v>
      </c>
      <c r="L802" s="13"/>
      <c r="M802" s="13"/>
    </row>
    <row r="803" spans="1:13" x14ac:dyDescent="0.25">
      <c r="A803" s="1" t="s">
        <v>89</v>
      </c>
      <c r="B803" s="1" t="s">
        <v>90</v>
      </c>
      <c r="C803" s="1" t="s">
        <v>121</v>
      </c>
      <c r="D803" s="1">
        <v>40.072499999999998</v>
      </c>
      <c r="E803" s="1">
        <v>-86.052000000000007</v>
      </c>
      <c r="F803" s="1" t="s">
        <v>1925</v>
      </c>
      <c r="G803" s="22">
        <v>1483.9432152254981</v>
      </c>
      <c r="H803" s="20">
        <f ca="1">NOW() - TIME(5,30,0) + (VLOOKUP(MasterTable[[#This Row],[TimeZone]], $O$3:$P$8, 2, FALSE) / 24)</f>
        <v>45990.573544791667</v>
      </c>
      <c r="I803" s="1" t="s">
        <v>1944</v>
      </c>
      <c r="J803" s="1">
        <v>519.30999999999995</v>
      </c>
      <c r="L803" s="13"/>
      <c r="M803" s="13"/>
    </row>
    <row r="804" spans="1:13" x14ac:dyDescent="0.25">
      <c r="A804" s="1" t="s">
        <v>89</v>
      </c>
      <c r="B804" s="1" t="s">
        <v>90</v>
      </c>
      <c r="C804" s="1" t="s">
        <v>314</v>
      </c>
      <c r="D804" s="1">
        <v>41.616700000000002</v>
      </c>
      <c r="E804" s="1">
        <v>-86.289900000000003</v>
      </c>
      <c r="F804" s="1" t="s">
        <v>1925</v>
      </c>
      <c r="G804" s="22">
        <v>1500.6978949892125</v>
      </c>
      <c r="H804" s="20">
        <f ca="1">NOW() - TIME(5,30,0) + (VLOOKUP(MasterTable[[#This Row],[TimeZone]], $O$3:$P$8, 2, FALSE) / 24)</f>
        <v>45990.573544791667</v>
      </c>
      <c r="I804" s="1" t="s">
        <v>1944</v>
      </c>
      <c r="J804" s="1">
        <v>460.97</v>
      </c>
      <c r="L804" s="13"/>
      <c r="M804" s="13"/>
    </row>
    <row r="805" spans="1:13" x14ac:dyDescent="0.25">
      <c r="A805" s="1" t="s">
        <v>89</v>
      </c>
      <c r="B805" s="1" t="s">
        <v>90</v>
      </c>
      <c r="C805" s="1" t="s">
        <v>370</v>
      </c>
      <c r="D805" s="1">
        <v>41.5974</v>
      </c>
      <c r="E805" s="1">
        <v>-85.858699999999999</v>
      </c>
      <c r="F805" s="1" t="s">
        <v>1925</v>
      </c>
      <c r="G805" s="22">
        <v>1521.5651545136416</v>
      </c>
      <c r="H805" s="20">
        <f ca="1">NOW() - TIME(5,30,0) + (VLOOKUP(MasterTable[[#This Row],[TimeZone]], $O$3:$P$8, 2, FALSE) / 24)</f>
        <v>45990.573544791667</v>
      </c>
      <c r="I805" s="1" t="s">
        <v>1944</v>
      </c>
      <c r="J805" s="1">
        <v>467.85</v>
      </c>
      <c r="L805" s="13"/>
      <c r="M805" s="13"/>
    </row>
    <row r="806" spans="1:13" x14ac:dyDescent="0.25">
      <c r="A806" s="1" t="s">
        <v>89</v>
      </c>
      <c r="B806" s="1" t="s">
        <v>90</v>
      </c>
      <c r="C806" s="1" t="s">
        <v>397</v>
      </c>
      <c r="D806" s="1">
        <v>40.388599999999997</v>
      </c>
      <c r="E806" s="1">
        <v>-86.894099999999995</v>
      </c>
      <c r="F806" s="1" t="s">
        <v>1925</v>
      </c>
      <c r="G806" s="22">
        <v>1446.3850929813823</v>
      </c>
      <c r="H806" s="20">
        <f ca="1">NOW() - TIME(5,30,0) + (VLOOKUP(MasterTable[[#This Row],[TimeZone]], $O$3:$P$8, 2, FALSE) / 24)</f>
        <v>45990.573544791667</v>
      </c>
      <c r="I806" s="1" t="s">
        <v>1944</v>
      </c>
      <c r="J806" s="1">
        <v>503.07</v>
      </c>
      <c r="L806" s="13"/>
      <c r="M806" s="13"/>
    </row>
    <row r="807" spans="1:13" x14ac:dyDescent="0.25">
      <c r="A807" s="1" t="s">
        <v>89</v>
      </c>
      <c r="B807" s="1" t="s">
        <v>90</v>
      </c>
      <c r="C807" s="1" t="s">
        <v>405</v>
      </c>
      <c r="D807" s="1">
        <v>38.024900000000002</v>
      </c>
      <c r="E807" s="1">
        <v>-87.585899999999995</v>
      </c>
      <c r="F807" s="1" t="s">
        <v>1922</v>
      </c>
      <c r="G807" s="22">
        <v>1374.4518877441053</v>
      </c>
      <c r="H807" s="20">
        <f ca="1">NOW() - TIME(5,30,0) + (VLOOKUP(MasterTable[[#This Row],[TimeZone]], $O$3:$P$8, 2, FALSE) / 24)</f>
        <v>45990.531878125003</v>
      </c>
      <c r="I807" s="1" t="s">
        <v>1944</v>
      </c>
      <c r="J807" s="1">
        <v>235.74</v>
      </c>
      <c r="L807" s="13"/>
      <c r="M807" s="13"/>
    </row>
    <row r="808" spans="1:13" x14ac:dyDescent="0.25">
      <c r="A808" s="1" t="s">
        <v>89</v>
      </c>
      <c r="B808" s="1" t="s">
        <v>90</v>
      </c>
      <c r="C808" s="1" t="s">
        <v>407</v>
      </c>
      <c r="D808" s="1">
        <v>39.769500000000001</v>
      </c>
      <c r="E808" s="1">
        <v>-86.51</v>
      </c>
      <c r="F808" s="1" t="s">
        <v>1925</v>
      </c>
      <c r="G808" s="22">
        <v>1455.4626468590163</v>
      </c>
      <c r="H808" s="20">
        <f ca="1">NOW() - TIME(5,30,0) + (VLOOKUP(MasterTable[[#This Row],[TimeZone]], $O$3:$P$8, 2, FALSE) / 24)</f>
        <v>45990.573544791667</v>
      </c>
      <c r="I808" s="1" t="s">
        <v>1944</v>
      </c>
      <c r="J808" s="1">
        <v>408.88</v>
      </c>
      <c r="L808" s="13"/>
      <c r="M808" s="13"/>
    </row>
    <row r="809" spans="1:13" x14ac:dyDescent="0.25">
      <c r="A809" s="1" t="s">
        <v>89</v>
      </c>
      <c r="B809" s="1" t="s">
        <v>90</v>
      </c>
      <c r="C809" s="1" t="s">
        <v>422</v>
      </c>
      <c r="D809" s="1">
        <v>41.460299999999997</v>
      </c>
      <c r="E809" s="1">
        <v>-87.0672</v>
      </c>
      <c r="F809" s="1" t="s">
        <v>1922</v>
      </c>
      <c r="G809" s="22">
        <v>1459.1214230295263</v>
      </c>
      <c r="H809" s="20">
        <f ca="1">NOW() - TIME(5,30,0) + (VLOOKUP(MasterTable[[#This Row],[TimeZone]], $O$3:$P$8, 2, FALSE) / 24)</f>
        <v>45990.531878125003</v>
      </c>
      <c r="I809" s="1" t="s">
        <v>1944</v>
      </c>
      <c r="J809" s="1">
        <v>521.61</v>
      </c>
      <c r="L809" s="13"/>
      <c r="M809" s="13"/>
    </row>
    <row r="810" spans="1:13" x14ac:dyDescent="0.25">
      <c r="A810" s="1" t="s">
        <v>89</v>
      </c>
      <c r="B810" s="1" t="s">
        <v>90</v>
      </c>
      <c r="C810" s="1" t="s">
        <v>165</v>
      </c>
      <c r="D810" s="1">
        <v>39.49</v>
      </c>
      <c r="E810" s="1">
        <v>-86.101600000000005</v>
      </c>
      <c r="F810" s="1" t="s">
        <v>1925</v>
      </c>
      <c r="G810" s="22">
        <v>1472.3897582603613</v>
      </c>
      <c r="H810" s="20">
        <f ca="1">NOW() - TIME(5,30,0) + (VLOOKUP(MasterTable[[#This Row],[TimeZone]], $O$3:$P$8, 2, FALSE) / 24)</f>
        <v>45990.573544791667</v>
      </c>
      <c r="I810" s="1" t="s">
        <v>1944</v>
      </c>
      <c r="J810" s="1">
        <v>682.74</v>
      </c>
      <c r="L810" s="13"/>
      <c r="M810" s="13"/>
    </row>
    <row r="811" spans="1:13" x14ac:dyDescent="0.25">
      <c r="A811" s="1" t="s">
        <v>89</v>
      </c>
      <c r="B811" s="1" t="s">
        <v>90</v>
      </c>
      <c r="C811" s="1" t="s">
        <v>135</v>
      </c>
      <c r="D811" s="1">
        <v>39.160899999999998</v>
      </c>
      <c r="E811" s="1">
        <v>-86.523099999999999</v>
      </c>
      <c r="F811" s="1" t="s">
        <v>1925</v>
      </c>
      <c r="G811" s="22">
        <v>1445.6223164390171</v>
      </c>
      <c r="H811" s="20">
        <f ca="1">NOW() - TIME(5,30,0) + (VLOOKUP(MasterTable[[#This Row],[TimeZone]], $O$3:$P$8, 2, FALSE) / 24)</f>
        <v>45990.573544791667</v>
      </c>
      <c r="I811" s="1" t="s">
        <v>1944</v>
      </c>
      <c r="J811" s="1">
        <v>1034.53</v>
      </c>
      <c r="L811" s="13"/>
      <c r="M811" s="13"/>
    </row>
    <row r="812" spans="1:13" x14ac:dyDescent="0.25">
      <c r="A812" s="1" t="s">
        <v>89</v>
      </c>
      <c r="B812" s="1" t="s">
        <v>90</v>
      </c>
      <c r="C812" s="1" t="s">
        <v>244</v>
      </c>
      <c r="D812" s="1">
        <v>40.1616</v>
      </c>
      <c r="E812" s="1">
        <v>-85.719399999999993</v>
      </c>
      <c r="F812" s="1" t="s">
        <v>1925</v>
      </c>
      <c r="G812" s="22">
        <v>1502.470543676528</v>
      </c>
      <c r="H812" s="20">
        <f ca="1">NOW() - TIME(5,30,0) + (VLOOKUP(MasterTable[[#This Row],[TimeZone]], $O$3:$P$8, 2, FALSE) / 24)</f>
        <v>45990.573544791667</v>
      </c>
      <c r="I812" s="1" t="s">
        <v>1944</v>
      </c>
      <c r="J812" s="1">
        <v>812.85</v>
      </c>
      <c r="L812" s="13"/>
      <c r="M812" s="13"/>
    </row>
    <row r="813" spans="1:13" x14ac:dyDescent="0.25">
      <c r="A813" s="1" t="s">
        <v>89</v>
      </c>
      <c r="B813" s="1" t="s">
        <v>90</v>
      </c>
      <c r="C813" s="1" t="s">
        <v>23</v>
      </c>
      <c r="D813" s="1">
        <v>38.477200000000003</v>
      </c>
      <c r="E813" s="1">
        <v>-85.707300000000004</v>
      </c>
      <c r="F813" s="1" t="s">
        <v>1925</v>
      </c>
      <c r="G813" s="22">
        <v>1480.1684210471615</v>
      </c>
      <c r="H813" s="20">
        <f ca="1">NOW() - TIME(5,30,0) + (VLOOKUP(MasterTable[[#This Row],[TimeZone]], $O$3:$P$8, 2, FALSE) / 24)</f>
        <v>45990.573544791667</v>
      </c>
      <c r="I813" s="1" t="s">
        <v>1944</v>
      </c>
      <c r="J813" s="1">
        <v>882.6</v>
      </c>
      <c r="L813" s="13"/>
      <c r="M813" s="13"/>
    </row>
    <row r="814" spans="1:13" x14ac:dyDescent="0.25">
      <c r="A814" s="1" t="s">
        <v>89</v>
      </c>
      <c r="B814" s="1" t="s">
        <v>90</v>
      </c>
      <c r="C814" s="1" t="s">
        <v>546</v>
      </c>
      <c r="D814" s="1">
        <v>41.545999999999999</v>
      </c>
      <c r="E814" s="1">
        <v>-86.74</v>
      </c>
      <c r="F814" s="1" t="s">
        <v>1922</v>
      </c>
      <c r="G814" s="22">
        <v>1477.055522936914</v>
      </c>
      <c r="H814" s="20">
        <f ca="1">NOW() - TIME(5,30,0) + (VLOOKUP(MasterTable[[#This Row],[TimeZone]], $O$3:$P$8, 2, FALSE) / 24)</f>
        <v>45990.531878125003</v>
      </c>
      <c r="I814" s="1" t="s">
        <v>1944</v>
      </c>
      <c r="J814" s="1">
        <v>613.04</v>
      </c>
      <c r="L814" s="13"/>
      <c r="M814" s="13"/>
    </row>
    <row r="815" spans="1:13" x14ac:dyDescent="0.25">
      <c r="A815" s="1" t="s">
        <v>89</v>
      </c>
      <c r="B815" s="1" t="s">
        <v>90</v>
      </c>
      <c r="C815" s="1" t="s">
        <v>174</v>
      </c>
      <c r="D815" s="1">
        <v>40.227499999999999</v>
      </c>
      <c r="E815" s="1">
        <v>-85.396900000000002</v>
      </c>
      <c r="F815" s="1" t="s">
        <v>1925</v>
      </c>
      <c r="G815" s="22">
        <v>1520.0838027658067</v>
      </c>
      <c r="H815" s="20">
        <f ca="1">NOW() - TIME(5,30,0) + (VLOOKUP(MasterTable[[#This Row],[TimeZone]], $O$3:$P$8, 2, FALSE) / 24)</f>
        <v>45990.573544791667</v>
      </c>
      <c r="I815" s="1" t="s">
        <v>1944</v>
      </c>
      <c r="J815" s="1">
        <v>395.92</v>
      </c>
      <c r="L815" s="13"/>
      <c r="M815" s="13"/>
    </row>
    <row r="816" spans="1:13" x14ac:dyDescent="0.25">
      <c r="A816" s="1" t="s">
        <v>89</v>
      </c>
      <c r="B816" s="1" t="s">
        <v>90</v>
      </c>
      <c r="C816" s="1" t="s">
        <v>569</v>
      </c>
      <c r="D816" s="1">
        <v>39.430599999999998</v>
      </c>
      <c r="E816" s="1">
        <v>-87.39</v>
      </c>
      <c r="F816" s="1" t="s">
        <v>1925</v>
      </c>
      <c r="G816" s="22">
        <v>1404.4601131773413</v>
      </c>
      <c r="H816" s="20">
        <f ca="1">NOW() - TIME(5,30,0) + (VLOOKUP(MasterTable[[#This Row],[TimeZone]], $O$3:$P$8, 2, FALSE) / 24)</f>
        <v>45990.573544791667</v>
      </c>
      <c r="I816" s="1" t="s">
        <v>1944</v>
      </c>
      <c r="J816" s="1">
        <v>410.47</v>
      </c>
      <c r="L816" s="13"/>
      <c r="M816" s="13"/>
    </row>
    <row r="817" spans="1:13" x14ac:dyDescent="0.25">
      <c r="A817" s="1" t="s">
        <v>89</v>
      </c>
      <c r="B817" s="1" t="s">
        <v>90</v>
      </c>
      <c r="C817" s="1" t="s">
        <v>273</v>
      </c>
      <c r="D817" s="1">
        <v>40.483600000000003</v>
      </c>
      <c r="E817" s="1">
        <v>-86.116900000000001</v>
      </c>
      <c r="F817" s="1" t="s">
        <v>1925</v>
      </c>
      <c r="G817" s="22">
        <v>1487.5648922756632</v>
      </c>
      <c r="H817" s="20">
        <f ca="1">NOW() - TIME(5,30,0) + (VLOOKUP(MasterTable[[#This Row],[TimeZone]], $O$3:$P$8, 2, FALSE) / 24)</f>
        <v>45990.573544791667</v>
      </c>
      <c r="I817" s="1" t="s">
        <v>1944</v>
      </c>
      <c r="J817" s="1">
        <v>595.20000000000005</v>
      </c>
      <c r="L817" s="13"/>
      <c r="M817" s="13"/>
    </row>
    <row r="818" spans="1:13" x14ac:dyDescent="0.25">
      <c r="A818" s="1" t="s">
        <v>89</v>
      </c>
      <c r="B818" s="1" t="s">
        <v>90</v>
      </c>
      <c r="C818" s="1" t="s">
        <v>657</v>
      </c>
      <c r="D818" s="1">
        <v>39.206000000000003</v>
      </c>
      <c r="E818" s="1">
        <v>-85.897599999999997</v>
      </c>
      <c r="F818" s="1" t="s">
        <v>1925</v>
      </c>
      <c r="G818" s="22">
        <v>1479.0695923796598</v>
      </c>
      <c r="H818" s="20">
        <f ca="1">NOW() - TIME(5,30,0) + (VLOOKUP(MasterTable[[#This Row],[TimeZone]], $O$3:$P$8, 2, FALSE) / 24)</f>
        <v>45990.573544791667</v>
      </c>
      <c r="I818" s="1" t="s">
        <v>1944</v>
      </c>
      <c r="J818" s="1">
        <v>409.36</v>
      </c>
      <c r="L818" s="13"/>
      <c r="M818" s="13"/>
    </row>
    <row r="819" spans="1:13" x14ac:dyDescent="0.25">
      <c r="A819" s="1" t="s">
        <v>89</v>
      </c>
      <c r="B819" s="1" t="s">
        <v>90</v>
      </c>
      <c r="C819" s="1" t="s">
        <v>663</v>
      </c>
      <c r="D819" s="1">
        <v>39.823599999999999</v>
      </c>
      <c r="E819" s="1">
        <v>-85.773300000000006</v>
      </c>
      <c r="F819" s="1" t="s">
        <v>1925</v>
      </c>
      <c r="G819" s="22">
        <v>1494.4107325423051</v>
      </c>
      <c r="H819" s="20">
        <f ca="1">NOW() - TIME(5,30,0) + (VLOOKUP(MasterTable[[#This Row],[TimeZone]], $O$3:$P$8, 2, FALSE) / 24)</f>
        <v>45990.573544791667</v>
      </c>
      <c r="I819" s="1" t="s">
        <v>1944</v>
      </c>
      <c r="J819" s="1">
        <v>478.76</v>
      </c>
      <c r="L819" s="13"/>
      <c r="M819" s="13"/>
    </row>
    <row r="820" spans="1:13" x14ac:dyDescent="0.25">
      <c r="A820" s="1" t="s">
        <v>89</v>
      </c>
      <c r="B820" s="1" t="s">
        <v>90</v>
      </c>
      <c r="C820" s="1" t="s">
        <v>595</v>
      </c>
      <c r="D820" s="1">
        <v>38.3187</v>
      </c>
      <c r="E820" s="1">
        <v>-85.906999999999996</v>
      </c>
      <c r="F820" s="1" t="s">
        <v>1925</v>
      </c>
      <c r="G820" s="22">
        <v>1467.7489945804693</v>
      </c>
      <c r="H820" s="20">
        <f ca="1">NOW() - TIME(5,30,0) + (VLOOKUP(MasterTable[[#This Row],[TimeZone]], $O$3:$P$8, 2, FALSE) / 24)</f>
        <v>45990.573544791667</v>
      </c>
      <c r="I820" s="1" t="s">
        <v>1944</v>
      </c>
      <c r="J820" s="1">
        <v>518.46</v>
      </c>
      <c r="L820" s="13"/>
      <c r="M820" s="13"/>
    </row>
    <row r="821" spans="1:13" x14ac:dyDescent="0.25">
      <c r="A821" s="1" t="s">
        <v>89</v>
      </c>
      <c r="B821" s="1" t="s">
        <v>90</v>
      </c>
      <c r="C821" s="1" t="s">
        <v>668</v>
      </c>
      <c r="D821" s="1">
        <v>41.244100000000003</v>
      </c>
      <c r="E821" s="1">
        <v>-85.860699999999994</v>
      </c>
      <c r="F821" s="1" t="s">
        <v>1925</v>
      </c>
      <c r="G821" s="22">
        <v>1514.4738991002532</v>
      </c>
      <c r="H821" s="20">
        <f ca="1">NOW() - TIME(5,30,0) + (VLOOKUP(MasterTable[[#This Row],[TimeZone]], $O$3:$P$8, 2, FALSE) / 24)</f>
        <v>45990.573544791667</v>
      </c>
      <c r="I821" s="1" t="s">
        <v>1944</v>
      </c>
      <c r="J821" s="1">
        <v>554.34</v>
      </c>
      <c r="L821" s="13"/>
      <c r="M821" s="13"/>
    </row>
    <row r="822" spans="1:13" x14ac:dyDescent="0.25">
      <c r="A822" s="1" t="s">
        <v>89</v>
      </c>
      <c r="B822" s="1" t="s">
        <v>90</v>
      </c>
      <c r="C822" s="1" t="s">
        <v>398</v>
      </c>
      <c r="D822" s="1">
        <v>40.050800000000002</v>
      </c>
      <c r="E822" s="1">
        <v>-86.468699999999998</v>
      </c>
      <c r="F822" s="1" t="s">
        <v>1925</v>
      </c>
      <c r="G822" s="22">
        <v>1462.1850185771489</v>
      </c>
      <c r="H822" s="20">
        <f ca="1">NOW() - TIME(5,30,0) + (VLOOKUP(MasterTable[[#This Row],[TimeZone]], $O$3:$P$8, 2, FALSE) / 24)</f>
        <v>45990.573544791667</v>
      </c>
      <c r="I822" s="1" t="s">
        <v>1944</v>
      </c>
      <c r="J822" s="1">
        <v>601.82000000000005</v>
      </c>
      <c r="L822" s="13"/>
      <c r="M822" s="13"/>
    </row>
    <row r="823" spans="1:13" x14ac:dyDescent="0.25">
      <c r="A823" s="1" t="s">
        <v>89</v>
      </c>
      <c r="B823" s="1" t="s">
        <v>90</v>
      </c>
      <c r="C823" s="1" t="s">
        <v>521</v>
      </c>
      <c r="D823" s="1">
        <v>39.4816</v>
      </c>
      <c r="E823" s="1">
        <v>-86.446200000000005</v>
      </c>
      <c r="F823" s="1" t="s">
        <v>1925</v>
      </c>
      <c r="G823" s="22">
        <v>1454.3153365145745</v>
      </c>
      <c r="H823" s="20">
        <f ca="1">NOW() - TIME(5,30,0) + (VLOOKUP(MasterTable[[#This Row],[TimeZone]], $O$3:$P$8, 2, FALSE) / 24)</f>
        <v>45990.573544791667</v>
      </c>
      <c r="I823" s="1" t="s">
        <v>1944</v>
      </c>
      <c r="J823" s="1">
        <v>599.05999999999995</v>
      </c>
      <c r="L823" s="13"/>
      <c r="M823" s="13"/>
    </row>
    <row r="824" spans="1:13" x14ac:dyDescent="0.25">
      <c r="A824" s="1" t="s">
        <v>89</v>
      </c>
      <c r="B824" s="1" t="s">
        <v>90</v>
      </c>
      <c r="C824" s="1" t="s">
        <v>590</v>
      </c>
      <c r="D824" s="1">
        <v>40.515799999999999</v>
      </c>
      <c r="E824" s="1">
        <v>-85.654700000000005</v>
      </c>
      <c r="F824" s="1" t="s">
        <v>1925</v>
      </c>
      <c r="G824" s="22">
        <v>1511.6362403492301</v>
      </c>
      <c r="H824" s="20">
        <f ca="1">NOW() - TIME(5,30,0) + (VLOOKUP(MasterTable[[#This Row],[TimeZone]], $O$3:$P$8, 2, FALSE) / 24)</f>
        <v>45990.573544791667</v>
      </c>
      <c r="I824" s="1" t="s">
        <v>1944</v>
      </c>
      <c r="J824" s="1">
        <v>633.01</v>
      </c>
      <c r="L824" s="13"/>
      <c r="M824" s="13"/>
    </row>
    <row r="825" spans="1:13" x14ac:dyDescent="0.25">
      <c r="A825" s="1" t="s">
        <v>89</v>
      </c>
      <c r="B825" s="1" t="s">
        <v>90</v>
      </c>
      <c r="C825" s="1" t="s">
        <v>34</v>
      </c>
      <c r="D825" s="1">
        <v>39.864400000000003</v>
      </c>
      <c r="E825" s="1">
        <v>-85.009900000000002</v>
      </c>
      <c r="F825" s="1" t="s">
        <v>1925</v>
      </c>
      <c r="G825" s="22">
        <v>1534.5787261792182</v>
      </c>
      <c r="H825" s="20">
        <f ca="1">NOW() - TIME(5,30,0) + (VLOOKUP(MasterTable[[#This Row],[TimeZone]], $O$3:$P$8, 2, FALSE) / 24)</f>
        <v>45990.573544791667</v>
      </c>
      <c r="I825" s="1" t="s">
        <v>1944</v>
      </c>
      <c r="J825" s="1">
        <v>648.79999999999995</v>
      </c>
      <c r="L825" s="13"/>
      <c r="M825" s="13"/>
    </row>
    <row r="826" spans="1:13" x14ac:dyDescent="0.25">
      <c r="A826" s="1" t="s">
        <v>89</v>
      </c>
      <c r="B826" s="1" t="s">
        <v>90</v>
      </c>
      <c r="C826" s="1" t="s">
        <v>752</v>
      </c>
      <c r="D826" s="1">
        <v>38.092199999999998</v>
      </c>
      <c r="E826" s="1">
        <v>-87.272099999999995</v>
      </c>
      <c r="F826" s="1" t="s">
        <v>1922</v>
      </c>
      <c r="G826" s="22">
        <v>1392.0678253832323</v>
      </c>
      <c r="H826" s="20">
        <f ca="1">NOW() - TIME(5,30,0) + (VLOOKUP(MasterTable[[#This Row],[TimeZone]], $O$3:$P$8, 2, FALSE) / 24)</f>
        <v>45990.531878125003</v>
      </c>
      <c r="I826" s="1" t="s">
        <v>1944</v>
      </c>
      <c r="J826" s="1">
        <v>390.86</v>
      </c>
      <c r="L826" s="13"/>
      <c r="M826" s="13"/>
    </row>
    <row r="827" spans="1:13" x14ac:dyDescent="0.25">
      <c r="A827" s="1" t="s">
        <v>89</v>
      </c>
      <c r="B827" s="1" t="s">
        <v>90</v>
      </c>
      <c r="C827" s="1" t="s">
        <v>838</v>
      </c>
      <c r="D827" s="1">
        <v>39.145200000000003</v>
      </c>
      <c r="E827" s="1">
        <v>-84.973200000000006</v>
      </c>
      <c r="F827" s="1" t="s">
        <v>1925</v>
      </c>
      <c r="G827" s="22">
        <v>1526.9344274649216</v>
      </c>
      <c r="H827" s="20">
        <f ca="1">NOW() - TIME(5,30,0) + (VLOOKUP(MasterTable[[#This Row],[TimeZone]], $O$3:$P$8, 2, FALSE) / 24)</f>
        <v>45990.573544791667</v>
      </c>
      <c r="I827" s="1" t="s">
        <v>1944</v>
      </c>
      <c r="J827" s="1">
        <v>307.05</v>
      </c>
      <c r="L827" s="13"/>
      <c r="M827" s="13"/>
    </row>
    <row r="828" spans="1:13" x14ac:dyDescent="0.25">
      <c r="A828" s="1" t="s">
        <v>89</v>
      </c>
      <c r="B828" s="1" t="s">
        <v>90</v>
      </c>
      <c r="C828" s="1" t="s">
        <v>332</v>
      </c>
      <c r="D828" s="1">
        <v>39.931100000000001</v>
      </c>
      <c r="E828" s="1">
        <v>-85.3964</v>
      </c>
      <c r="F828" s="1" t="s">
        <v>1925</v>
      </c>
      <c r="G828" s="22">
        <v>1515.5362127743922</v>
      </c>
      <c r="H828" s="20">
        <f ca="1">NOW() - TIME(5,30,0) + (VLOOKUP(MasterTable[[#This Row],[TimeZone]], $O$3:$P$8, 2, FALSE) / 24)</f>
        <v>45990.573544791667</v>
      </c>
      <c r="I828" s="1" t="s">
        <v>1944</v>
      </c>
      <c r="J828" s="1">
        <v>568.33000000000004</v>
      </c>
      <c r="L828" s="13"/>
      <c r="M828" s="13"/>
    </row>
    <row r="829" spans="1:13" x14ac:dyDescent="0.25">
      <c r="A829" s="1" t="s">
        <v>89</v>
      </c>
      <c r="B829" s="1" t="s">
        <v>90</v>
      </c>
      <c r="C829" s="1" t="s">
        <v>864</v>
      </c>
      <c r="D829" s="1">
        <v>41.398600000000002</v>
      </c>
      <c r="E829" s="1">
        <v>-85.417500000000004</v>
      </c>
      <c r="F829" s="1" t="s">
        <v>1925</v>
      </c>
      <c r="G829" s="22">
        <v>1539.5347122132043</v>
      </c>
      <c r="H829" s="20">
        <f ca="1">NOW() - TIME(5,30,0) + (VLOOKUP(MasterTable[[#This Row],[TimeZone]], $O$3:$P$8, 2, FALSE) / 24)</f>
        <v>45990.573544791667</v>
      </c>
      <c r="I829" s="1" t="s">
        <v>1944</v>
      </c>
      <c r="J829" s="1">
        <v>417.61</v>
      </c>
      <c r="L829" s="13"/>
      <c r="M829" s="13"/>
    </row>
    <row r="830" spans="1:13" x14ac:dyDescent="0.25">
      <c r="A830" s="1" t="s">
        <v>89</v>
      </c>
      <c r="B830" s="1" t="s">
        <v>90</v>
      </c>
      <c r="C830" s="1" t="s">
        <v>140</v>
      </c>
      <c r="D830" s="1">
        <v>38.906399999999998</v>
      </c>
      <c r="E830" s="1">
        <v>-86.037499999999994</v>
      </c>
      <c r="F830" s="1" t="s">
        <v>1925</v>
      </c>
      <c r="G830" s="22">
        <v>1467.7597774368232</v>
      </c>
      <c r="H830" s="20">
        <f ca="1">NOW() - TIME(5,30,0) + (VLOOKUP(MasterTable[[#This Row],[TimeZone]], $O$3:$P$8, 2, FALSE) / 24)</f>
        <v>45990.573544791667</v>
      </c>
      <c r="I830" s="1" t="s">
        <v>1944</v>
      </c>
      <c r="J830" s="1">
        <v>1126.77</v>
      </c>
      <c r="L830" s="13"/>
      <c r="M830" s="13"/>
    </row>
    <row r="831" spans="1:13" x14ac:dyDescent="0.25">
      <c r="A831" s="1" t="s">
        <v>89</v>
      </c>
      <c r="B831" s="1" t="s">
        <v>90</v>
      </c>
      <c r="C831" s="1" t="s">
        <v>600</v>
      </c>
      <c r="D831" s="1">
        <v>41.324800000000003</v>
      </c>
      <c r="E831" s="1">
        <v>-86.261799999999994</v>
      </c>
      <c r="F831" s="1" t="s">
        <v>1925</v>
      </c>
      <c r="G831" s="22">
        <v>1496.1008539870729</v>
      </c>
      <c r="H831" s="20">
        <f ca="1">NOW() - TIME(5,30,0) + (VLOOKUP(MasterTable[[#This Row],[TimeZone]], $O$3:$P$8, 2, FALSE) / 24)</f>
        <v>45990.573544791667</v>
      </c>
      <c r="I831" s="1" t="s">
        <v>1944</v>
      </c>
      <c r="J831" s="1">
        <v>623.16</v>
      </c>
      <c r="L831" s="13"/>
      <c r="M831" s="13"/>
    </row>
    <row r="832" spans="1:13" x14ac:dyDescent="0.25">
      <c r="A832" s="1" t="s">
        <v>89</v>
      </c>
      <c r="B832" s="1" t="s">
        <v>90</v>
      </c>
      <c r="C832" s="1" t="s">
        <v>107</v>
      </c>
      <c r="D832" s="1">
        <v>39.523699999999998</v>
      </c>
      <c r="E832" s="1">
        <v>-85.791700000000006</v>
      </c>
      <c r="F832" s="1" t="s">
        <v>1925</v>
      </c>
      <c r="G832" s="22">
        <v>1489.0326411684714</v>
      </c>
      <c r="H832" s="20">
        <f ca="1">NOW() - TIME(5,30,0) + (VLOOKUP(MasterTable[[#This Row],[TimeZone]], $O$3:$P$8, 2, FALSE) / 24)</f>
        <v>45990.573544791667</v>
      </c>
      <c r="I832" s="1" t="s">
        <v>1944</v>
      </c>
      <c r="J832" s="1">
        <v>809.53</v>
      </c>
      <c r="L832" s="13"/>
      <c r="M832" s="13"/>
    </row>
    <row r="833" spans="1:13" x14ac:dyDescent="0.25">
      <c r="A833" s="1" t="s">
        <v>89</v>
      </c>
      <c r="B833" s="1" t="s">
        <v>90</v>
      </c>
      <c r="C833" s="1" t="s">
        <v>644</v>
      </c>
      <c r="D833" s="1">
        <v>38.841200000000001</v>
      </c>
      <c r="E833" s="1">
        <v>-86.483400000000003</v>
      </c>
      <c r="F833" s="1" t="s">
        <v>1925</v>
      </c>
      <c r="G833" s="22">
        <v>1443.35351295535</v>
      </c>
      <c r="H833" s="20">
        <f ca="1">NOW() - TIME(5,30,0) + (VLOOKUP(MasterTable[[#This Row],[TimeZone]], $O$3:$P$8, 2, FALSE) / 24)</f>
        <v>45990.573544791667</v>
      </c>
      <c r="I833" s="1" t="s">
        <v>1944</v>
      </c>
      <c r="J833" s="1">
        <v>718.07</v>
      </c>
      <c r="L833" s="13"/>
      <c r="M833" s="13"/>
    </row>
    <row r="834" spans="1:13" x14ac:dyDescent="0.25">
      <c r="A834" s="1" t="s">
        <v>89</v>
      </c>
      <c r="B834" s="1" t="s">
        <v>90</v>
      </c>
      <c r="C834" s="1" t="s">
        <v>133</v>
      </c>
      <c r="D834" s="1">
        <v>41.397599999999997</v>
      </c>
      <c r="E834" s="1">
        <v>-84.999099999999999</v>
      </c>
      <c r="F834" s="1" t="s">
        <v>1925</v>
      </c>
      <c r="G834" s="22">
        <v>1560.3804905160996</v>
      </c>
      <c r="H834" s="20">
        <f ca="1">NOW() - TIME(5,30,0) + (VLOOKUP(MasterTable[[#This Row],[TimeZone]], $O$3:$P$8, 2, FALSE) / 24)</f>
        <v>45990.573544791667</v>
      </c>
      <c r="I834" s="1" t="s">
        <v>1944</v>
      </c>
      <c r="J834" s="1">
        <v>778.65</v>
      </c>
      <c r="L834" s="13"/>
      <c r="M834" s="13"/>
    </row>
    <row r="835" spans="1:13" x14ac:dyDescent="0.25">
      <c r="A835" s="1" t="s">
        <v>89</v>
      </c>
      <c r="B835" s="1" t="s">
        <v>90</v>
      </c>
      <c r="C835" s="1" t="s">
        <v>910</v>
      </c>
      <c r="D835" s="1">
        <v>38.3643</v>
      </c>
      <c r="E835" s="1">
        <v>-86.879800000000003</v>
      </c>
      <c r="F835" s="1" t="s">
        <v>1925</v>
      </c>
      <c r="G835" s="22">
        <v>1416.2868695883919</v>
      </c>
      <c r="H835" s="20">
        <f ca="1">NOW() - TIME(5,30,0) + (VLOOKUP(MasterTable[[#This Row],[TimeZone]], $O$3:$P$8, 2, FALSE) / 24)</f>
        <v>45990.573544791667</v>
      </c>
      <c r="I835" s="1" t="s">
        <v>1944</v>
      </c>
      <c r="J835" s="1">
        <v>435.23</v>
      </c>
      <c r="L835" s="13"/>
      <c r="M835" s="13"/>
    </row>
    <row r="836" spans="1:13" x14ac:dyDescent="0.25">
      <c r="A836" s="1" t="s">
        <v>89</v>
      </c>
      <c r="B836" s="1" t="s">
        <v>90</v>
      </c>
      <c r="C836" s="1" t="s">
        <v>944</v>
      </c>
      <c r="D836" s="1">
        <v>41.642600000000002</v>
      </c>
      <c r="E836" s="1">
        <v>-85.426500000000004</v>
      </c>
      <c r="F836" s="1" t="s">
        <v>1925</v>
      </c>
      <c r="G836" s="22">
        <v>1543.8369120961086</v>
      </c>
      <c r="H836" s="20">
        <f ca="1">NOW() - TIME(5,30,0) + (VLOOKUP(MasterTable[[#This Row],[TimeZone]], $O$3:$P$8, 2, FALSE) / 24)</f>
        <v>45990.573544791667</v>
      </c>
      <c r="I836" s="1" t="s">
        <v>1944</v>
      </c>
      <c r="J836" s="1">
        <v>386.72</v>
      </c>
      <c r="L836" s="13"/>
      <c r="M836" s="13"/>
    </row>
    <row r="837" spans="1:13" x14ac:dyDescent="0.25">
      <c r="A837" s="1" t="s">
        <v>89</v>
      </c>
      <c r="B837" s="1" t="s">
        <v>90</v>
      </c>
      <c r="C837" s="1" t="s">
        <v>364</v>
      </c>
      <c r="D837" s="1">
        <v>38.195099999999996</v>
      </c>
      <c r="E837" s="1">
        <v>-86.111500000000007</v>
      </c>
      <c r="F837" s="1" t="s">
        <v>1925</v>
      </c>
      <c r="G837" s="22">
        <v>1455.4550873216328</v>
      </c>
      <c r="H837" s="20">
        <f ca="1">NOW() - TIME(5,30,0) + (VLOOKUP(MasterTable[[#This Row],[TimeZone]], $O$3:$P$8, 2, FALSE) / 24)</f>
        <v>45990.573544791667</v>
      </c>
      <c r="I837" s="1" t="s">
        <v>1944</v>
      </c>
      <c r="J837" s="1">
        <v>486.88</v>
      </c>
      <c r="L837" s="13"/>
      <c r="M837" s="13"/>
    </row>
    <row r="838" spans="1:13" x14ac:dyDescent="0.25">
      <c r="A838" s="1" t="s">
        <v>89</v>
      </c>
      <c r="B838" s="1" t="s">
        <v>90</v>
      </c>
      <c r="C838" s="1" t="s">
        <v>75</v>
      </c>
      <c r="D838" s="1">
        <v>40.040399999999998</v>
      </c>
      <c r="E838" s="1">
        <v>-86.893299999999996</v>
      </c>
      <c r="F838" s="1" t="s">
        <v>1925</v>
      </c>
      <c r="G838" s="22">
        <v>1440.2379968124546</v>
      </c>
      <c r="H838" s="20">
        <f ca="1">NOW() - TIME(5,30,0) + (VLOOKUP(MasterTable[[#This Row],[TimeZone]], $O$3:$P$8, 2, FALSE) / 24)</f>
        <v>45990.573544791667</v>
      </c>
      <c r="I838" s="1" t="s">
        <v>1944</v>
      </c>
      <c r="J838" s="1">
        <v>799.76</v>
      </c>
      <c r="L838" s="13"/>
      <c r="M838" s="13"/>
    </row>
    <row r="839" spans="1:13" x14ac:dyDescent="0.25">
      <c r="A839" s="1" t="s">
        <v>89</v>
      </c>
      <c r="B839" s="1" t="s">
        <v>90</v>
      </c>
      <c r="C839" s="1" t="s">
        <v>392</v>
      </c>
      <c r="D839" s="1">
        <v>40.761499999999998</v>
      </c>
      <c r="E839" s="1">
        <v>-86.346000000000004</v>
      </c>
      <c r="F839" s="1" t="s">
        <v>1925</v>
      </c>
      <c r="G839" s="22">
        <v>1480.9871984292377</v>
      </c>
      <c r="H839" s="20">
        <f ca="1">NOW() - TIME(5,30,0) + (VLOOKUP(MasterTable[[#This Row],[TimeZone]], $O$3:$P$8, 2, FALSE) / 24)</f>
        <v>45990.573544791667</v>
      </c>
      <c r="I839" s="1" t="s">
        <v>1944</v>
      </c>
      <c r="J839" s="1">
        <v>383.73</v>
      </c>
      <c r="L839" s="13"/>
      <c r="M839" s="13"/>
    </row>
    <row r="840" spans="1:13" x14ac:dyDescent="0.25">
      <c r="A840" s="1" t="s">
        <v>89</v>
      </c>
      <c r="B840" s="1" t="s">
        <v>90</v>
      </c>
      <c r="C840" s="1" t="s">
        <v>604</v>
      </c>
      <c r="D840" s="1">
        <v>39.6663</v>
      </c>
      <c r="E840" s="1">
        <v>-86.844999999999999</v>
      </c>
      <c r="F840" s="1" t="s">
        <v>1925</v>
      </c>
      <c r="G840" s="22">
        <v>1436.4897036010834</v>
      </c>
      <c r="H840" s="20">
        <f ca="1">NOW() - TIME(5,30,0) + (VLOOKUP(MasterTable[[#This Row],[TimeZone]], $O$3:$P$8, 2, FALSE) / 24)</f>
        <v>45990.573544791667</v>
      </c>
      <c r="I840" s="1" t="s">
        <v>1944</v>
      </c>
      <c r="J840" s="1">
        <v>827.16</v>
      </c>
      <c r="L840" s="13"/>
      <c r="M840" s="13"/>
    </row>
    <row r="841" spans="1:13" x14ac:dyDescent="0.25">
      <c r="A841" s="1" t="s">
        <v>89</v>
      </c>
      <c r="B841" s="1" t="s">
        <v>90</v>
      </c>
      <c r="C841" s="1" t="s">
        <v>993</v>
      </c>
      <c r="D841" s="1">
        <v>40.8292</v>
      </c>
      <c r="E841" s="1">
        <v>-85.488100000000003</v>
      </c>
      <c r="F841" s="1" t="s">
        <v>1925</v>
      </c>
      <c r="G841" s="22">
        <v>1525.518551701356</v>
      </c>
      <c r="H841" s="20">
        <f ca="1">NOW() - TIME(5,30,0) + (VLOOKUP(MasterTable[[#This Row],[TimeZone]], $O$3:$P$8, 2, FALSE) / 24)</f>
        <v>45990.573544791667</v>
      </c>
      <c r="I841" s="1" t="s">
        <v>1944</v>
      </c>
      <c r="J841" s="1">
        <v>387.94</v>
      </c>
      <c r="L841" s="13"/>
      <c r="M841" s="13"/>
    </row>
    <row r="842" spans="1:13" x14ac:dyDescent="0.25">
      <c r="A842" s="1" t="s">
        <v>89</v>
      </c>
      <c r="B842" s="1" t="s">
        <v>90</v>
      </c>
      <c r="C842" s="1" t="s">
        <v>205</v>
      </c>
      <c r="D842" s="1">
        <v>38.689100000000003</v>
      </c>
      <c r="E842" s="1">
        <v>-87.418000000000006</v>
      </c>
      <c r="F842" s="1" t="s">
        <v>1925</v>
      </c>
      <c r="G842" s="22">
        <v>1391.9179352158753</v>
      </c>
      <c r="H842" s="20">
        <f ca="1">NOW() - TIME(5,30,0) + (VLOOKUP(MasterTable[[#This Row],[TimeZone]], $O$3:$P$8, 2, FALSE) / 24)</f>
        <v>45990.573544791667</v>
      </c>
      <c r="I842" s="1" t="s">
        <v>1944</v>
      </c>
      <c r="J842" s="1">
        <v>719.7</v>
      </c>
      <c r="L842" s="13"/>
      <c r="M842" s="13"/>
    </row>
    <row r="843" spans="1:13" x14ac:dyDescent="0.25">
      <c r="A843" s="1" t="s">
        <v>89</v>
      </c>
      <c r="B843" s="1" t="s">
        <v>90</v>
      </c>
      <c r="C843" s="1" t="s">
        <v>193</v>
      </c>
      <c r="D843" s="1">
        <v>40.745699999999999</v>
      </c>
      <c r="E843" s="1">
        <v>-84.936700000000002</v>
      </c>
      <c r="F843" s="1" t="s">
        <v>1925</v>
      </c>
      <c r="G843" s="22">
        <v>1552.0252130004112</v>
      </c>
      <c r="H843" s="20">
        <f ca="1">NOW() - TIME(5,30,0) + (VLOOKUP(MasterTable[[#This Row],[TimeZone]], $O$3:$P$8, 2, FALSE) / 24)</f>
        <v>45990.573544791667</v>
      </c>
      <c r="I843" s="1" t="s">
        <v>1944</v>
      </c>
      <c r="J843" s="1">
        <v>1197.71</v>
      </c>
      <c r="L843" s="13"/>
      <c r="M843" s="13"/>
    </row>
    <row r="844" spans="1:13" x14ac:dyDescent="0.25">
      <c r="A844" s="1" t="s">
        <v>89</v>
      </c>
      <c r="B844" s="1" t="s">
        <v>90</v>
      </c>
      <c r="C844" s="1" t="s">
        <v>555</v>
      </c>
      <c r="D844" s="1">
        <v>40.769500000000001</v>
      </c>
      <c r="E844" s="1">
        <v>-86.045000000000002</v>
      </c>
      <c r="F844" s="1" t="s">
        <v>1925</v>
      </c>
      <c r="G844" s="22">
        <v>1496.3168596713354</v>
      </c>
      <c r="H844" s="20">
        <f ca="1">NOW() - TIME(5,30,0) + (VLOOKUP(MasterTable[[#This Row],[TimeZone]], $O$3:$P$8, 2, FALSE) / 24)</f>
        <v>45990.573544791667</v>
      </c>
      <c r="I844" s="1" t="s">
        <v>1944</v>
      </c>
      <c r="J844" s="1">
        <v>377.36</v>
      </c>
      <c r="L844" s="13"/>
      <c r="M844" s="18"/>
    </row>
    <row r="845" spans="1:13" x14ac:dyDescent="0.25">
      <c r="A845" s="1" t="s">
        <v>89</v>
      </c>
      <c r="B845" s="1" t="s">
        <v>90</v>
      </c>
      <c r="C845" s="1" t="s">
        <v>622</v>
      </c>
      <c r="D845" s="1">
        <v>41.643900000000002</v>
      </c>
      <c r="E845" s="1">
        <v>-85.000799999999998</v>
      </c>
      <c r="F845" s="1" t="s">
        <v>1925</v>
      </c>
      <c r="G845" s="22">
        <v>1564.9493443629754</v>
      </c>
      <c r="H845" s="20">
        <f ca="1">NOW() - TIME(5,30,0) + (VLOOKUP(MasterTable[[#This Row],[TimeZone]], $O$3:$P$8, 2, FALSE) / 24)</f>
        <v>45990.573544791667</v>
      </c>
      <c r="I845" s="1" t="s">
        <v>1944</v>
      </c>
      <c r="J845" s="1">
        <v>322.48</v>
      </c>
      <c r="L845" s="13"/>
      <c r="M845" s="18"/>
    </row>
    <row r="846" spans="1:13" x14ac:dyDescent="0.25">
      <c r="A846" s="1" t="s">
        <v>89</v>
      </c>
      <c r="B846" s="1" t="s">
        <v>90</v>
      </c>
      <c r="C846" s="1" t="s">
        <v>994</v>
      </c>
      <c r="D846" s="1">
        <v>41.139400000000002</v>
      </c>
      <c r="E846" s="1">
        <v>-85.505099999999999</v>
      </c>
      <c r="F846" s="1" t="s">
        <v>1925</v>
      </c>
      <c r="G846" s="22">
        <v>1530.2762414210249</v>
      </c>
      <c r="H846" s="20">
        <f ca="1">NOW() - TIME(5,30,0) + (VLOOKUP(MasterTable[[#This Row],[TimeZone]], $O$3:$P$8, 2, FALSE) / 24)</f>
        <v>45990.573544791667</v>
      </c>
      <c r="I846" s="1" t="s">
        <v>1944</v>
      </c>
      <c r="J846" s="1">
        <v>337.9</v>
      </c>
      <c r="L846" s="13"/>
      <c r="M846" s="13"/>
    </row>
    <row r="847" spans="1:13" x14ac:dyDescent="0.25">
      <c r="A847" s="1" t="s">
        <v>89</v>
      </c>
      <c r="B847" s="1" t="s">
        <v>90</v>
      </c>
      <c r="C847" s="1" t="s">
        <v>579</v>
      </c>
      <c r="D847" s="1">
        <v>38.702399999999997</v>
      </c>
      <c r="E847" s="1">
        <v>-87.072000000000003</v>
      </c>
      <c r="F847" s="1" t="s">
        <v>1925</v>
      </c>
      <c r="G847" s="22">
        <v>1410.3932207453397</v>
      </c>
      <c r="H847" s="20">
        <f ca="1">NOW() - TIME(5,30,0) + (VLOOKUP(MasterTable[[#This Row],[TimeZone]], $O$3:$P$8, 2, FALSE) / 24)</f>
        <v>45990.573544791667</v>
      </c>
      <c r="I847" s="1" t="s">
        <v>1944</v>
      </c>
      <c r="J847" s="1">
        <v>436.86</v>
      </c>
      <c r="L847" s="13"/>
      <c r="M847" s="13"/>
    </row>
    <row r="848" spans="1:13" x14ac:dyDescent="0.25">
      <c r="A848" s="1" t="s">
        <v>89</v>
      </c>
      <c r="B848" s="1" t="s">
        <v>90</v>
      </c>
      <c r="C848" s="1" t="s">
        <v>522</v>
      </c>
      <c r="D848" s="1">
        <v>41.023000000000003</v>
      </c>
      <c r="E848" s="1">
        <v>-87.116100000000003</v>
      </c>
      <c r="F848" s="1" t="s">
        <v>1925</v>
      </c>
      <c r="G848" s="22">
        <v>1447.5065339250521</v>
      </c>
      <c r="H848" s="20">
        <f ca="1">NOW() - TIME(5,30,0) + (VLOOKUP(MasterTable[[#This Row],[TimeZone]], $O$3:$P$8, 2, FALSE) / 24)</f>
        <v>45990.573544791667</v>
      </c>
      <c r="I848" s="1" t="s">
        <v>1944</v>
      </c>
      <c r="J848" s="1">
        <v>373.58</v>
      </c>
      <c r="L848" s="13"/>
      <c r="M848" s="13"/>
    </row>
    <row r="849" spans="1:13" x14ac:dyDescent="0.25">
      <c r="A849" s="1" t="s">
        <v>89</v>
      </c>
      <c r="B849" s="1" t="s">
        <v>90</v>
      </c>
      <c r="C849" s="1" t="s">
        <v>129</v>
      </c>
      <c r="D849" s="1">
        <v>38.785800000000002</v>
      </c>
      <c r="E849" s="1">
        <v>-85.438599999999994</v>
      </c>
      <c r="F849" s="1" t="s">
        <v>1925</v>
      </c>
      <c r="G849" s="22">
        <v>1497.9997332102814</v>
      </c>
      <c r="H849" s="20">
        <f ca="1">NOW() - TIME(5,30,0) + (VLOOKUP(MasterTable[[#This Row],[TimeZone]], $O$3:$P$8, 2, FALSE) / 24)</f>
        <v>45990.573544791667</v>
      </c>
      <c r="I849" s="1" t="s">
        <v>1944</v>
      </c>
      <c r="J849" s="1">
        <v>1123.8</v>
      </c>
      <c r="L849" s="13"/>
      <c r="M849" s="13"/>
    </row>
    <row r="850" spans="1:13" x14ac:dyDescent="0.25">
      <c r="A850" s="1" t="s">
        <v>89</v>
      </c>
      <c r="B850" s="1" t="s">
        <v>90</v>
      </c>
      <c r="C850" s="1" t="s">
        <v>839</v>
      </c>
      <c r="D850" s="1">
        <v>38.311900000000001</v>
      </c>
      <c r="E850" s="1">
        <v>-87.584599999999995</v>
      </c>
      <c r="F850" s="1" t="s">
        <v>1922</v>
      </c>
      <c r="G850" s="22">
        <v>1378.0617080970185</v>
      </c>
      <c r="H850" s="20">
        <f ca="1">NOW() - TIME(5,30,0) + (VLOOKUP(MasterTable[[#This Row],[TimeZone]], $O$3:$P$8, 2, FALSE) / 24)</f>
        <v>45990.531878125003</v>
      </c>
      <c r="I850" s="1" t="s">
        <v>1944</v>
      </c>
      <c r="J850" s="1">
        <v>499.05</v>
      </c>
      <c r="L850" s="13"/>
      <c r="M850" s="13"/>
    </row>
    <row r="851" spans="1:13" x14ac:dyDescent="0.25">
      <c r="A851" s="1" t="s">
        <v>89</v>
      </c>
      <c r="B851" s="1" t="s">
        <v>90</v>
      </c>
      <c r="C851" s="1" t="s">
        <v>675</v>
      </c>
      <c r="D851" s="1">
        <v>40.301699999999997</v>
      </c>
      <c r="E851" s="1">
        <v>-86.475099999999998</v>
      </c>
      <c r="F851" s="1" t="s">
        <v>1925</v>
      </c>
      <c r="G851" s="22">
        <v>1466.1467121955957</v>
      </c>
      <c r="H851" s="20">
        <f ca="1">NOW() - TIME(5,30,0) + (VLOOKUP(MasterTable[[#This Row],[TimeZone]], $O$3:$P$8, 2, FALSE) / 24)</f>
        <v>45990.573544791667</v>
      </c>
      <c r="I851" s="1" t="s">
        <v>1944</v>
      </c>
      <c r="J851" s="1">
        <v>503.48</v>
      </c>
      <c r="L851" s="13"/>
      <c r="M851" s="13"/>
    </row>
    <row r="852" spans="1:13" x14ac:dyDescent="0.25">
      <c r="A852" s="1" t="s">
        <v>89</v>
      </c>
      <c r="B852" s="1" t="s">
        <v>90</v>
      </c>
      <c r="C852" s="1" t="s">
        <v>289</v>
      </c>
      <c r="D852" s="1">
        <v>39.0364</v>
      </c>
      <c r="E852" s="1">
        <v>-86.962100000000007</v>
      </c>
      <c r="F852" s="1" t="s">
        <v>1925</v>
      </c>
      <c r="G852" s="22">
        <v>1420.8146352987683</v>
      </c>
      <c r="H852" s="20">
        <f ca="1">NOW() - TIME(5,30,0) + (VLOOKUP(MasterTable[[#This Row],[TimeZone]], $O$3:$P$8, 2, FALSE) / 24)</f>
        <v>45990.573544791667</v>
      </c>
      <c r="I852" s="1" t="s">
        <v>1944</v>
      </c>
      <c r="J852" s="1">
        <v>659.93</v>
      </c>
      <c r="L852" s="13"/>
      <c r="M852" s="13"/>
    </row>
    <row r="853" spans="1:13" x14ac:dyDescent="0.25">
      <c r="A853" s="1" t="s">
        <v>89</v>
      </c>
      <c r="B853" s="1" t="s">
        <v>90</v>
      </c>
      <c r="C853" s="1" t="s">
        <v>1059</v>
      </c>
      <c r="D853" s="1">
        <v>40.845700000000001</v>
      </c>
      <c r="E853" s="1">
        <v>-85.793999999999997</v>
      </c>
      <c r="F853" s="1" t="s">
        <v>1925</v>
      </c>
      <c r="G853" s="22">
        <v>1510.3668080501113</v>
      </c>
      <c r="H853" s="20">
        <f ca="1">NOW() - TIME(5,30,0) + (VLOOKUP(MasterTable[[#This Row],[TimeZone]], $O$3:$P$8, 2, FALSE) / 24)</f>
        <v>45990.573544791667</v>
      </c>
      <c r="I853" s="1" t="s">
        <v>1944</v>
      </c>
      <c r="J853" s="1">
        <v>227.76</v>
      </c>
      <c r="L853" s="13"/>
      <c r="M853" s="13"/>
    </row>
    <row r="854" spans="1:13" x14ac:dyDescent="0.25">
      <c r="A854" s="1" t="s">
        <v>89</v>
      </c>
      <c r="B854" s="1" t="s">
        <v>90</v>
      </c>
      <c r="C854" s="1" t="s">
        <v>1088</v>
      </c>
      <c r="D854" s="1">
        <v>39.103499999999997</v>
      </c>
      <c r="E854" s="1">
        <v>-85.2624</v>
      </c>
      <c r="F854" s="1" t="s">
        <v>1925</v>
      </c>
      <c r="G854" s="22">
        <v>1511.166665179757</v>
      </c>
      <c r="H854" s="20">
        <f ca="1">NOW() - TIME(5,30,0) + (VLOOKUP(MasterTable[[#This Row],[TimeZone]], $O$3:$P$8, 2, FALSE) / 24)</f>
        <v>45990.573544791667</v>
      </c>
      <c r="I854" s="1" t="s">
        <v>1944</v>
      </c>
      <c r="J854" s="1">
        <v>447.91</v>
      </c>
      <c r="L854" s="13"/>
      <c r="M854" s="13"/>
    </row>
    <row r="855" spans="1:13" x14ac:dyDescent="0.25">
      <c r="A855" s="1" t="s">
        <v>89</v>
      </c>
      <c r="B855" s="1" t="s">
        <v>90</v>
      </c>
      <c r="C855" s="1" t="s">
        <v>1102</v>
      </c>
      <c r="D855" s="1">
        <v>40.729300000000002</v>
      </c>
      <c r="E855" s="1">
        <v>-85.221199999999996</v>
      </c>
      <c r="F855" s="1" t="s">
        <v>1925</v>
      </c>
      <c r="G855" s="22">
        <v>1537.3040453908786</v>
      </c>
      <c r="H855" s="20">
        <f ca="1">NOW() - TIME(5,30,0) + (VLOOKUP(MasterTable[[#This Row],[TimeZone]], $O$3:$P$8, 2, FALSE) / 24)</f>
        <v>45990.573544791667</v>
      </c>
      <c r="I855" s="1" t="s">
        <v>1944</v>
      </c>
      <c r="J855" s="1">
        <v>370.41</v>
      </c>
      <c r="L855" s="13"/>
      <c r="M855" s="18"/>
    </row>
    <row r="856" spans="1:13" x14ac:dyDescent="0.25">
      <c r="A856" s="1" t="s">
        <v>89</v>
      </c>
      <c r="B856" s="1" t="s">
        <v>90</v>
      </c>
      <c r="C856" s="1" t="s">
        <v>28</v>
      </c>
      <c r="D856" s="1">
        <v>38.6</v>
      </c>
      <c r="E856" s="1">
        <v>-86.1053</v>
      </c>
      <c r="F856" s="1" t="s">
        <v>1925</v>
      </c>
      <c r="G856" s="22">
        <v>1460.3756710119924</v>
      </c>
      <c r="H856" s="20">
        <f ca="1">NOW() - TIME(5,30,0) + (VLOOKUP(MasterTable[[#This Row],[TimeZone]], $O$3:$P$8, 2, FALSE) / 24)</f>
        <v>45990.573544791667</v>
      </c>
      <c r="I856" s="1" t="s">
        <v>1944</v>
      </c>
      <c r="J856" s="1">
        <v>1088.54</v>
      </c>
      <c r="L856" s="13"/>
      <c r="M856" s="13"/>
    </row>
    <row r="857" spans="1:13" x14ac:dyDescent="0.25">
      <c r="A857" s="1" t="s">
        <v>89</v>
      </c>
      <c r="B857" s="1" t="s">
        <v>90</v>
      </c>
      <c r="C857" s="1" t="s">
        <v>1116</v>
      </c>
      <c r="D857" s="1">
        <v>38.996899999999997</v>
      </c>
      <c r="E857" s="1">
        <v>-85.628</v>
      </c>
      <c r="F857" s="1" t="s">
        <v>1925</v>
      </c>
      <c r="G857" s="22">
        <v>1490.538426719605</v>
      </c>
      <c r="H857" s="20">
        <f ca="1">NOW() - TIME(5,30,0) + (VLOOKUP(MasterTable[[#This Row],[TimeZone]], $O$3:$P$8, 2, FALSE) / 24)</f>
        <v>45990.573544791667</v>
      </c>
      <c r="I857" s="1" t="s">
        <v>1944</v>
      </c>
      <c r="J857" s="1">
        <v>378.35</v>
      </c>
      <c r="L857" s="13"/>
      <c r="M857" s="13"/>
    </row>
    <row r="858" spans="1:13" x14ac:dyDescent="0.25">
      <c r="A858" s="1" t="s">
        <v>89</v>
      </c>
      <c r="B858" s="1" t="s">
        <v>90</v>
      </c>
      <c r="C858" s="1" t="s">
        <v>327</v>
      </c>
      <c r="D858" s="1">
        <v>39.392800000000001</v>
      </c>
      <c r="E858" s="1">
        <v>-87.115799999999993</v>
      </c>
      <c r="F858" s="1" t="s">
        <v>1925</v>
      </c>
      <c r="G858" s="22">
        <v>1418.1103257306809</v>
      </c>
      <c r="H858" s="20">
        <f ca="1">NOW() - TIME(5,30,0) + (VLOOKUP(MasterTable[[#This Row],[TimeZone]], $O$3:$P$8, 2, FALSE) / 24)</f>
        <v>45990.573544791667</v>
      </c>
      <c r="I858" s="1" t="s">
        <v>1944</v>
      </c>
      <c r="J858" s="1">
        <v>606</v>
      </c>
      <c r="L858" s="13"/>
      <c r="M858" s="13"/>
    </row>
    <row r="859" spans="1:13" x14ac:dyDescent="0.25">
      <c r="A859" s="1" t="s">
        <v>89</v>
      </c>
      <c r="B859" s="1" t="s">
        <v>90</v>
      </c>
      <c r="C859" s="1" t="s">
        <v>1087</v>
      </c>
      <c r="D859" s="1">
        <v>39.307000000000002</v>
      </c>
      <c r="E859" s="1">
        <v>-85.501099999999994</v>
      </c>
      <c r="F859" s="1" t="s">
        <v>1925</v>
      </c>
      <c r="G859" s="22">
        <v>1501.2354576685391</v>
      </c>
      <c r="H859" s="20">
        <f ca="1">NOW() - TIME(5,30,0) + (VLOOKUP(MasterTable[[#This Row],[TimeZone]], $O$3:$P$8, 2, FALSE) / 24)</f>
        <v>45990.573544791667</v>
      </c>
      <c r="I859" s="1" t="s">
        <v>1944</v>
      </c>
      <c r="J859" s="1">
        <v>623.16</v>
      </c>
      <c r="L859" s="13"/>
      <c r="M859" s="13"/>
    </row>
    <row r="860" spans="1:13" x14ac:dyDescent="0.25">
      <c r="A860" s="1" t="s">
        <v>89</v>
      </c>
      <c r="B860" s="1" t="s">
        <v>90</v>
      </c>
      <c r="C860" s="1" t="s">
        <v>1167</v>
      </c>
      <c r="D860" s="1">
        <v>38.021799999999999</v>
      </c>
      <c r="E860" s="1">
        <v>-87.868499999999997</v>
      </c>
      <c r="F860" s="1" t="s">
        <v>1922</v>
      </c>
      <c r="G860" s="22">
        <v>1359.2671650348248</v>
      </c>
      <c r="H860" s="20">
        <f ca="1">NOW() - TIME(5,30,0) + (VLOOKUP(MasterTable[[#This Row],[TimeZone]], $O$3:$P$8, 2, FALSE) / 24)</f>
        <v>45990.531878125003</v>
      </c>
      <c r="I860" s="1" t="s">
        <v>1944</v>
      </c>
      <c r="J860" s="1">
        <v>419.45</v>
      </c>
      <c r="L860" s="13"/>
      <c r="M860" s="13"/>
    </row>
    <row r="861" spans="1:13" x14ac:dyDescent="0.25">
      <c r="A861" s="1" t="s">
        <v>89</v>
      </c>
      <c r="B861" s="1" t="s">
        <v>90</v>
      </c>
      <c r="C861" s="1" t="s">
        <v>682</v>
      </c>
      <c r="D861" s="1">
        <v>40.7498</v>
      </c>
      <c r="E861" s="1">
        <v>-86.865499999999997</v>
      </c>
      <c r="F861" s="1" t="s">
        <v>1925</v>
      </c>
      <c r="G861" s="22">
        <v>1454.6171758578237</v>
      </c>
      <c r="H861" s="20">
        <f ca="1">NOW() - TIME(5,30,0) + (VLOOKUP(MasterTable[[#This Row],[TimeZone]], $O$3:$P$8, 2, FALSE) / 24)</f>
        <v>45990.573544791667</v>
      </c>
      <c r="I861" s="1" t="s">
        <v>1944</v>
      </c>
      <c r="J861" s="1">
        <v>1042.3599999999999</v>
      </c>
      <c r="L861" s="13"/>
      <c r="M861" s="18"/>
    </row>
    <row r="862" spans="1:13" x14ac:dyDescent="0.25">
      <c r="A862" s="1" t="s">
        <v>89</v>
      </c>
      <c r="B862" s="1" t="s">
        <v>90</v>
      </c>
      <c r="C862" s="1" t="s">
        <v>419</v>
      </c>
      <c r="D862" s="1">
        <v>38.685099999999998</v>
      </c>
      <c r="E862" s="1">
        <v>-85.747500000000002</v>
      </c>
      <c r="F862" s="1" t="s">
        <v>1925</v>
      </c>
      <c r="G862" s="22">
        <v>1480.4088211524472</v>
      </c>
      <c r="H862" s="20">
        <f ca="1">NOW() - TIME(5,30,0) + (VLOOKUP(MasterTable[[#This Row],[TimeZone]], $O$3:$P$8, 2, FALSE) / 24)</f>
        <v>45990.573544791667</v>
      </c>
      <c r="I862" s="1" t="s">
        <v>1944</v>
      </c>
      <c r="J862" s="1">
        <v>898.09</v>
      </c>
      <c r="L862" s="13"/>
      <c r="M862" s="13"/>
    </row>
    <row r="863" spans="1:13" x14ac:dyDescent="0.25">
      <c r="A863" s="1" t="s">
        <v>89</v>
      </c>
      <c r="B863" s="1" t="s">
        <v>90</v>
      </c>
      <c r="C863" s="1" t="s">
        <v>477</v>
      </c>
      <c r="D863" s="1">
        <v>40.157600000000002</v>
      </c>
      <c r="E863" s="1">
        <v>-85.011300000000006</v>
      </c>
      <c r="F863" s="1" t="s">
        <v>1925</v>
      </c>
      <c r="G863" s="22">
        <v>1538.8331473552521</v>
      </c>
      <c r="H863" s="20">
        <f ca="1">NOW() - TIME(5,30,0) + (VLOOKUP(MasterTable[[#This Row],[TimeZone]], $O$3:$P$8, 2, FALSE) / 24)</f>
        <v>45990.573544791667</v>
      </c>
      <c r="I863" s="1" t="s">
        <v>1944</v>
      </c>
      <c r="J863" s="1">
        <v>584.11</v>
      </c>
      <c r="L863" s="13"/>
      <c r="M863" s="18"/>
    </row>
    <row r="864" spans="1:13" x14ac:dyDescent="0.25">
      <c r="A864" s="1" t="s">
        <v>89</v>
      </c>
      <c r="B864" s="1" t="s">
        <v>90</v>
      </c>
      <c r="C864" s="1" t="s">
        <v>279</v>
      </c>
      <c r="D864" s="1">
        <v>39.64</v>
      </c>
      <c r="E864" s="1">
        <v>-85.178799999999995</v>
      </c>
      <c r="F864" s="1" t="s">
        <v>1925</v>
      </c>
      <c r="G864" s="22">
        <v>1522.6255899969951</v>
      </c>
      <c r="H864" s="20">
        <f ca="1">NOW() - TIME(5,30,0) + (VLOOKUP(MasterTable[[#This Row],[TimeZone]], $O$3:$P$8, 2, FALSE) / 24)</f>
        <v>45990.573544791667</v>
      </c>
      <c r="I864" s="1" t="s">
        <v>1944</v>
      </c>
      <c r="J864" s="1">
        <v>629.34</v>
      </c>
      <c r="L864" s="13"/>
      <c r="M864" s="18"/>
    </row>
    <row r="865" spans="1:13" x14ac:dyDescent="0.25">
      <c r="A865" s="1" t="s">
        <v>89</v>
      </c>
      <c r="B865" s="1" t="s">
        <v>90</v>
      </c>
      <c r="C865" s="1" t="s">
        <v>1202</v>
      </c>
      <c r="D865" s="1">
        <v>41.280900000000003</v>
      </c>
      <c r="E865" s="1">
        <v>-86.647599999999997</v>
      </c>
      <c r="F865" s="1" t="s">
        <v>1922</v>
      </c>
      <c r="G865" s="22">
        <v>1476.0669555397737</v>
      </c>
      <c r="H865" s="20">
        <f ca="1">NOW() - TIME(5,30,0) + (VLOOKUP(MasterTable[[#This Row],[TimeZone]], $O$3:$P$8, 2, FALSE) / 24)</f>
        <v>45990.531878125003</v>
      </c>
      <c r="I865" s="1" t="s">
        <v>1944</v>
      </c>
      <c r="J865" s="1">
        <v>312.31</v>
      </c>
      <c r="L865" s="13"/>
      <c r="M865" s="13"/>
    </row>
    <row r="866" spans="1:13" x14ac:dyDescent="0.25">
      <c r="A866" s="1" t="s">
        <v>89</v>
      </c>
      <c r="B866" s="1" t="s">
        <v>90</v>
      </c>
      <c r="C866" s="1" t="s">
        <v>50</v>
      </c>
      <c r="D866" s="1">
        <v>39.414900000000003</v>
      </c>
      <c r="E866" s="1">
        <v>-85.060199999999995</v>
      </c>
      <c r="F866" s="1" t="s">
        <v>1925</v>
      </c>
      <c r="G866" s="22">
        <v>1525.7817549001522</v>
      </c>
      <c r="H866" s="20">
        <f ca="1">NOW() - TIME(5,30,0) + (VLOOKUP(MasterTable[[#This Row],[TimeZone]], $O$3:$P$8, 2, FALSE) / 24)</f>
        <v>45990.573544791667</v>
      </c>
      <c r="I866" s="1" t="s">
        <v>1944</v>
      </c>
      <c r="J866" s="1">
        <v>646.51</v>
      </c>
      <c r="L866" s="13"/>
      <c r="M866" s="13"/>
    </row>
    <row r="867" spans="1:13" x14ac:dyDescent="0.25">
      <c r="A867" s="1" t="s">
        <v>89</v>
      </c>
      <c r="B867" s="1" t="s">
        <v>90</v>
      </c>
      <c r="C867" s="1" t="s">
        <v>1244</v>
      </c>
      <c r="D867" s="1">
        <v>39.312800000000003</v>
      </c>
      <c r="E867" s="1">
        <v>-86.837699999999998</v>
      </c>
      <c r="F867" s="1" t="s">
        <v>1925</v>
      </c>
      <c r="G867" s="22">
        <v>1431.3768762598761</v>
      </c>
      <c r="H867" s="20">
        <f ca="1">NOW() - TIME(5,30,0) + (VLOOKUP(MasterTable[[#This Row],[TimeZone]], $O$3:$P$8, 2, FALSE) / 24)</f>
        <v>45990.573544791667</v>
      </c>
      <c r="I867" s="1" t="s">
        <v>1944</v>
      </c>
      <c r="J867" s="1">
        <v>387.83</v>
      </c>
      <c r="L867" s="13"/>
      <c r="M867" s="13"/>
    </row>
    <row r="868" spans="1:13" x14ac:dyDescent="0.25">
      <c r="A868" s="1" t="s">
        <v>89</v>
      </c>
      <c r="B868" s="1" t="s">
        <v>90</v>
      </c>
      <c r="C868" s="1" t="s">
        <v>454</v>
      </c>
      <c r="D868" s="1">
        <v>39.088900000000002</v>
      </c>
      <c r="E868" s="1">
        <v>-87.414699999999996</v>
      </c>
      <c r="F868" s="1" t="s">
        <v>1925</v>
      </c>
      <c r="G868" s="22">
        <v>1397.8564666981495</v>
      </c>
      <c r="H868" s="20">
        <f ca="1">NOW() - TIME(5,30,0) + (VLOOKUP(MasterTable[[#This Row],[TimeZone]], $O$3:$P$8, 2, FALSE) / 24)</f>
        <v>45990.573544791667</v>
      </c>
      <c r="I868" s="1" t="s">
        <v>1944</v>
      </c>
      <c r="J868" s="1">
        <v>454.04</v>
      </c>
      <c r="L868" s="13"/>
      <c r="M868" s="13"/>
    </row>
    <row r="869" spans="1:13" x14ac:dyDescent="0.25">
      <c r="A869" s="1" t="s">
        <v>89</v>
      </c>
      <c r="B869" s="1" t="s">
        <v>90</v>
      </c>
      <c r="C869" s="1" t="s">
        <v>418</v>
      </c>
      <c r="D869" s="1">
        <v>40.582799999999999</v>
      </c>
      <c r="E869" s="1">
        <v>-86.563500000000005</v>
      </c>
      <c r="F869" s="1" t="s">
        <v>1925</v>
      </c>
      <c r="G869" s="22">
        <v>1466.6979367289518</v>
      </c>
      <c r="H869" s="20">
        <f ca="1">NOW() - TIME(5,30,0) + (VLOOKUP(MasterTable[[#This Row],[TimeZone]], $O$3:$P$8, 2, FALSE) / 24)</f>
        <v>45990.573544791667</v>
      </c>
      <c r="I869" s="1" t="s">
        <v>1944</v>
      </c>
      <c r="J869" s="1">
        <v>638.80999999999995</v>
      </c>
      <c r="L869" s="13"/>
      <c r="M869" s="13"/>
    </row>
    <row r="870" spans="1:13" x14ac:dyDescent="0.25">
      <c r="A870" s="1" t="s">
        <v>89</v>
      </c>
      <c r="B870" s="1" t="s">
        <v>90</v>
      </c>
      <c r="C870" s="1" t="s">
        <v>72</v>
      </c>
      <c r="D870" s="1">
        <v>41.046999999999997</v>
      </c>
      <c r="E870" s="1">
        <v>-86.263499999999993</v>
      </c>
      <c r="F870" s="1" t="s">
        <v>1925</v>
      </c>
      <c r="G870" s="22">
        <v>1490.5441619957714</v>
      </c>
      <c r="H870" s="20">
        <f ca="1">NOW() - TIME(5,30,0) + (VLOOKUP(MasterTable[[#This Row],[TimeZone]], $O$3:$P$8, 2, FALSE) / 24)</f>
        <v>45990.573544791667</v>
      </c>
      <c r="I870" s="1" t="s">
        <v>1944</v>
      </c>
      <c r="J870" s="1">
        <v>620.30999999999995</v>
      </c>
      <c r="L870" s="13"/>
      <c r="M870" s="13"/>
    </row>
    <row r="871" spans="1:13" x14ac:dyDescent="0.25">
      <c r="A871" s="1" t="s">
        <v>89</v>
      </c>
      <c r="B871" s="1" t="s">
        <v>90</v>
      </c>
      <c r="C871" s="1" t="s">
        <v>1269</v>
      </c>
      <c r="D871" s="1">
        <v>40.437899999999999</v>
      </c>
      <c r="E871" s="1">
        <v>-85.005600000000001</v>
      </c>
      <c r="F871" s="1" t="s">
        <v>1925</v>
      </c>
      <c r="G871" s="22">
        <v>1543.4868026908532</v>
      </c>
      <c r="H871" s="20">
        <f ca="1">NOW() - TIME(5,30,0) + (VLOOKUP(MasterTable[[#This Row],[TimeZone]], $O$3:$P$8, 2, FALSE) / 24)</f>
        <v>45990.573544791667</v>
      </c>
      <c r="I871" s="1" t="s">
        <v>1944</v>
      </c>
      <c r="J871" s="1">
        <v>383.82</v>
      </c>
      <c r="L871" s="13"/>
      <c r="M871" s="13"/>
    </row>
    <row r="872" spans="1:13" x14ac:dyDescent="0.25">
      <c r="A872" s="1" t="s">
        <v>89</v>
      </c>
      <c r="B872" s="1" t="s">
        <v>90</v>
      </c>
      <c r="C872" s="1" t="s">
        <v>1281</v>
      </c>
      <c r="D872" s="1">
        <v>38.014099999999999</v>
      </c>
      <c r="E872" s="1">
        <v>-87.0077</v>
      </c>
      <c r="F872" s="1" t="s">
        <v>1922</v>
      </c>
      <c r="G872" s="22">
        <v>1405.3612805772059</v>
      </c>
      <c r="H872" s="20">
        <f ca="1">NOW() - TIME(5,30,0) + (VLOOKUP(MasterTable[[#This Row],[TimeZone]], $O$3:$P$8, 2, FALSE) / 24)</f>
        <v>45990.531878125003</v>
      </c>
      <c r="I872" s="1" t="s">
        <v>1944</v>
      </c>
      <c r="J872" s="1">
        <v>401.23</v>
      </c>
      <c r="L872" s="13"/>
      <c r="M872" s="13"/>
    </row>
    <row r="873" spans="1:13" x14ac:dyDescent="0.25">
      <c r="A873" s="1" t="s">
        <v>89</v>
      </c>
      <c r="B873" s="1" t="s">
        <v>90</v>
      </c>
      <c r="C873" s="1" t="s">
        <v>13</v>
      </c>
      <c r="D873" s="1">
        <v>38.541800000000002</v>
      </c>
      <c r="E873" s="1">
        <v>-86.495000000000005</v>
      </c>
      <c r="F873" s="1" t="s">
        <v>1925</v>
      </c>
      <c r="G873" s="22">
        <v>1438.9440523980008</v>
      </c>
      <c r="H873" s="20">
        <f ca="1">NOW() - TIME(5,30,0) + (VLOOKUP(MasterTable[[#This Row],[TimeZone]], $O$3:$P$8, 2, FALSE) / 24)</f>
        <v>45990.573544791667</v>
      </c>
      <c r="I873" s="1" t="s">
        <v>1944</v>
      </c>
      <c r="J873" s="1">
        <v>947.98</v>
      </c>
      <c r="L873" s="13"/>
      <c r="M873" s="18"/>
    </row>
    <row r="874" spans="1:13" x14ac:dyDescent="0.25">
      <c r="A874" s="1" t="s">
        <v>89</v>
      </c>
      <c r="B874" s="1" t="s">
        <v>90</v>
      </c>
      <c r="C874" s="1" t="s">
        <v>877</v>
      </c>
      <c r="D874" s="1">
        <v>38.079599999999999</v>
      </c>
      <c r="E874" s="1">
        <v>-86.638000000000005</v>
      </c>
      <c r="F874" s="1" t="s">
        <v>1922</v>
      </c>
      <c r="G874" s="22">
        <v>1425.9435221660822</v>
      </c>
      <c r="H874" s="20">
        <f ca="1">NOW() - TIME(5,30,0) + (VLOOKUP(MasterTable[[#This Row],[TimeZone]], $O$3:$P$8, 2, FALSE) / 24)</f>
        <v>45990.531878125003</v>
      </c>
      <c r="I874" s="1" t="s">
        <v>1944</v>
      </c>
      <c r="J874" s="1">
        <v>724.08</v>
      </c>
      <c r="L874" s="13"/>
      <c r="M874" s="18"/>
    </row>
    <row r="875" spans="1:13" x14ac:dyDescent="0.25">
      <c r="A875" s="1" t="s">
        <v>89</v>
      </c>
      <c r="B875" s="1" t="s">
        <v>90</v>
      </c>
      <c r="C875" s="1" t="s">
        <v>1356</v>
      </c>
      <c r="D875" s="1">
        <v>39.619999999999997</v>
      </c>
      <c r="E875" s="1">
        <v>-85.465800000000002</v>
      </c>
      <c r="F875" s="1" t="s">
        <v>1925</v>
      </c>
      <c r="G875" s="22">
        <v>1507.3903702834473</v>
      </c>
      <c r="H875" s="20">
        <f ca="1">NOW() - TIME(5,30,0) + (VLOOKUP(MasterTable[[#This Row],[TimeZone]], $O$3:$P$8, 2, FALSE) / 24)</f>
        <v>45990.573544791667</v>
      </c>
      <c r="I875" s="1" t="s">
        <v>1944</v>
      </c>
      <c r="J875" s="1">
        <v>408.62</v>
      </c>
      <c r="L875" s="13"/>
      <c r="M875" s="13"/>
    </row>
    <row r="876" spans="1:13" x14ac:dyDescent="0.25">
      <c r="A876" s="1" t="s">
        <v>89</v>
      </c>
      <c r="B876" s="1" t="s">
        <v>90</v>
      </c>
      <c r="C876" s="1" t="s">
        <v>1363</v>
      </c>
      <c r="D876" s="1">
        <v>40.120899999999999</v>
      </c>
      <c r="E876" s="1">
        <v>-87.242000000000004</v>
      </c>
      <c r="F876" s="1" t="s">
        <v>1925</v>
      </c>
      <c r="G876" s="22">
        <v>1423.8289948599629</v>
      </c>
      <c r="H876" s="20">
        <f ca="1">NOW() - TIME(5,30,0) + (VLOOKUP(MasterTable[[#This Row],[TimeZone]], $O$3:$P$8, 2, FALSE) / 24)</f>
        <v>45990.573544791667</v>
      </c>
      <c r="I876" s="1" t="s">
        <v>1944</v>
      </c>
      <c r="J876" s="1">
        <v>397.92</v>
      </c>
      <c r="L876" s="13"/>
      <c r="M876" s="13"/>
    </row>
    <row r="877" spans="1:13" x14ac:dyDescent="0.25">
      <c r="A877" s="1" t="s">
        <v>89</v>
      </c>
      <c r="B877" s="1" t="s">
        <v>90</v>
      </c>
      <c r="C877" s="1" t="s">
        <v>1369</v>
      </c>
      <c r="D877" s="1">
        <v>39.773600000000002</v>
      </c>
      <c r="E877" s="1">
        <v>-87.206400000000002</v>
      </c>
      <c r="F877" s="1" t="s">
        <v>1925</v>
      </c>
      <c r="G877" s="22">
        <v>1419.603409516887</v>
      </c>
      <c r="H877" s="20">
        <f ca="1">NOW() - TIME(5,30,0) + (VLOOKUP(MasterTable[[#This Row],[TimeZone]], $O$3:$P$8, 2, FALSE) / 24)</f>
        <v>45990.573544791667</v>
      </c>
      <c r="I877" s="1" t="s">
        <v>1944</v>
      </c>
      <c r="J877" s="1">
        <v>450.1</v>
      </c>
      <c r="L877" s="13"/>
      <c r="M877" s="13"/>
    </row>
    <row r="878" spans="1:13" x14ac:dyDescent="0.25">
      <c r="A878" s="1" t="s">
        <v>89</v>
      </c>
      <c r="B878" s="1" t="s">
        <v>90</v>
      </c>
      <c r="C878" s="1" t="s">
        <v>316</v>
      </c>
      <c r="D878" s="1">
        <v>39.196199999999997</v>
      </c>
      <c r="E878" s="1">
        <v>-86.227400000000003</v>
      </c>
      <c r="F878" s="1" t="s">
        <v>1925</v>
      </c>
      <c r="G878" s="22">
        <v>1461.6264538727905</v>
      </c>
      <c r="H878" s="20">
        <f ca="1">NOW() - TIME(5,30,0) + (VLOOKUP(MasterTable[[#This Row],[TimeZone]], $O$3:$P$8, 2, FALSE) / 24)</f>
        <v>45990.573544791667</v>
      </c>
      <c r="I878" s="1" t="s">
        <v>1944</v>
      </c>
      <c r="J878" s="1">
        <v>307.24</v>
      </c>
      <c r="L878" s="13"/>
      <c r="M878" s="13"/>
    </row>
    <row r="879" spans="1:13" x14ac:dyDescent="0.25">
      <c r="A879" s="1" t="s">
        <v>89</v>
      </c>
      <c r="B879" s="1" t="s">
        <v>90</v>
      </c>
      <c r="C879" s="1" t="s">
        <v>1389</v>
      </c>
      <c r="D879" s="1">
        <v>39.8538</v>
      </c>
      <c r="E879" s="1">
        <v>-87.463999999999999</v>
      </c>
      <c r="F879" s="1" t="s">
        <v>1925</v>
      </c>
      <c r="G879" s="22">
        <v>1407.73674997628</v>
      </c>
      <c r="H879" s="20">
        <f ca="1">NOW() - TIME(5,30,0) + (VLOOKUP(MasterTable[[#This Row],[TimeZone]], $O$3:$P$8, 2, FALSE) / 24)</f>
        <v>45990.573544791667</v>
      </c>
      <c r="I879" s="1" t="s">
        <v>1944</v>
      </c>
      <c r="J879" s="1">
        <v>259.94</v>
      </c>
      <c r="L879" s="13"/>
      <c r="M879" s="13"/>
    </row>
    <row r="880" spans="1:13" x14ac:dyDescent="0.25">
      <c r="A880" s="1" t="s">
        <v>89</v>
      </c>
      <c r="B880" s="1" t="s">
        <v>90</v>
      </c>
      <c r="C880" s="1" t="s">
        <v>770</v>
      </c>
      <c r="D880" s="1">
        <v>40.311300000000003</v>
      </c>
      <c r="E880" s="1">
        <v>-86.051900000000003</v>
      </c>
      <c r="F880" s="1" t="s">
        <v>1925</v>
      </c>
      <c r="G880" s="22">
        <v>1487.9098525413278</v>
      </c>
      <c r="H880" s="20">
        <f ca="1">NOW() - TIME(5,30,0) + (VLOOKUP(MasterTable[[#This Row],[TimeZone]], $O$3:$P$8, 2, FALSE) / 24)</f>
        <v>45990.573544791667</v>
      </c>
      <c r="I880" s="1" t="s">
        <v>1944</v>
      </c>
      <c r="J880" s="1">
        <v>260.41000000000003</v>
      </c>
      <c r="L880" s="13"/>
      <c r="M880" s="13"/>
    </row>
    <row r="881" spans="1:13" x14ac:dyDescent="0.25">
      <c r="A881" s="1" t="s">
        <v>89</v>
      </c>
      <c r="B881" s="1" t="s">
        <v>90</v>
      </c>
      <c r="C881" s="1" t="s">
        <v>539</v>
      </c>
      <c r="D881" s="1">
        <v>40.955800000000004</v>
      </c>
      <c r="E881" s="1">
        <v>-87.397599999999997</v>
      </c>
      <c r="F881" s="1" t="s">
        <v>1922</v>
      </c>
      <c r="G881" s="22">
        <v>1432.1077475931099</v>
      </c>
      <c r="H881" s="20">
        <f ca="1">NOW() - TIME(5,30,0) + (VLOOKUP(MasterTable[[#This Row],[TimeZone]], $O$3:$P$8, 2, FALSE) / 24)</f>
        <v>45990.531878125003</v>
      </c>
      <c r="I881" s="1" t="s">
        <v>1944</v>
      </c>
      <c r="J881" s="1">
        <v>823.18</v>
      </c>
      <c r="L881" s="13"/>
      <c r="M881" s="18"/>
    </row>
    <row r="882" spans="1:13" x14ac:dyDescent="0.25">
      <c r="A882" s="1" t="s">
        <v>89</v>
      </c>
      <c r="B882" s="1" t="s">
        <v>90</v>
      </c>
      <c r="C882" s="1" t="s">
        <v>241</v>
      </c>
      <c r="D882" s="1">
        <v>41.041899999999998</v>
      </c>
      <c r="E882" s="1">
        <v>-86.698800000000006</v>
      </c>
      <c r="F882" s="1" t="s">
        <v>1925</v>
      </c>
      <c r="G882" s="22">
        <v>1468.6914361583611</v>
      </c>
      <c r="H882" s="20">
        <f ca="1">NOW() - TIME(5,30,0) + (VLOOKUP(MasterTable[[#This Row],[TimeZone]], $O$3:$P$8, 2, FALSE) / 24)</f>
        <v>45990.573544791667</v>
      </c>
      <c r="I882" s="1" t="s">
        <v>1944</v>
      </c>
      <c r="J882" s="1">
        <v>807.84</v>
      </c>
      <c r="L882" s="13"/>
      <c r="M882" s="13"/>
    </row>
    <row r="883" spans="1:13" x14ac:dyDescent="0.25">
      <c r="A883" s="1" t="s">
        <v>89</v>
      </c>
      <c r="B883" s="1" t="s">
        <v>90</v>
      </c>
      <c r="C883" s="1" t="s">
        <v>783</v>
      </c>
      <c r="D883" s="1">
        <v>38.398800000000001</v>
      </c>
      <c r="E883" s="1">
        <v>-87.232200000000006</v>
      </c>
      <c r="F883" s="1" t="s">
        <v>1925</v>
      </c>
      <c r="G883" s="22">
        <v>1397.9355530875371</v>
      </c>
      <c r="H883" s="20">
        <f ca="1">NOW() - TIME(5,30,0) + (VLOOKUP(MasterTable[[#This Row],[TimeZone]], $O$3:$P$8, 2, FALSE) / 24)</f>
        <v>45990.573544791667</v>
      </c>
      <c r="I883" s="1" t="s">
        <v>1944</v>
      </c>
      <c r="J883" s="1">
        <v>672.1</v>
      </c>
      <c r="L883" s="13"/>
      <c r="M883" s="13"/>
    </row>
    <row r="884" spans="1:13" x14ac:dyDescent="0.25">
      <c r="A884" s="1" t="s">
        <v>89</v>
      </c>
      <c r="B884" s="1" t="s">
        <v>90</v>
      </c>
      <c r="C884" s="1" t="s">
        <v>1500</v>
      </c>
      <c r="D884" s="1">
        <v>40.473599999999998</v>
      </c>
      <c r="E884" s="1">
        <v>-85.3249</v>
      </c>
      <c r="F884" s="1" t="s">
        <v>1925</v>
      </c>
      <c r="G884" s="22">
        <v>1527.7450770768985</v>
      </c>
      <c r="H884" s="20">
        <f ca="1">NOW() - TIME(5,30,0) + (VLOOKUP(MasterTable[[#This Row],[TimeZone]], $O$3:$P$8, 2, FALSE) / 24)</f>
        <v>45990.573544791667</v>
      </c>
      <c r="I884" s="1" t="s">
        <v>1944</v>
      </c>
      <c r="J884" s="1">
        <v>165.4</v>
      </c>
      <c r="L884" s="13"/>
      <c r="M884" s="13"/>
    </row>
    <row r="885" spans="1:13" x14ac:dyDescent="0.25">
      <c r="A885" s="1" t="s">
        <v>89</v>
      </c>
      <c r="B885" s="1" t="s">
        <v>90</v>
      </c>
      <c r="C885" s="1" t="s">
        <v>655</v>
      </c>
      <c r="D885" s="1">
        <v>38.292400000000001</v>
      </c>
      <c r="E885" s="1">
        <v>-86.451700000000002</v>
      </c>
      <c r="F885" s="1" t="s">
        <v>1925</v>
      </c>
      <c r="G885" s="22">
        <v>1438.3075351342445</v>
      </c>
      <c r="H885" s="20">
        <f ca="1">NOW() - TIME(5,30,0) + (VLOOKUP(MasterTable[[#This Row],[TimeZone]], $O$3:$P$8, 2, FALSE) / 24)</f>
        <v>45990.573544791667</v>
      </c>
      <c r="I885" s="1" t="s">
        <v>1944</v>
      </c>
      <c r="J885" s="1">
        <v>604.20000000000005</v>
      </c>
      <c r="L885" s="13"/>
      <c r="M885" s="13"/>
    </row>
    <row r="886" spans="1:13" x14ac:dyDescent="0.25">
      <c r="A886" s="1" t="s">
        <v>89</v>
      </c>
      <c r="B886" s="1" t="s">
        <v>90</v>
      </c>
      <c r="C886" s="1" t="s">
        <v>1556</v>
      </c>
      <c r="D886" s="1">
        <v>38.8262</v>
      </c>
      <c r="E886" s="1">
        <v>-85.036900000000003</v>
      </c>
      <c r="F886" s="1" t="s">
        <v>1925</v>
      </c>
      <c r="G886" s="22">
        <v>1519.7916751610983</v>
      </c>
      <c r="H886" s="20">
        <f ca="1">NOW() - TIME(5,30,0) + (VLOOKUP(MasterTable[[#This Row],[TimeZone]], $O$3:$P$8, 2, FALSE) / 24)</f>
        <v>45990.573544791667</v>
      </c>
      <c r="I886" s="1" t="s">
        <v>1944</v>
      </c>
      <c r="J886" s="1">
        <v>223.52</v>
      </c>
      <c r="L886" s="13"/>
      <c r="M886" s="18"/>
    </row>
    <row r="887" spans="1:13" x14ac:dyDescent="0.25">
      <c r="A887" s="1" t="s">
        <v>89</v>
      </c>
      <c r="B887" s="1" t="s">
        <v>90</v>
      </c>
      <c r="C887" s="1" t="s">
        <v>452</v>
      </c>
      <c r="D887" s="1">
        <v>38.707999999999998</v>
      </c>
      <c r="E887" s="1">
        <v>-86.803100000000001</v>
      </c>
      <c r="F887" s="1" t="s">
        <v>1925</v>
      </c>
      <c r="G887" s="22">
        <v>1424.6977847696355</v>
      </c>
      <c r="H887" s="20">
        <f ca="1">NOW() - TIME(5,30,0) + (VLOOKUP(MasterTable[[#This Row],[TimeZone]], $O$3:$P$8, 2, FALSE) / 24)</f>
        <v>45990.573544791667</v>
      </c>
      <c r="I887" s="1" t="s">
        <v>1944</v>
      </c>
      <c r="J887" s="1">
        <v>752.79</v>
      </c>
      <c r="L887" s="13"/>
      <c r="M887" s="13"/>
    </row>
    <row r="888" spans="1:13" x14ac:dyDescent="0.25">
      <c r="A888" s="1" t="s">
        <v>89</v>
      </c>
      <c r="B888" s="1" t="s">
        <v>90</v>
      </c>
      <c r="C888" s="1" t="s">
        <v>298</v>
      </c>
      <c r="D888" s="1">
        <v>40.606299999999997</v>
      </c>
      <c r="E888" s="1">
        <v>-87.310900000000004</v>
      </c>
      <c r="F888" s="1" t="s">
        <v>1925</v>
      </c>
      <c r="G888" s="22">
        <v>1429.4320617622709</v>
      </c>
      <c r="H888" s="20">
        <f ca="1">NOW() - TIME(5,30,0) + (VLOOKUP(MasterTable[[#This Row],[TimeZone]], $O$3:$P$8, 2, FALSE) / 24)</f>
        <v>45990.573544791667</v>
      </c>
      <c r="I888" s="1" t="s">
        <v>1944</v>
      </c>
      <c r="J888" s="1">
        <v>880.24</v>
      </c>
      <c r="L888" s="13"/>
      <c r="M888" s="13"/>
    </row>
    <row r="889" spans="1:13" x14ac:dyDescent="0.25">
      <c r="A889" s="1" t="s">
        <v>89</v>
      </c>
      <c r="B889" s="1" t="s">
        <v>90</v>
      </c>
      <c r="C889" s="1" t="s">
        <v>331</v>
      </c>
      <c r="D889" s="1">
        <v>40.346899999999998</v>
      </c>
      <c r="E889" s="1">
        <v>-87.353300000000004</v>
      </c>
      <c r="F889" s="1" t="s">
        <v>1925</v>
      </c>
      <c r="G889" s="22">
        <v>1422.3235435699503</v>
      </c>
      <c r="H889" s="20">
        <f ca="1">NOW() - TIME(5,30,0) + (VLOOKUP(MasterTable[[#This Row],[TimeZone]], $O$3:$P$8, 2, FALSE) / 24)</f>
        <v>45990.573544791667</v>
      </c>
      <c r="I889" s="1" t="s">
        <v>1944</v>
      </c>
      <c r="J889" s="1">
        <v>286.74</v>
      </c>
      <c r="L889" s="13"/>
      <c r="M889" s="13"/>
    </row>
    <row r="890" spans="1:13" x14ac:dyDescent="0.25">
      <c r="A890" s="1" t="s">
        <v>89</v>
      </c>
      <c r="B890" s="1" t="s">
        <v>90</v>
      </c>
      <c r="C890" s="1" t="s">
        <v>177</v>
      </c>
      <c r="D890" s="1">
        <v>39.625599999999999</v>
      </c>
      <c r="E890" s="1">
        <v>-84.925200000000004</v>
      </c>
      <c r="F890" s="1" t="s">
        <v>1925</v>
      </c>
      <c r="G890" s="22">
        <v>1535.6538033017064</v>
      </c>
      <c r="H890" s="20">
        <f ca="1">NOW() - TIME(5,30,0) + (VLOOKUP(MasterTable[[#This Row],[TimeZone]], $O$3:$P$8, 2, FALSE) / 24)</f>
        <v>45990.573544791667</v>
      </c>
      <c r="I890" s="1" t="s">
        <v>1944</v>
      </c>
      <c r="J890" s="1">
        <v>1055.27</v>
      </c>
      <c r="L890" s="13"/>
      <c r="M890" s="13"/>
    </row>
    <row r="891" spans="1:13" x14ac:dyDescent="0.25">
      <c r="A891" s="1" t="s">
        <v>89</v>
      </c>
      <c r="B891" s="1" t="s">
        <v>90</v>
      </c>
      <c r="C891" s="1" t="s">
        <v>52</v>
      </c>
      <c r="D891" s="1">
        <v>38.950099999999999</v>
      </c>
      <c r="E891" s="1">
        <v>-84.965199999999996</v>
      </c>
      <c r="F891" s="1" t="s">
        <v>1925</v>
      </c>
      <c r="G891" s="22">
        <v>1525.0233493575299</v>
      </c>
      <c r="H891" s="20">
        <f ca="1">NOW() - TIME(5,30,0) + (VLOOKUP(MasterTable[[#This Row],[TimeZone]], $O$3:$P$8, 2, FALSE) / 24)</f>
        <v>45990.573544791667</v>
      </c>
      <c r="I891" s="1" t="s">
        <v>1944</v>
      </c>
      <c r="J891" s="1">
        <v>87.47</v>
      </c>
      <c r="L891" s="13"/>
      <c r="M891" s="13"/>
    </row>
    <row r="892" spans="1:13" x14ac:dyDescent="0.25">
      <c r="A892" s="1" t="s">
        <v>166</v>
      </c>
      <c r="B892" s="1" t="s">
        <v>167</v>
      </c>
      <c r="C892" s="1" t="s">
        <v>165</v>
      </c>
      <c r="D892" s="1">
        <v>38.883800000000001</v>
      </c>
      <c r="E892" s="1">
        <v>-94.822299999999998</v>
      </c>
      <c r="F892" s="1" t="s">
        <v>1922</v>
      </c>
      <c r="G892" s="22">
        <v>1013.5779466381661</v>
      </c>
      <c r="H892" s="20">
        <f ca="1">NOW() - TIME(5,30,0) + (VLOOKUP(MasterTable[[#This Row],[TimeZone]], $O$3:$P$8, 2, FALSE) / 24)</f>
        <v>45990.531878125003</v>
      </c>
      <c r="I892" s="1" t="s">
        <v>1944</v>
      </c>
      <c r="J892" s="1">
        <v>682.74</v>
      </c>
    </row>
    <row r="893" spans="1:13" x14ac:dyDescent="0.25">
      <c r="A893" s="1" t="s">
        <v>166</v>
      </c>
      <c r="B893" s="1" t="s">
        <v>167</v>
      </c>
      <c r="C893" s="1" t="s">
        <v>192</v>
      </c>
      <c r="D893" s="1">
        <v>37.684800000000003</v>
      </c>
      <c r="E893" s="1">
        <v>-97.460999999999999</v>
      </c>
      <c r="F893" s="1" t="s">
        <v>1922</v>
      </c>
      <c r="G893" s="22">
        <v>849.75814987755712</v>
      </c>
      <c r="H893" s="20">
        <f ca="1">NOW() - TIME(5,30,0) + (VLOOKUP(MasterTable[[#This Row],[TimeZone]], $O$3:$P$8, 2, FALSE) / 24)</f>
        <v>45990.531878125003</v>
      </c>
      <c r="I893" s="1" t="s">
        <v>1944</v>
      </c>
      <c r="J893" s="1">
        <v>549.6</v>
      </c>
    </row>
    <row r="894" spans="1:13" x14ac:dyDescent="0.25">
      <c r="A894" s="1" t="s">
        <v>166</v>
      </c>
      <c r="B894" s="1" t="s">
        <v>167</v>
      </c>
      <c r="C894" s="1" t="s">
        <v>410</v>
      </c>
      <c r="D894" s="1">
        <v>39.041499999999999</v>
      </c>
      <c r="E894" s="1">
        <v>-95.756500000000003</v>
      </c>
      <c r="F894" s="1" t="s">
        <v>1922</v>
      </c>
      <c r="G894" s="22">
        <v>971.7388589562778</v>
      </c>
      <c r="H894" s="20">
        <f ca="1">NOW() - TIME(5,30,0) + (VLOOKUP(MasterTable[[#This Row],[TimeZone]], $O$3:$P$8, 2, FALSE) / 24)</f>
        <v>45990.531878125003</v>
      </c>
      <c r="I894" s="1" t="s">
        <v>1944</v>
      </c>
      <c r="J894" s="1">
        <v>556.32000000000005</v>
      </c>
    </row>
    <row r="895" spans="1:13" x14ac:dyDescent="0.25">
      <c r="A895" s="1" t="s">
        <v>166</v>
      </c>
      <c r="B895" s="1" t="s">
        <v>167</v>
      </c>
      <c r="C895" s="1" t="s">
        <v>437</v>
      </c>
      <c r="D895" s="1">
        <v>39.114600000000003</v>
      </c>
      <c r="E895" s="1">
        <v>-94.764600000000002</v>
      </c>
      <c r="F895" s="1" t="s">
        <v>1922</v>
      </c>
      <c r="G895" s="22">
        <v>1022.5273901920699</v>
      </c>
      <c r="H895" s="20">
        <f ca="1">NOW() - TIME(5,30,0) + (VLOOKUP(MasterTable[[#This Row],[TimeZone]], $O$3:$P$8, 2, FALSE) / 24)</f>
        <v>45990.531878125003</v>
      </c>
      <c r="I895" s="1" t="s">
        <v>1944</v>
      </c>
      <c r="J895" s="1">
        <v>155.69</v>
      </c>
    </row>
    <row r="896" spans="1:13" x14ac:dyDescent="0.25">
      <c r="A896" s="1" t="s">
        <v>166</v>
      </c>
      <c r="B896" s="1" t="s">
        <v>167</v>
      </c>
      <c r="C896" s="1" t="s">
        <v>170</v>
      </c>
      <c r="D896" s="1">
        <v>38.884700000000002</v>
      </c>
      <c r="E896" s="1">
        <v>-95.292599999999993</v>
      </c>
      <c r="F896" s="1" t="s">
        <v>1922</v>
      </c>
      <c r="G896" s="22">
        <v>990.23052612625725</v>
      </c>
      <c r="H896" s="20">
        <f ca="1">NOW() - TIME(5,30,0) + (VLOOKUP(MasterTable[[#This Row],[TimeZone]], $O$3:$P$8, 2, FALSE) / 24)</f>
        <v>45990.531878125003</v>
      </c>
      <c r="I896" s="1" t="s">
        <v>1944</v>
      </c>
      <c r="J896" s="1">
        <v>842.75</v>
      </c>
      <c r="K896" s="12"/>
      <c r="L896" s="12"/>
    </row>
    <row r="897" spans="1:12" x14ac:dyDescent="0.25">
      <c r="A897" s="1" t="s">
        <v>166</v>
      </c>
      <c r="B897" s="1" t="s">
        <v>167</v>
      </c>
      <c r="C897" s="1" t="s">
        <v>659</v>
      </c>
      <c r="D897" s="1">
        <v>39.199300000000001</v>
      </c>
      <c r="E897" s="1">
        <v>-95.037999999999997</v>
      </c>
      <c r="F897" s="1" t="s">
        <v>1922</v>
      </c>
      <c r="G897" s="22">
        <v>1011.3646918133226</v>
      </c>
      <c r="H897" s="20">
        <f ca="1">NOW() - TIME(5,30,0) + (VLOOKUP(MasterTable[[#This Row],[TimeZone]], $O$3:$P$8, 2, FALSE) / 24)</f>
        <v>45990.531878125003</v>
      </c>
      <c r="I897" s="1" t="s">
        <v>1944</v>
      </c>
      <c r="J897" s="1">
        <v>468.33</v>
      </c>
      <c r="K897" s="13"/>
      <c r="L897" s="13"/>
    </row>
    <row r="898" spans="1:12" x14ac:dyDescent="0.25">
      <c r="A898" s="1" t="s">
        <v>166</v>
      </c>
      <c r="B898" s="1" t="s">
        <v>167</v>
      </c>
      <c r="C898" s="1" t="s">
        <v>706</v>
      </c>
      <c r="D898" s="1">
        <v>39.296599999999998</v>
      </c>
      <c r="E898" s="1">
        <v>-96.735200000000006</v>
      </c>
      <c r="F898" s="1" t="s">
        <v>1922</v>
      </c>
      <c r="G898" s="22">
        <v>932.1980891091788</v>
      </c>
      <c r="H898" s="20">
        <f ca="1">NOW() - TIME(5,30,0) + (VLOOKUP(MasterTable[[#This Row],[TimeZone]], $O$3:$P$8, 2, FALSE) / 24)</f>
        <v>45990.531878125003</v>
      </c>
      <c r="I898" s="1" t="s">
        <v>1944</v>
      </c>
      <c r="J898" s="1">
        <v>622.11</v>
      </c>
      <c r="K898" s="13"/>
      <c r="L898" s="13"/>
    </row>
    <row r="899" spans="1:12" x14ac:dyDescent="0.25">
      <c r="A899" s="1" t="s">
        <v>166</v>
      </c>
      <c r="B899" s="1" t="s">
        <v>167</v>
      </c>
      <c r="C899" s="1" t="s">
        <v>245</v>
      </c>
      <c r="D899" s="1">
        <v>37.781300000000002</v>
      </c>
      <c r="E899" s="1">
        <v>-96.839100000000002</v>
      </c>
      <c r="F899" s="1" t="s">
        <v>1922</v>
      </c>
      <c r="G899" s="22">
        <v>883.77278234561823</v>
      </c>
      <c r="H899" s="20">
        <f ca="1">NOW() - TIME(5,30,0) + (VLOOKUP(MasterTable[[#This Row],[TimeZone]], $O$3:$P$8, 2, FALSE) / 24)</f>
        <v>45990.531878125003</v>
      </c>
      <c r="I899" s="1" t="s">
        <v>1944</v>
      </c>
      <c r="J899" s="1">
        <v>777.92</v>
      </c>
      <c r="K899" s="13"/>
      <c r="L899" s="13"/>
    </row>
    <row r="900" spans="1:12" x14ac:dyDescent="0.25">
      <c r="A900" s="1" t="s">
        <v>166</v>
      </c>
      <c r="B900" s="1" t="s">
        <v>167</v>
      </c>
      <c r="C900" s="1" t="s">
        <v>767</v>
      </c>
      <c r="D900" s="1">
        <v>37.953000000000003</v>
      </c>
      <c r="E900" s="1">
        <v>-98.085999999999999</v>
      </c>
      <c r="F900" s="1" t="s">
        <v>1922</v>
      </c>
      <c r="G900" s="22">
        <v>825.89644136871721</v>
      </c>
      <c r="H900" s="20">
        <f ca="1">NOW() - TIME(5,30,0) + (VLOOKUP(MasterTable[[#This Row],[TimeZone]], $O$3:$P$8, 2, FALSE) / 24)</f>
        <v>45990.531878125003</v>
      </c>
      <c r="I900" s="1" t="s">
        <v>1944</v>
      </c>
      <c r="J900" s="1">
        <v>1271.25</v>
      </c>
      <c r="K900" s="13"/>
      <c r="L900" s="13"/>
    </row>
    <row r="901" spans="1:12" x14ac:dyDescent="0.25">
      <c r="A901" s="1" t="s">
        <v>166</v>
      </c>
      <c r="B901" s="1" t="s">
        <v>167</v>
      </c>
      <c r="C901" s="1" t="s">
        <v>517</v>
      </c>
      <c r="D901" s="1">
        <v>38.783799999999999</v>
      </c>
      <c r="E901" s="1">
        <v>-97.65</v>
      </c>
      <c r="F901" s="1" t="s">
        <v>1922</v>
      </c>
      <c r="G901" s="22">
        <v>872.32585381149863</v>
      </c>
      <c r="H901" s="20">
        <f ca="1">NOW() - TIME(5,30,0) + (VLOOKUP(MasterTable[[#This Row],[TimeZone]], $O$3:$P$8, 2, FALSE) / 24)</f>
        <v>45990.531878125003</v>
      </c>
      <c r="I901" s="1" t="s">
        <v>1944</v>
      </c>
      <c r="J901" s="1">
        <v>730.46</v>
      </c>
      <c r="K901" s="13"/>
      <c r="L901" s="13"/>
    </row>
    <row r="902" spans="1:12" x14ac:dyDescent="0.25">
      <c r="A902" s="1" t="s">
        <v>166</v>
      </c>
      <c r="B902" s="1" t="s">
        <v>167</v>
      </c>
      <c r="C902" s="1" t="s">
        <v>655</v>
      </c>
      <c r="D902" s="1">
        <v>37.507300000000001</v>
      </c>
      <c r="E902" s="1">
        <v>-94.851799999999997</v>
      </c>
      <c r="F902" s="1" t="s">
        <v>1922</v>
      </c>
      <c r="G902" s="22">
        <v>980.16251971887664</v>
      </c>
      <c r="H902" s="20">
        <f ca="1">NOW() - TIME(5,30,0) + (VLOOKUP(MasterTable[[#This Row],[TimeZone]], $O$3:$P$8, 2, FALSE) / 24)</f>
        <v>45990.531878125003</v>
      </c>
      <c r="I902" s="1" t="s">
        <v>1944</v>
      </c>
      <c r="J902" s="1">
        <v>604.20000000000005</v>
      </c>
      <c r="K902" s="13"/>
      <c r="L902" s="13"/>
    </row>
    <row r="903" spans="1:12" x14ac:dyDescent="0.25">
      <c r="A903" s="1" t="s">
        <v>166</v>
      </c>
      <c r="B903" s="1" t="s">
        <v>167</v>
      </c>
      <c r="C903" s="1" t="s">
        <v>976</v>
      </c>
      <c r="D903" s="1">
        <v>38.0443</v>
      </c>
      <c r="E903" s="1">
        <v>-100.73699999999999</v>
      </c>
      <c r="F903" s="1" t="s">
        <v>1922</v>
      </c>
      <c r="G903" s="22">
        <v>701.7227928842741</v>
      </c>
      <c r="H903" s="20">
        <f ca="1">NOW() - TIME(5,30,0) + (VLOOKUP(MasterTable[[#This Row],[TimeZone]], $O$3:$P$8, 2, FALSE) / 24)</f>
        <v>45990.531878125003</v>
      </c>
      <c r="I903" s="1" t="s">
        <v>1944</v>
      </c>
      <c r="J903" s="1">
        <v>1302.6199999999999</v>
      </c>
      <c r="K903" s="13"/>
      <c r="L903" s="13"/>
    </row>
    <row r="904" spans="1:12" x14ac:dyDescent="0.25">
      <c r="A904" s="1" t="s">
        <v>166</v>
      </c>
      <c r="B904" s="1" t="s">
        <v>167</v>
      </c>
      <c r="C904" s="1" t="s">
        <v>1010</v>
      </c>
      <c r="D904" s="1">
        <v>39.002400000000002</v>
      </c>
      <c r="E904" s="1">
        <v>-96.752499999999998</v>
      </c>
      <c r="F904" s="1" t="s">
        <v>1922</v>
      </c>
      <c r="G904" s="22">
        <v>922.23037214591602</v>
      </c>
      <c r="H904" s="20">
        <f ca="1">NOW() - TIME(5,30,0) + (VLOOKUP(MasterTable[[#This Row],[TimeZone]], $O$3:$P$8, 2, FALSE) / 24)</f>
        <v>45990.531878125003</v>
      </c>
      <c r="I904" s="1" t="s">
        <v>1944</v>
      </c>
      <c r="J904" s="1">
        <v>404.39</v>
      </c>
      <c r="K904" s="13"/>
      <c r="L904" s="13"/>
    </row>
    <row r="905" spans="1:12" x14ac:dyDescent="0.25">
      <c r="A905" s="1" t="s">
        <v>166</v>
      </c>
      <c r="B905" s="1" t="s">
        <v>167</v>
      </c>
      <c r="C905" s="1" t="s">
        <v>555</v>
      </c>
      <c r="D905" s="1">
        <v>38.563499999999998</v>
      </c>
      <c r="E905" s="1">
        <v>-94.838099999999997</v>
      </c>
      <c r="F905" s="1" t="s">
        <v>1922</v>
      </c>
      <c r="G905" s="22">
        <v>1004.6672567049117</v>
      </c>
      <c r="H905" s="20">
        <f ca="1">NOW() - TIME(5,30,0) + (VLOOKUP(MasterTable[[#This Row],[TimeZone]], $O$3:$P$8, 2, FALSE) / 24)</f>
        <v>45990.531878125003</v>
      </c>
      <c r="I905" s="1" t="s">
        <v>1944</v>
      </c>
      <c r="J905" s="1">
        <v>377.36</v>
      </c>
      <c r="K905" s="13"/>
      <c r="L905" s="13"/>
    </row>
    <row r="906" spans="1:12" x14ac:dyDescent="0.25">
      <c r="A906" s="1" t="s">
        <v>166</v>
      </c>
      <c r="B906" s="1" t="s">
        <v>167</v>
      </c>
      <c r="C906" s="1" t="s">
        <v>1021</v>
      </c>
      <c r="D906" s="1">
        <v>37.237699999999997</v>
      </c>
      <c r="E906" s="1">
        <v>-96.837500000000006</v>
      </c>
      <c r="F906" s="1" t="s">
        <v>1922</v>
      </c>
      <c r="G906" s="22">
        <v>870.75247794383347</v>
      </c>
      <c r="H906" s="20">
        <f ca="1">NOW() - TIME(5,30,0) + (VLOOKUP(MasterTable[[#This Row],[TimeZone]], $O$3:$P$8, 2, FALSE) / 24)</f>
        <v>45990.531878125003</v>
      </c>
      <c r="I906" s="1" t="s">
        <v>1944</v>
      </c>
      <c r="J906" s="1">
        <v>1132.5999999999999</v>
      </c>
      <c r="K906" s="13"/>
      <c r="L906" s="13"/>
    </row>
    <row r="907" spans="1:12" x14ac:dyDescent="0.25">
      <c r="A907" s="1" t="s">
        <v>166</v>
      </c>
      <c r="B907" s="1" t="s">
        <v>167</v>
      </c>
      <c r="C907" s="1" t="s">
        <v>1026</v>
      </c>
      <c r="D907" s="1">
        <v>37.691699999999997</v>
      </c>
      <c r="E907" s="1">
        <v>-99.888000000000005</v>
      </c>
      <c r="F907" s="1" t="s">
        <v>1922</v>
      </c>
      <c r="G907" s="22">
        <v>729.73146002467956</v>
      </c>
      <c r="H907" s="20">
        <f ca="1">NOW() - TIME(5,30,0) + (VLOOKUP(MasterTable[[#This Row],[TimeZone]], $O$3:$P$8, 2, FALSE) / 24)</f>
        <v>45990.531878125003</v>
      </c>
      <c r="I907" s="1" t="s">
        <v>1944</v>
      </c>
      <c r="J907" s="1">
        <v>486.42</v>
      </c>
      <c r="K907" s="13"/>
      <c r="L907" s="13"/>
    </row>
    <row r="908" spans="1:12" x14ac:dyDescent="0.25">
      <c r="A908" s="1" t="s">
        <v>166</v>
      </c>
      <c r="B908" s="1" t="s">
        <v>167</v>
      </c>
      <c r="C908" s="1" t="s">
        <v>1031</v>
      </c>
      <c r="D908" s="1">
        <v>38.043199999999999</v>
      </c>
      <c r="E908" s="1">
        <v>-97.427199999999999</v>
      </c>
      <c r="F908" s="1" t="s">
        <v>1922</v>
      </c>
      <c r="G908" s="22">
        <v>861.15768688197943</v>
      </c>
      <c r="H908" s="20">
        <f ca="1">NOW() - TIME(5,30,0) + (VLOOKUP(MasterTable[[#This Row],[TimeZone]], $O$3:$P$8, 2, FALSE) / 24)</f>
        <v>45990.531878125003</v>
      </c>
      <c r="I908" s="1" t="s">
        <v>1944</v>
      </c>
      <c r="J908" s="1">
        <v>540.5</v>
      </c>
      <c r="K908" s="13"/>
      <c r="L908" s="13"/>
    </row>
    <row r="909" spans="1:12" x14ac:dyDescent="0.25">
      <c r="A909" s="1" t="s">
        <v>166</v>
      </c>
      <c r="B909" s="1" t="s">
        <v>167</v>
      </c>
      <c r="C909" s="1" t="s">
        <v>773</v>
      </c>
      <c r="D909" s="1">
        <v>38.456200000000003</v>
      </c>
      <c r="E909" s="1">
        <v>-96.152600000000007</v>
      </c>
      <c r="F909" s="1" t="s">
        <v>1922</v>
      </c>
      <c r="G909" s="22">
        <v>935.96749497088183</v>
      </c>
      <c r="H909" s="20">
        <f ca="1">NOW() - TIME(5,30,0) + (VLOOKUP(MasterTable[[#This Row],[TimeZone]], $O$3:$P$8, 2, FALSE) / 24)</f>
        <v>45990.531878125003</v>
      </c>
      <c r="I909" s="1" t="s">
        <v>1944</v>
      </c>
      <c r="J909" s="1">
        <v>587.63</v>
      </c>
      <c r="K909" s="13"/>
      <c r="L909" s="13"/>
    </row>
    <row r="910" spans="1:12" x14ac:dyDescent="0.25">
      <c r="A910" s="1" t="s">
        <v>166</v>
      </c>
      <c r="B910" s="1" t="s">
        <v>167</v>
      </c>
      <c r="C910" s="1" t="s">
        <v>75</v>
      </c>
      <c r="D910" s="1">
        <v>37.192500000000003</v>
      </c>
      <c r="E910" s="1">
        <v>-95.742900000000006</v>
      </c>
      <c r="F910" s="1" t="s">
        <v>1922</v>
      </c>
      <c r="G910" s="22">
        <v>926.97605464491835</v>
      </c>
      <c r="H910" s="20">
        <f ca="1">NOW() - TIME(5,30,0) + (VLOOKUP(MasterTable[[#This Row],[TimeZone]], $O$3:$P$8, 2, FALSE) / 24)</f>
        <v>45990.531878125003</v>
      </c>
      <c r="I910" s="1" t="s">
        <v>1944</v>
      </c>
      <c r="J910" s="1">
        <v>799.76</v>
      </c>
      <c r="K910" s="13"/>
      <c r="L910" s="13"/>
    </row>
    <row r="911" spans="1:12" x14ac:dyDescent="0.25">
      <c r="A911" s="1" t="s">
        <v>166</v>
      </c>
      <c r="B911" s="1" t="s">
        <v>167</v>
      </c>
      <c r="C911" s="1" t="s">
        <v>1077</v>
      </c>
      <c r="D911" s="1">
        <v>38.3917</v>
      </c>
      <c r="E911" s="1">
        <v>-97.647999999999996</v>
      </c>
      <c r="F911" s="1" t="s">
        <v>1922</v>
      </c>
      <c r="G911" s="22">
        <v>860.34453364885724</v>
      </c>
      <c r="H911" s="20">
        <f ca="1">NOW() - TIME(5,30,0) + (VLOOKUP(MasterTable[[#This Row],[TimeZone]], $O$3:$P$8, 2, FALSE) / 24)</f>
        <v>45990.531878125003</v>
      </c>
      <c r="I911" s="1" t="s">
        <v>1944</v>
      </c>
      <c r="J911" s="1">
        <v>901.24</v>
      </c>
      <c r="K911" s="13"/>
      <c r="L911" s="13"/>
    </row>
    <row r="912" spans="1:12" x14ac:dyDescent="0.25">
      <c r="A912" s="1" t="s">
        <v>166</v>
      </c>
      <c r="B912" s="1" t="s">
        <v>167</v>
      </c>
      <c r="C912" s="1" t="s">
        <v>373</v>
      </c>
      <c r="D912" s="1">
        <v>38.914700000000003</v>
      </c>
      <c r="E912" s="1">
        <v>-99.317300000000003</v>
      </c>
      <c r="F912" s="1" t="s">
        <v>1922</v>
      </c>
      <c r="G912" s="22">
        <v>798.6961516014311</v>
      </c>
      <c r="H912" s="20">
        <f ca="1">NOW() - TIME(5,30,0) + (VLOOKUP(MasterTable[[#This Row],[TimeZone]], $O$3:$P$8, 2, FALSE) / 24)</f>
        <v>45990.531878125003</v>
      </c>
      <c r="I912" s="1" t="s">
        <v>1944</v>
      </c>
      <c r="J912" s="1">
        <v>900.47</v>
      </c>
      <c r="K912" s="13"/>
      <c r="L912" s="13"/>
    </row>
    <row r="913" spans="1:12" x14ac:dyDescent="0.25">
      <c r="A913" s="1" t="s">
        <v>166</v>
      </c>
      <c r="B913" s="1" t="s">
        <v>167</v>
      </c>
      <c r="C913" s="1" t="s">
        <v>50</v>
      </c>
      <c r="D913" s="1">
        <v>38.564500000000002</v>
      </c>
      <c r="E913" s="1">
        <v>-95.285899999999998</v>
      </c>
      <c r="F913" s="1" t="s">
        <v>1922</v>
      </c>
      <c r="G913" s="22">
        <v>982.15866661698908</v>
      </c>
      <c r="H913" s="20">
        <f ca="1">NOW() - TIME(5,30,0) + (VLOOKUP(MasterTable[[#This Row],[TimeZone]], $O$3:$P$8, 2, FALSE) / 24)</f>
        <v>45990.531878125003</v>
      </c>
      <c r="I913" s="1" t="s">
        <v>1944</v>
      </c>
      <c r="J913" s="1">
        <v>646.51</v>
      </c>
      <c r="K913" s="13"/>
      <c r="L913" s="13"/>
    </row>
    <row r="914" spans="1:12" x14ac:dyDescent="0.25">
      <c r="A914" s="1" t="s">
        <v>166</v>
      </c>
      <c r="B914" s="1" t="s">
        <v>167</v>
      </c>
      <c r="C914" s="1" t="s">
        <v>701</v>
      </c>
      <c r="D914" s="1">
        <v>39.378999999999998</v>
      </c>
      <c r="E914" s="1">
        <v>-96.342399999999998</v>
      </c>
      <c r="F914" s="1" t="s">
        <v>1922</v>
      </c>
      <c r="G914" s="22">
        <v>953.48750308026592</v>
      </c>
      <c r="H914" s="20">
        <f ca="1">NOW() - TIME(5,30,0) + (VLOOKUP(MasterTable[[#This Row],[TimeZone]], $O$3:$P$8, 2, FALSE) / 24)</f>
        <v>45990.531878125003</v>
      </c>
      <c r="I914" s="1" t="s">
        <v>1944</v>
      </c>
      <c r="J914" s="1">
        <v>862.07</v>
      </c>
      <c r="K914" s="13"/>
      <c r="L914" s="13"/>
    </row>
    <row r="915" spans="1:12" x14ac:dyDescent="0.25">
      <c r="A915" s="1" t="s">
        <v>166</v>
      </c>
      <c r="B915" s="1" t="s">
        <v>167</v>
      </c>
      <c r="C915" s="1" t="s">
        <v>1161</v>
      </c>
      <c r="D915" s="1">
        <v>38.478999999999999</v>
      </c>
      <c r="E915" s="1">
        <v>-98.756500000000003</v>
      </c>
      <c r="F915" s="1" t="s">
        <v>1922</v>
      </c>
      <c r="G915" s="22">
        <v>809.69017466628191</v>
      </c>
      <c r="H915" s="20">
        <f ca="1">NOW() - TIME(5,30,0) + (VLOOKUP(MasterTable[[#This Row],[TimeZone]], $O$3:$P$8, 2, FALSE) / 24)</f>
        <v>45990.531878125003</v>
      </c>
      <c r="I915" s="1" t="s">
        <v>1944</v>
      </c>
      <c r="J915" s="1">
        <v>900.46</v>
      </c>
      <c r="K915" s="13"/>
      <c r="L915" s="13"/>
    </row>
    <row r="916" spans="1:12" x14ac:dyDescent="0.25">
      <c r="A916" s="1" t="s">
        <v>166</v>
      </c>
      <c r="B916" s="1" t="s">
        <v>167</v>
      </c>
      <c r="C916" s="1" t="s">
        <v>380</v>
      </c>
      <c r="D916" s="1">
        <v>37.237299999999998</v>
      </c>
      <c r="E916" s="1">
        <v>-97.476500000000001</v>
      </c>
      <c r="F916" s="1" t="s">
        <v>1922</v>
      </c>
      <c r="G916" s="22">
        <v>837.68224757431403</v>
      </c>
      <c r="H916" s="20">
        <f ca="1">NOW() - TIME(5,30,0) + (VLOOKUP(MasterTable[[#This Row],[TimeZone]], $O$3:$P$8, 2, FALSE) / 24)</f>
        <v>45990.531878125003</v>
      </c>
      <c r="I916" s="1" t="s">
        <v>1944</v>
      </c>
      <c r="J916" s="1">
        <v>1184.78</v>
      </c>
      <c r="K916" s="13"/>
      <c r="L916" s="13"/>
    </row>
    <row r="917" spans="1:12" x14ac:dyDescent="0.25">
      <c r="A917" s="1" t="s">
        <v>166</v>
      </c>
      <c r="B917" s="1" t="s">
        <v>167</v>
      </c>
      <c r="C917" s="1" t="s">
        <v>1237</v>
      </c>
      <c r="D917" s="1">
        <v>37.193300000000001</v>
      </c>
      <c r="E917" s="1">
        <v>-100.85129999999999</v>
      </c>
      <c r="F917" s="1" t="s">
        <v>1922</v>
      </c>
      <c r="G917" s="22">
        <v>666.90582882585068</v>
      </c>
      <c r="H917" s="20">
        <f ca="1">NOW() - TIME(5,30,0) + (VLOOKUP(MasterTable[[#This Row],[TimeZone]], $O$3:$P$8, 2, FALSE) / 24)</f>
        <v>45990.531878125003</v>
      </c>
      <c r="I917" s="1" t="s">
        <v>1944</v>
      </c>
      <c r="J917" s="1">
        <v>640.51</v>
      </c>
      <c r="K917" s="13"/>
      <c r="L917" s="13"/>
    </row>
    <row r="918" spans="1:12" x14ac:dyDescent="0.25">
      <c r="A918" s="1" t="s">
        <v>166</v>
      </c>
      <c r="B918" s="1" t="s">
        <v>167</v>
      </c>
      <c r="C918" s="1" t="s">
        <v>1277</v>
      </c>
      <c r="D918" s="1">
        <v>37.191299999999998</v>
      </c>
      <c r="E918" s="1">
        <v>-95.297600000000003</v>
      </c>
      <c r="F918" s="1" t="s">
        <v>1922</v>
      </c>
      <c r="G918" s="22">
        <v>950.40492992396003</v>
      </c>
      <c r="H918" s="20">
        <f ca="1">NOW() - TIME(5,30,0) + (VLOOKUP(MasterTable[[#This Row],[TimeZone]], $O$3:$P$8, 2, FALSE) / 24)</f>
        <v>45990.531878125003</v>
      </c>
      <c r="I918" s="1" t="s">
        <v>1944</v>
      </c>
      <c r="J918" s="1">
        <v>653.29999999999995</v>
      </c>
      <c r="K918" s="13"/>
      <c r="L918" s="13"/>
    </row>
    <row r="919" spans="1:12" x14ac:dyDescent="0.25">
      <c r="A919" s="1" t="s">
        <v>166</v>
      </c>
      <c r="B919" s="1" t="s">
        <v>167</v>
      </c>
      <c r="C919" s="1" t="s">
        <v>313</v>
      </c>
      <c r="D919" s="1">
        <v>37.1693</v>
      </c>
      <c r="E919" s="1">
        <v>-94.846299999999999</v>
      </c>
      <c r="F919" s="1" t="s">
        <v>1922</v>
      </c>
      <c r="G919" s="22">
        <v>973.84457082549113</v>
      </c>
      <c r="H919" s="20">
        <f ca="1">NOW() - TIME(5,30,0) + (VLOOKUP(MasterTable[[#This Row],[TimeZone]], $O$3:$P$8, 2, FALSE) / 24)</f>
        <v>45990.531878125003</v>
      </c>
      <c r="I919" s="1" t="s">
        <v>1944</v>
      </c>
      <c r="J919" s="1">
        <v>599.95000000000005</v>
      </c>
      <c r="K919" s="13"/>
      <c r="L919" s="13"/>
    </row>
    <row r="920" spans="1:12" x14ac:dyDescent="0.25">
      <c r="A920" s="1" t="s">
        <v>166</v>
      </c>
      <c r="B920" s="1" t="s">
        <v>167</v>
      </c>
      <c r="C920" s="1" t="s">
        <v>1145</v>
      </c>
      <c r="D920" s="1">
        <v>38.866500000000002</v>
      </c>
      <c r="E920" s="1">
        <v>-97.152699999999996</v>
      </c>
      <c r="F920" s="1" t="s">
        <v>1922</v>
      </c>
      <c r="G920" s="22">
        <v>898.78706956155361</v>
      </c>
      <c r="H920" s="20">
        <f ca="1">NOW() - TIME(5,30,0) + (VLOOKUP(MasterTable[[#This Row],[TimeZone]], $O$3:$P$8, 2, FALSE) / 24)</f>
        <v>45990.531878125003</v>
      </c>
      <c r="I920" s="1" t="s">
        <v>1944</v>
      </c>
      <c r="J920" s="1">
        <v>403.69</v>
      </c>
      <c r="K920" s="13"/>
      <c r="L920" s="13"/>
    </row>
    <row r="921" spans="1:12" x14ac:dyDescent="0.25">
      <c r="A921" s="1" t="s">
        <v>166</v>
      </c>
      <c r="B921" s="1" t="s">
        <v>167</v>
      </c>
      <c r="C921" s="1" t="s">
        <v>129</v>
      </c>
      <c r="D921" s="1">
        <v>39.235799999999998</v>
      </c>
      <c r="E921" s="1">
        <v>-95.383399999999995</v>
      </c>
      <c r="F921" s="1" t="s">
        <v>1922</v>
      </c>
      <c r="G921" s="22">
        <v>995.49094858147998</v>
      </c>
      <c r="H921" s="20">
        <f ca="1">NOW() - TIME(5,30,0) + (VLOOKUP(MasterTable[[#This Row],[TimeZone]], $O$3:$P$8, 2, FALSE) / 24)</f>
        <v>45990.531878125003</v>
      </c>
      <c r="I921" s="1" t="s">
        <v>1944</v>
      </c>
      <c r="J921" s="1">
        <v>1123.8</v>
      </c>
      <c r="K921" s="13"/>
      <c r="L921" s="13"/>
    </row>
    <row r="922" spans="1:12" x14ac:dyDescent="0.25">
      <c r="A922" s="1" t="s">
        <v>166</v>
      </c>
      <c r="B922" s="1" t="s">
        <v>167</v>
      </c>
      <c r="C922" s="1" t="s">
        <v>1373</v>
      </c>
      <c r="D922" s="1">
        <v>39.531799999999997</v>
      </c>
      <c r="E922" s="1">
        <v>-95.313500000000005</v>
      </c>
      <c r="F922" s="1" t="s">
        <v>1922</v>
      </c>
      <c r="G922" s="22">
        <v>1007.4572113269685</v>
      </c>
      <c r="H922" s="20">
        <f ca="1">NOW() - TIME(5,30,0) + (VLOOKUP(MasterTable[[#This Row],[TimeZone]], $O$3:$P$8, 2, FALSE) / 24)</f>
        <v>45990.531878125003</v>
      </c>
      <c r="I922" s="1" t="s">
        <v>1944</v>
      </c>
      <c r="J922" s="1">
        <v>435.04</v>
      </c>
      <c r="K922" s="13"/>
      <c r="L922" s="13"/>
    </row>
    <row r="923" spans="1:12" x14ac:dyDescent="0.25">
      <c r="A923" s="1" t="s">
        <v>166</v>
      </c>
      <c r="B923" s="1" t="s">
        <v>167</v>
      </c>
      <c r="C923" s="1" t="s">
        <v>878</v>
      </c>
      <c r="D923" s="1">
        <v>38.652299999999997</v>
      </c>
      <c r="E923" s="1">
        <v>-95.726900000000001</v>
      </c>
      <c r="F923" s="1" t="s">
        <v>1922</v>
      </c>
      <c r="G923" s="22">
        <v>962.4294403593251</v>
      </c>
      <c r="H923" s="20">
        <f ca="1">NOW() - TIME(5,30,0) + (VLOOKUP(MasterTable[[#This Row],[TimeZone]], $O$3:$P$8, 2, FALSE) / 24)</f>
        <v>45990.531878125003</v>
      </c>
      <c r="I923" s="1" t="s">
        <v>1944</v>
      </c>
      <c r="J923" s="1">
        <v>719.23</v>
      </c>
      <c r="K923" s="13"/>
      <c r="L923" s="13"/>
    </row>
    <row r="924" spans="1:12" x14ac:dyDescent="0.25">
      <c r="A924" s="1" t="s">
        <v>166</v>
      </c>
      <c r="B924" s="1" t="s">
        <v>167</v>
      </c>
      <c r="C924" s="1" t="s">
        <v>1385</v>
      </c>
      <c r="D924" s="1">
        <v>37.558500000000002</v>
      </c>
      <c r="E924" s="1">
        <v>-95.306799999999996</v>
      </c>
      <c r="F924" s="1" t="s">
        <v>1922</v>
      </c>
      <c r="G924" s="22">
        <v>957.4551085579343</v>
      </c>
      <c r="H924" s="20">
        <f ca="1">NOW() - TIME(5,30,0) + (VLOOKUP(MasterTable[[#This Row],[TimeZone]], $O$3:$P$8, 2, FALSE) / 24)</f>
        <v>45990.531878125003</v>
      </c>
      <c r="I924" s="1" t="s">
        <v>1944</v>
      </c>
      <c r="J924" s="1">
        <v>578.02</v>
      </c>
      <c r="K924" s="13"/>
      <c r="L924" s="13"/>
    </row>
    <row r="925" spans="1:12" x14ac:dyDescent="0.25">
      <c r="A925" s="1" t="s">
        <v>166</v>
      </c>
      <c r="B925" s="1" t="s">
        <v>167</v>
      </c>
      <c r="C925" s="1" t="s">
        <v>1273</v>
      </c>
      <c r="D925" s="1">
        <v>37.855200000000004</v>
      </c>
      <c r="E925" s="1">
        <v>-94.849299999999999</v>
      </c>
      <c r="F925" s="1" t="s">
        <v>1922</v>
      </c>
      <c r="G925" s="22">
        <v>987.61488894093463</v>
      </c>
      <c r="H925" s="20">
        <f ca="1">NOW() - TIME(5,30,0) + (VLOOKUP(MasterTable[[#This Row],[TimeZone]], $O$3:$P$8, 2, FALSE) / 24)</f>
        <v>45990.531878125003</v>
      </c>
      <c r="I925" s="1" t="s">
        <v>1944</v>
      </c>
      <c r="J925" s="1">
        <v>638.82000000000005</v>
      </c>
      <c r="K925" s="13"/>
      <c r="L925" s="13"/>
    </row>
    <row r="926" spans="1:12" x14ac:dyDescent="0.25">
      <c r="A926" s="1" t="s">
        <v>166</v>
      </c>
      <c r="B926" s="1" t="s">
        <v>167</v>
      </c>
      <c r="C926" s="1" t="s">
        <v>140</v>
      </c>
      <c r="D926" s="1">
        <v>39.416800000000002</v>
      </c>
      <c r="E926" s="1">
        <v>-95.793700000000001</v>
      </c>
      <c r="F926" s="1" t="s">
        <v>1922</v>
      </c>
      <c r="G926" s="22">
        <v>980.91939714659122</v>
      </c>
      <c r="H926" s="20">
        <f ca="1">NOW() - TIME(5,30,0) + (VLOOKUP(MasterTable[[#This Row],[TimeZone]], $O$3:$P$8, 2, FALSE) / 24)</f>
        <v>45990.531878125003</v>
      </c>
      <c r="I926" s="1" t="s">
        <v>1944</v>
      </c>
      <c r="J926" s="1">
        <v>1126.77</v>
      </c>
      <c r="K926" s="13"/>
      <c r="L926" s="13"/>
    </row>
    <row r="927" spans="1:12" x14ac:dyDescent="0.25">
      <c r="A927" s="1" t="s">
        <v>166</v>
      </c>
      <c r="B927" s="1" t="s">
        <v>167</v>
      </c>
      <c r="C927" s="1" t="s">
        <v>246</v>
      </c>
      <c r="D927" s="1">
        <v>37.8857</v>
      </c>
      <c r="E927" s="1">
        <v>-95.301400000000001</v>
      </c>
      <c r="F927" s="1" t="s">
        <v>1922</v>
      </c>
      <c r="G927" s="22">
        <v>964.95071878353122</v>
      </c>
      <c r="H927" s="20">
        <f ca="1">NOW() - TIME(5,30,0) + (VLOOKUP(MasterTable[[#This Row],[TimeZone]], $O$3:$P$8, 2, FALSE) / 24)</f>
        <v>45990.531878125003</v>
      </c>
      <c r="I927" s="1" t="s">
        <v>1944</v>
      </c>
      <c r="J927" s="1">
        <v>660.1</v>
      </c>
      <c r="K927" s="13"/>
      <c r="L927" s="13"/>
    </row>
    <row r="928" spans="1:12" x14ac:dyDescent="0.25">
      <c r="A928" s="1" t="s">
        <v>166</v>
      </c>
      <c r="B928" s="1" t="s">
        <v>167</v>
      </c>
      <c r="C928" s="1" t="s">
        <v>88</v>
      </c>
      <c r="D928" s="1">
        <v>38.358899999999998</v>
      </c>
      <c r="E928" s="1">
        <v>-97.096900000000005</v>
      </c>
      <c r="F928" s="1" t="s">
        <v>1922</v>
      </c>
      <c r="G928" s="22">
        <v>886.43459301925213</v>
      </c>
      <c r="H928" s="20">
        <f ca="1">NOW() - TIME(5,30,0) + (VLOOKUP(MasterTable[[#This Row],[TimeZone]], $O$3:$P$8, 2, FALSE) / 24)</f>
        <v>45990.531878125003</v>
      </c>
      <c r="I928" s="1" t="s">
        <v>1944</v>
      </c>
      <c r="J928" s="1">
        <v>743.57</v>
      </c>
      <c r="K928" s="13"/>
      <c r="L928" s="13"/>
    </row>
    <row r="929" spans="1:12" x14ac:dyDescent="0.25">
      <c r="A929" s="1" t="s">
        <v>166</v>
      </c>
      <c r="B929" s="1" t="s">
        <v>167</v>
      </c>
      <c r="C929" s="1" t="s">
        <v>1546</v>
      </c>
      <c r="D929" s="1">
        <v>39.7834</v>
      </c>
      <c r="E929" s="1">
        <v>-96.014099999999999</v>
      </c>
      <c r="F929" s="1" t="s">
        <v>1922</v>
      </c>
      <c r="G929" s="22">
        <v>981.78804317289507</v>
      </c>
      <c r="H929" s="20">
        <f ca="1">NOW() - TIME(5,30,0) + (VLOOKUP(MasterTable[[#This Row],[TimeZone]], $O$3:$P$8, 2, FALSE) / 24)</f>
        <v>45990.531878125003</v>
      </c>
      <c r="I929" s="1" t="s">
        <v>1944</v>
      </c>
      <c r="J929" s="1">
        <v>719.4</v>
      </c>
      <c r="K929" s="13"/>
      <c r="L929" s="13"/>
    </row>
    <row r="930" spans="1:12" x14ac:dyDescent="0.25">
      <c r="A930" s="1" t="s">
        <v>166</v>
      </c>
      <c r="B930" s="1" t="s">
        <v>167</v>
      </c>
      <c r="C930" s="1" t="s">
        <v>600</v>
      </c>
      <c r="D930" s="1">
        <v>39.7836</v>
      </c>
      <c r="E930" s="1">
        <v>-96.522900000000007</v>
      </c>
      <c r="F930" s="1" t="s">
        <v>1922</v>
      </c>
      <c r="G930" s="22">
        <v>957.94770231128166</v>
      </c>
      <c r="H930" s="20">
        <f ca="1">NOW() - TIME(5,30,0) + (VLOOKUP(MasterTable[[#This Row],[TimeZone]], $O$3:$P$8, 2, FALSE) / 24)</f>
        <v>45990.531878125003</v>
      </c>
      <c r="I930" s="1" t="s">
        <v>1944</v>
      </c>
      <c r="J930" s="1">
        <v>623.16</v>
      </c>
      <c r="K930" s="13"/>
      <c r="L930" s="13"/>
    </row>
    <row r="931" spans="1:12" x14ac:dyDescent="0.25">
      <c r="A931" s="1" t="s">
        <v>166</v>
      </c>
      <c r="B931" s="1" t="s">
        <v>167</v>
      </c>
      <c r="C931" s="1" t="s">
        <v>349</v>
      </c>
      <c r="D931" s="1">
        <v>38.212299999999999</v>
      </c>
      <c r="E931" s="1">
        <v>-94.843000000000004</v>
      </c>
      <c r="F931" s="1" t="s">
        <v>1922</v>
      </c>
      <c r="G931" s="22">
        <v>995.98834782274787</v>
      </c>
      <c r="H931" s="20">
        <f ca="1">NOW() - TIME(5,30,0) + (VLOOKUP(MasterTable[[#This Row],[TimeZone]], $O$3:$P$8, 2, FALSE) / 24)</f>
        <v>45990.531878125003</v>
      </c>
      <c r="I931" s="1" t="s">
        <v>1944</v>
      </c>
      <c r="J931" s="1">
        <v>724.55</v>
      </c>
      <c r="K931" s="13"/>
      <c r="L931" s="13"/>
    </row>
    <row r="932" spans="1:12" x14ac:dyDescent="0.25">
      <c r="A932" s="1" t="s">
        <v>166</v>
      </c>
      <c r="B932" s="1" t="s">
        <v>167</v>
      </c>
      <c r="C932" s="1" t="s">
        <v>316</v>
      </c>
      <c r="D932" s="1">
        <v>39.826500000000003</v>
      </c>
      <c r="E932" s="1">
        <v>-95.5642</v>
      </c>
      <c r="F932" s="1" t="s">
        <v>1922</v>
      </c>
      <c r="G932" s="22">
        <v>1004.4006252875106</v>
      </c>
      <c r="H932" s="20">
        <f ca="1">NOW() - TIME(5,30,0) + (VLOOKUP(MasterTable[[#This Row],[TimeZone]], $O$3:$P$8, 2, FALSE) / 24)</f>
        <v>45990.531878125003</v>
      </c>
      <c r="I932" s="1" t="s">
        <v>1944</v>
      </c>
      <c r="J932" s="1">
        <v>307.24</v>
      </c>
      <c r="K932" s="13"/>
      <c r="L932" s="18"/>
    </row>
    <row r="933" spans="1:12" x14ac:dyDescent="0.25">
      <c r="A933" s="1" t="s">
        <v>166</v>
      </c>
      <c r="B933" s="1" t="s">
        <v>167</v>
      </c>
      <c r="C933" s="1" t="s">
        <v>725</v>
      </c>
      <c r="D933" s="1">
        <v>38.347200000000001</v>
      </c>
      <c r="E933" s="1">
        <v>-98.200999999999993</v>
      </c>
      <c r="F933" s="1" t="s">
        <v>1922</v>
      </c>
      <c r="G933" s="22">
        <v>832.10625130414451</v>
      </c>
      <c r="H933" s="20">
        <f ca="1">NOW() - TIME(5,30,0) + (VLOOKUP(MasterTable[[#This Row],[TimeZone]], $O$3:$P$8, 2, FALSE) / 24)</f>
        <v>45990.531878125003</v>
      </c>
      <c r="I933" s="1" t="s">
        <v>1944</v>
      </c>
      <c r="J933" s="1">
        <v>728.3</v>
      </c>
      <c r="K933" s="13"/>
      <c r="L933" s="13"/>
    </row>
    <row r="934" spans="1:12" x14ac:dyDescent="0.25">
      <c r="A934" s="1" t="s">
        <v>166</v>
      </c>
      <c r="B934" s="1" t="s">
        <v>167</v>
      </c>
      <c r="C934" s="1" t="s">
        <v>1584</v>
      </c>
      <c r="D934" s="1">
        <v>37.6477</v>
      </c>
      <c r="E934" s="1">
        <v>-98.739599999999996</v>
      </c>
      <c r="F934" s="1" t="s">
        <v>1922</v>
      </c>
      <c r="G934" s="22">
        <v>784.65030386434012</v>
      </c>
      <c r="H934" s="20">
        <f ca="1">NOW() - TIME(5,30,0) + (VLOOKUP(MasterTable[[#This Row],[TimeZone]], $O$3:$P$8, 2, FALSE) / 24)</f>
        <v>45990.531878125003</v>
      </c>
      <c r="I934" s="1" t="s">
        <v>1944</v>
      </c>
      <c r="J934" s="1">
        <v>735.76</v>
      </c>
      <c r="K934" s="13"/>
      <c r="L934" s="18"/>
    </row>
    <row r="935" spans="1:12" x14ac:dyDescent="0.25">
      <c r="A935" s="1" t="s">
        <v>166</v>
      </c>
      <c r="B935" s="1" t="s">
        <v>167</v>
      </c>
      <c r="C935" s="1" t="s">
        <v>1587</v>
      </c>
      <c r="D935" s="1">
        <v>39.4803</v>
      </c>
      <c r="E935" s="1">
        <v>-97.649199999999993</v>
      </c>
      <c r="F935" s="1" t="s">
        <v>1922</v>
      </c>
      <c r="G935" s="22">
        <v>895.41422708144887</v>
      </c>
      <c r="H935" s="20">
        <f ca="1">NOW() - TIME(5,30,0) + (VLOOKUP(MasterTable[[#This Row],[TimeZone]], $O$3:$P$8, 2, FALSE) / 24)</f>
        <v>45990.531878125003</v>
      </c>
      <c r="I935" s="1" t="s">
        <v>1944</v>
      </c>
      <c r="J935" s="1">
        <v>718.47</v>
      </c>
      <c r="K935" s="13"/>
      <c r="L935" s="13"/>
    </row>
    <row r="936" spans="1:12" x14ac:dyDescent="0.25">
      <c r="A936" s="1" t="s">
        <v>166</v>
      </c>
      <c r="B936" s="1" t="s">
        <v>167</v>
      </c>
      <c r="C936" s="1" t="s">
        <v>470</v>
      </c>
      <c r="D936" s="1">
        <v>37.5593</v>
      </c>
      <c r="E936" s="1">
        <v>-95.743399999999994</v>
      </c>
      <c r="F936" s="1" t="s">
        <v>1922</v>
      </c>
      <c r="G936" s="22">
        <v>934.77311121024115</v>
      </c>
      <c r="H936" s="20">
        <f ca="1">NOW() - TIME(5,30,0) + (VLOOKUP(MasterTable[[#This Row],[TimeZone]], $O$3:$P$8, 2, FALSE) / 24)</f>
        <v>45990.531878125003</v>
      </c>
      <c r="I936" s="1" t="s">
        <v>1944</v>
      </c>
      <c r="J936" s="1">
        <v>574.97</v>
      </c>
      <c r="K936" s="13"/>
      <c r="L936" s="13"/>
    </row>
    <row r="937" spans="1:12" x14ac:dyDescent="0.25">
      <c r="A937" s="1" t="s">
        <v>166</v>
      </c>
      <c r="B937" s="1" t="s">
        <v>167</v>
      </c>
      <c r="C937" s="1" t="s">
        <v>1616</v>
      </c>
      <c r="D937" s="1">
        <v>38.236899999999999</v>
      </c>
      <c r="E937" s="1">
        <v>-95.734099999999998</v>
      </c>
      <c r="F937" s="1" t="s">
        <v>1922</v>
      </c>
      <c r="G937" s="22">
        <v>951.27469065255491</v>
      </c>
      <c r="H937" s="20">
        <f ca="1">NOW() - TIME(5,30,0) + (VLOOKUP(MasterTable[[#This Row],[TimeZone]], $O$3:$P$8, 2, FALSE) / 24)</f>
        <v>45990.531878125003</v>
      </c>
      <c r="I937" s="1" t="s">
        <v>1944</v>
      </c>
      <c r="J937" s="1">
        <v>654.57000000000005</v>
      </c>
      <c r="K937" s="13"/>
      <c r="L937" s="13"/>
    </row>
    <row r="938" spans="1:12" x14ac:dyDescent="0.25">
      <c r="A938" s="1" t="s">
        <v>166</v>
      </c>
      <c r="B938" s="1" t="s">
        <v>167</v>
      </c>
      <c r="C938" s="1" t="s">
        <v>327</v>
      </c>
      <c r="D938" s="1">
        <v>39.349699999999999</v>
      </c>
      <c r="E938" s="1">
        <v>-97.165199999999999</v>
      </c>
      <c r="F938" s="1" t="s">
        <v>1922</v>
      </c>
      <c r="G938" s="22">
        <v>913.57964489290964</v>
      </c>
      <c r="H938" s="20">
        <f ca="1">NOW() - TIME(5,30,0) + (VLOOKUP(MasterTable[[#This Row],[TimeZone]], $O$3:$P$8, 2, FALSE) / 24)</f>
        <v>45990.531878125003</v>
      </c>
      <c r="I938" s="1" t="s">
        <v>1944</v>
      </c>
      <c r="J938" s="1">
        <v>606</v>
      </c>
      <c r="K938" s="13"/>
      <c r="L938" s="13"/>
    </row>
    <row r="939" spans="1:12" x14ac:dyDescent="0.25">
      <c r="A939" s="1" t="s">
        <v>166</v>
      </c>
      <c r="B939" s="1" t="s">
        <v>167</v>
      </c>
      <c r="C939" s="1" t="s">
        <v>883</v>
      </c>
      <c r="D939" s="1">
        <v>39.350900000000003</v>
      </c>
      <c r="E939" s="1">
        <v>-101.0556</v>
      </c>
      <c r="F939" s="1" t="s">
        <v>1922</v>
      </c>
      <c r="G939" s="22">
        <v>739.94534801116333</v>
      </c>
      <c r="H939" s="20">
        <f ca="1">NOW() - TIME(5,30,0) + (VLOOKUP(MasterTable[[#This Row],[TimeZone]], $O$3:$P$8, 2, FALSE) / 24)</f>
        <v>45990.531878125003</v>
      </c>
      <c r="I939" s="1" t="s">
        <v>1944</v>
      </c>
      <c r="J939" s="1">
        <v>552.08000000000004</v>
      </c>
      <c r="K939" s="13"/>
      <c r="L939" s="13"/>
    </row>
    <row r="940" spans="1:12" x14ac:dyDescent="0.25">
      <c r="A940" s="1" t="s">
        <v>166</v>
      </c>
      <c r="B940" s="1" t="s">
        <v>167</v>
      </c>
      <c r="C940" s="1" t="s">
        <v>369</v>
      </c>
      <c r="D940" s="1">
        <v>38.214199999999998</v>
      </c>
      <c r="E940" s="1">
        <v>-95.293300000000002</v>
      </c>
      <c r="F940" s="1" t="s">
        <v>1922</v>
      </c>
      <c r="G940" s="22">
        <v>973.07122959057074</v>
      </c>
      <c r="H940" s="20">
        <f ca="1">NOW() - TIME(5,30,0) + (VLOOKUP(MasterTable[[#This Row],[TimeZone]], $O$3:$P$8, 2, FALSE) / 24)</f>
        <v>45990.531878125003</v>
      </c>
      <c r="I940" s="1" t="s">
        <v>1944</v>
      </c>
      <c r="J940" s="1">
        <v>584.29</v>
      </c>
      <c r="K940" s="13"/>
      <c r="L940" s="13"/>
    </row>
    <row r="941" spans="1:12" x14ac:dyDescent="0.25">
      <c r="A941" s="1" t="s">
        <v>166</v>
      </c>
      <c r="B941" s="1" t="s">
        <v>167</v>
      </c>
      <c r="C941" s="1" t="s">
        <v>1649</v>
      </c>
      <c r="D941" s="1">
        <v>39.7881</v>
      </c>
      <c r="E941" s="1">
        <v>-95.146799999999999</v>
      </c>
      <c r="F941" s="1" t="s">
        <v>1922</v>
      </c>
      <c r="G941" s="22">
        <v>1023.0916414397883</v>
      </c>
      <c r="H941" s="20">
        <f ca="1">NOW() - TIME(5,30,0) + (VLOOKUP(MasterTable[[#This Row],[TimeZone]], $O$3:$P$8, 2, FALSE) / 24)</f>
        <v>45990.531878125003</v>
      </c>
      <c r="I941" s="1" t="s">
        <v>1944</v>
      </c>
      <c r="J941" s="1">
        <v>397.07</v>
      </c>
      <c r="K941" s="13"/>
      <c r="L941" s="13"/>
    </row>
    <row r="942" spans="1:12" x14ac:dyDescent="0.25">
      <c r="A942" s="1" t="s">
        <v>166</v>
      </c>
      <c r="B942" s="1" t="s">
        <v>167</v>
      </c>
      <c r="C942" s="1" t="s">
        <v>590</v>
      </c>
      <c r="D942" s="1">
        <v>37.5623</v>
      </c>
      <c r="E942" s="1">
        <v>-101.30800000000001</v>
      </c>
      <c r="F942" s="1" t="s">
        <v>1922</v>
      </c>
      <c r="G942" s="22">
        <v>657.71977242362664</v>
      </c>
      <c r="H942" s="20">
        <f ca="1">NOW() - TIME(5,30,0) + (VLOOKUP(MasterTable[[#This Row],[TimeZone]], $O$3:$P$8, 2, FALSE) / 24)</f>
        <v>45990.531878125003</v>
      </c>
      <c r="I942" s="1" t="s">
        <v>1944</v>
      </c>
      <c r="J942" s="1">
        <v>633.01</v>
      </c>
      <c r="K942" s="13"/>
      <c r="L942" s="13"/>
    </row>
    <row r="943" spans="1:12" x14ac:dyDescent="0.25">
      <c r="A943" s="1" t="s">
        <v>166</v>
      </c>
      <c r="B943" s="1" t="s">
        <v>167</v>
      </c>
      <c r="C943" s="1" t="s">
        <v>1659</v>
      </c>
      <c r="D943" s="1">
        <v>37.558900000000001</v>
      </c>
      <c r="E943" s="1">
        <v>-98.136300000000006</v>
      </c>
      <c r="F943" s="1" t="s">
        <v>1922</v>
      </c>
      <c r="G943" s="22">
        <v>812.3124779327112</v>
      </c>
      <c r="H943" s="20">
        <f ca="1">NOW() - TIME(5,30,0) + (VLOOKUP(MasterTable[[#This Row],[TimeZone]], $O$3:$P$8, 2, FALSE) / 24)</f>
        <v>45990.531878125003</v>
      </c>
      <c r="I943" s="1" t="s">
        <v>1944</v>
      </c>
      <c r="J943" s="1">
        <v>866.7</v>
      </c>
      <c r="K943" s="13"/>
      <c r="L943" s="13"/>
    </row>
    <row r="944" spans="1:12" x14ac:dyDescent="0.25">
      <c r="A944" s="1" t="s">
        <v>166</v>
      </c>
      <c r="B944" s="1" t="s">
        <v>167</v>
      </c>
      <c r="C944" s="1" t="s">
        <v>1672</v>
      </c>
      <c r="D944" s="1">
        <v>38.953299999999999</v>
      </c>
      <c r="E944" s="1">
        <v>-96.204999999999998</v>
      </c>
      <c r="F944" s="1" t="s">
        <v>1922</v>
      </c>
      <c r="G944" s="22">
        <v>947.30459859223936</v>
      </c>
      <c r="H944" s="20">
        <f ca="1">NOW() - TIME(5,30,0) + (VLOOKUP(MasterTable[[#This Row],[TimeZone]], $O$3:$P$8, 2, FALSE) / 24)</f>
        <v>45990.531878125003</v>
      </c>
      <c r="I944" s="1" t="s">
        <v>1944</v>
      </c>
      <c r="J944" s="1">
        <v>799.8</v>
      </c>
      <c r="K944" s="13"/>
      <c r="L944" s="13"/>
    </row>
    <row r="945" spans="1:12" x14ac:dyDescent="0.25">
      <c r="A945" s="1" t="s">
        <v>166</v>
      </c>
      <c r="B945" s="1" t="s">
        <v>167</v>
      </c>
      <c r="C945" s="1" t="s">
        <v>789</v>
      </c>
      <c r="D945" s="1">
        <v>38.9148</v>
      </c>
      <c r="E945" s="1">
        <v>-98.7624</v>
      </c>
      <c r="F945" s="1" t="s">
        <v>1922</v>
      </c>
      <c r="G945" s="22">
        <v>824.24105629046051</v>
      </c>
      <c r="H945" s="20">
        <f ca="1">NOW() - TIME(5,30,0) + (VLOOKUP(MasterTable[[#This Row],[TimeZone]], $O$3:$P$8, 2, FALSE) / 24)</f>
        <v>45990.531878125003</v>
      </c>
      <c r="I945" s="1" t="s">
        <v>1944</v>
      </c>
      <c r="J945" s="1">
        <v>647.38</v>
      </c>
      <c r="K945" s="13"/>
      <c r="L945" s="13"/>
    </row>
    <row r="946" spans="1:12" x14ac:dyDescent="0.25">
      <c r="A946" s="1" t="s">
        <v>166</v>
      </c>
      <c r="B946" s="1" t="s">
        <v>167</v>
      </c>
      <c r="C946" s="1" t="s">
        <v>1699</v>
      </c>
      <c r="D946" s="1">
        <v>38.696599999999997</v>
      </c>
      <c r="E946" s="1">
        <v>-98.204800000000006</v>
      </c>
      <c r="F946" s="1" t="s">
        <v>1922</v>
      </c>
      <c r="G946" s="22">
        <v>843.05310697684888</v>
      </c>
      <c r="H946" s="20">
        <f ca="1">NOW() - TIME(5,30,0) + (VLOOKUP(MasterTable[[#This Row],[TimeZone]], $O$3:$P$8, 2, FALSE) / 24)</f>
        <v>45990.531878125003</v>
      </c>
      <c r="I946" s="1" t="s">
        <v>1944</v>
      </c>
      <c r="J946" s="1">
        <v>723.44</v>
      </c>
      <c r="K946" s="13"/>
      <c r="L946" s="13"/>
    </row>
    <row r="947" spans="1:12" x14ac:dyDescent="0.25">
      <c r="A947" s="1" t="s">
        <v>166</v>
      </c>
      <c r="B947" s="1" t="s">
        <v>167</v>
      </c>
      <c r="C947" s="1" t="s">
        <v>1386</v>
      </c>
      <c r="D947" s="1">
        <v>38.1813</v>
      </c>
      <c r="E947" s="1">
        <v>-99.236699999999999</v>
      </c>
      <c r="F947" s="1" t="s">
        <v>1922</v>
      </c>
      <c r="G947" s="22">
        <v>776.99743542170643</v>
      </c>
      <c r="H947" s="20">
        <f ca="1">NOW() - TIME(5,30,0) + (VLOOKUP(MasterTable[[#This Row],[TimeZone]], $O$3:$P$8, 2, FALSE) / 24)</f>
        <v>45990.531878125003</v>
      </c>
      <c r="I947" s="1" t="s">
        <v>1944</v>
      </c>
      <c r="J947" s="1">
        <v>754.56</v>
      </c>
      <c r="K947" s="13"/>
      <c r="L947" s="13"/>
    </row>
    <row r="948" spans="1:12" x14ac:dyDescent="0.25">
      <c r="A948" s="1" t="s">
        <v>166</v>
      </c>
      <c r="B948" s="1" t="s">
        <v>167</v>
      </c>
      <c r="C948" s="1" t="s">
        <v>713</v>
      </c>
      <c r="D948" s="1">
        <v>37.877800000000001</v>
      </c>
      <c r="E948" s="1">
        <v>-96.232600000000005</v>
      </c>
      <c r="F948" s="1" t="s">
        <v>1922</v>
      </c>
      <c r="G948" s="22">
        <v>917.04655752792962</v>
      </c>
      <c r="H948" s="20">
        <f ca="1">NOW() - TIME(5,30,0) + (VLOOKUP(MasterTable[[#This Row],[TimeZone]], $O$3:$P$8, 2, FALSE) / 24)</f>
        <v>45990.531878125003</v>
      </c>
      <c r="I948" s="1" t="s">
        <v>1944</v>
      </c>
      <c r="J948" s="1">
        <v>1152.5899999999999</v>
      </c>
      <c r="K948" s="13"/>
      <c r="L948" s="13"/>
    </row>
    <row r="949" spans="1:12" x14ac:dyDescent="0.25">
      <c r="A949" s="1" t="s">
        <v>166</v>
      </c>
      <c r="B949" s="1" t="s">
        <v>167</v>
      </c>
      <c r="C949" s="1" t="s">
        <v>1712</v>
      </c>
      <c r="D949" s="1">
        <v>39.351399999999998</v>
      </c>
      <c r="E949" s="1">
        <v>-101.72</v>
      </c>
      <c r="F949" s="1" t="s">
        <v>1923</v>
      </c>
      <c r="G949" s="22">
        <v>712.68723841187602</v>
      </c>
      <c r="H949" s="20">
        <f ca="1">NOW() - TIME(5,30,0) + (VLOOKUP(MasterTable[[#This Row],[TimeZone]], $O$3:$P$8, 2, FALSE) / 24)</f>
        <v>45990.490211458338</v>
      </c>
      <c r="I949" s="1" t="s">
        <v>1944</v>
      </c>
      <c r="J949" s="1">
        <v>1056.01</v>
      </c>
      <c r="K949" s="13"/>
      <c r="L949" s="13"/>
    </row>
    <row r="950" spans="1:12" x14ac:dyDescent="0.25">
      <c r="A950" s="1" t="s">
        <v>166</v>
      </c>
      <c r="B950" s="1" t="s">
        <v>167</v>
      </c>
      <c r="C950" s="1" t="s">
        <v>292</v>
      </c>
      <c r="D950" s="1">
        <v>39.1325</v>
      </c>
      <c r="E950" s="1">
        <v>-97.650199999999998</v>
      </c>
      <c r="F950" s="1" t="s">
        <v>1922</v>
      </c>
      <c r="G950" s="22">
        <v>883.60879918907858</v>
      </c>
      <c r="H950" s="20">
        <f ca="1">NOW() - TIME(5,30,0) + (VLOOKUP(MasterTable[[#This Row],[TimeZone]], $O$3:$P$8, 2, FALSE) / 24)</f>
        <v>45990.531878125003</v>
      </c>
      <c r="I950" s="1" t="s">
        <v>1944</v>
      </c>
      <c r="J950" s="1">
        <v>721.9</v>
      </c>
      <c r="K950" s="13"/>
      <c r="L950" s="13"/>
    </row>
    <row r="951" spans="1:12" x14ac:dyDescent="0.25">
      <c r="A951" s="1" t="s">
        <v>166</v>
      </c>
      <c r="B951" s="1" t="s">
        <v>167</v>
      </c>
      <c r="C951" s="1" t="s">
        <v>1243</v>
      </c>
      <c r="D951" s="1">
        <v>39.393300000000004</v>
      </c>
      <c r="E951" s="1">
        <v>-98.209400000000002</v>
      </c>
      <c r="F951" s="1" t="s">
        <v>1922</v>
      </c>
      <c r="G951" s="22">
        <v>866.59540115994764</v>
      </c>
      <c r="H951" s="20">
        <f ca="1">NOW() - TIME(5,30,0) + (VLOOKUP(MasterTable[[#This Row],[TimeZone]], $O$3:$P$8, 2, FALSE) / 24)</f>
        <v>45990.531878125003</v>
      </c>
      <c r="I951" s="1" t="s">
        <v>1944</v>
      </c>
      <c r="J951" s="1">
        <v>513.80999999999995</v>
      </c>
      <c r="K951" s="13"/>
      <c r="L951" s="13"/>
    </row>
    <row r="952" spans="1:12" x14ac:dyDescent="0.25">
      <c r="A952" s="1" t="s">
        <v>166</v>
      </c>
      <c r="B952" s="1" t="s">
        <v>167</v>
      </c>
      <c r="C952" s="1" t="s">
        <v>1250</v>
      </c>
      <c r="D952" s="1">
        <v>37.738199999999999</v>
      </c>
      <c r="E952" s="1">
        <v>-100.4379</v>
      </c>
      <c r="F952" s="1" t="s">
        <v>1922</v>
      </c>
      <c r="G952" s="22">
        <v>704.92193418933289</v>
      </c>
      <c r="H952" s="20">
        <f ca="1">NOW() - TIME(5,30,0) + (VLOOKUP(MasterTable[[#This Row],[TimeZone]], $O$3:$P$8, 2, FALSE) / 24)</f>
        <v>45990.531878125003</v>
      </c>
      <c r="I952" s="1" t="s">
        <v>1944</v>
      </c>
      <c r="J952" s="1">
        <v>869.34</v>
      </c>
      <c r="K952" s="13"/>
      <c r="L952" s="13"/>
    </row>
    <row r="953" spans="1:12" x14ac:dyDescent="0.25">
      <c r="A953" s="1" t="s">
        <v>166</v>
      </c>
      <c r="B953" s="1" t="s">
        <v>167</v>
      </c>
      <c r="C953" s="1" t="s">
        <v>28</v>
      </c>
      <c r="D953" s="1">
        <v>39.784199999999998</v>
      </c>
      <c r="E953" s="1">
        <v>-97.087500000000006</v>
      </c>
      <c r="F953" s="1" t="s">
        <v>1922</v>
      </c>
      <c r="G953" s="22">
        <v>931.79318421731159</v>
      </c>
      <c r="H953" s="20">
        <f ca="1">NOW() - TIME(5,30,0) + (VLOOKUP(MasterTable[[#This Row],[TimeZone]], $O$3:$P$8, 2, FALSE) / 24)</f>
        <v>45990.531878125003</v>
      </c>
      <c r="I953" s="1" t="s">
        <v>1944</v>
      </c>
      <c r="J953" s="1">
        <v>1088.54</v>
      </c>
      <c r="K953" s="13"/>
      <c r="L953" s="13"/>
    </row>
    <row r="954" spans="1:12" x14ac:dyDescent="0.25">
      <c r="A954" s="1" t="s">
        <v>166</v>
      </c>
      <c r="B954" s="1" t="s">
        <v>167</v>
      </c>
      <c r="C954" s="1" t="s">
        <v>1737</v>
      </c>
      <c r="D954" s="1">
        <v>37.191600000000001</v>
      </c>
      <c r="E954" s="1">
        <v>-98.075500000000005</v>
      </c>
      <c r="F954" s="1" t="s">
        <v>1922</v>
      </c>
      <c r="G954" s="22">
        <v>805.76821217916267</v>
      </c>
      <c r="H954" s="20">
        <f ca="1">NOW() - TIME(5,30,0) + (VLOOKUP(MasterTable[[#This Row],[TimeZone]], $O$3:$P$8, 2, FALSE) / 24)</f>
        <v>45990.531878125003</v>
      </c>
      <c r="I954" s="1" t="s">
        <v>1944</v>
      </c>
      <c r="J954" s="1">
        <v>802.95</v>
      </c>
      <c r="K954" s="13"/>
      <c r="L954" s="13"/>
    </row>
    <row r="955" spans="1:12" x14ac:dyDescent="0.25">
      <c r="A955" s="1" t="s">
        <v>166</v>
      </c>
      <c r="B955" s="1" t="s">
        <v>167</v>
      </c>
      <c r="C955" s="1" t="s">
        <v>1739</v>
      </c>
      <c r="D955" s="1">
        <v>39.784399999999998</v>
      </c>
      <c r="E955" s="1">
        <v>-99.903499999999994</v>
      </c>
      <c r="F955" s="1" t="s">
        <v>1922</v>
      </c>
      <c r="G955" s="22">
        <v>806.79143516089562</v>
      </c>
      <c r="H955" s="20">
        <f ca="1">NOW() - TIME(5,30,0) + (VLOOKUP(MasterTable[[#This Row],[TimeZone]], $O$3:$P$8, 2, FALSE) / 24)</f>
        <v>45990.531878125003</v>
      </c>
      <c r="I955" s="1" t="s">
        <v>1944</v>
      </c>
      <c r="J955" s="1">
        <v>881.39</v>
      </c>
      <c r="K955" s="13"/>
      <c r="L955" s="13"/>
    </row>
    <row r="956" spans="1:12" x14ac:dyDescent="0.25">
      <c r="A956" s="1" t="s">
        <v>166</v>
      </c>
      <c r="B956" s="1" t="s">
        <v>167</v>
      </c>
      <c r="C956" s="1" t="s">
        <v>197</v>
      </c>
      <c r="D956" s="1">
        <v>38.687399999999997</v>
      </c>
      <c r="E956" s="1">
        <v>-96.649900000000002</v>
      </c>
      <c r="F956" s="1" t="s">
        <v>1922</v>
      </c>
      <c r="G956" s="22">
        <v>917.8517265156712</v>
      </c>
      <c r="H956" s="20">
        <f ca="1">NOW() - TIME(5,30,0) + (VLOOKUP(MasterTable[[#This Row],[TimeZone]], $O$3:$P$8, 2, FALSE) / 24)</f>
        <v>45990.531878125003</v>
      </c>
      <c r="I956" s="1" t="s">
        <v>1944</v>
      </c>
      <c r="J956" s="1">
        <v>702.84</v>
      </c>
      <c r="K956" s="13"/>
      <c r="L956" s="13"/>
    </row>
    <row r="957" spans="1:12" x14ac:dyDescent="0.25">
      <c r="A957" s="1" t="s">
        <v>166</v>
      </c>
      <c r="B957" s="1" t="s">
        <v>167</v>
      </c>
      <c r="C957" s="1" t="s">
        <v>863</v>
      </c>
      <c r="D957" s="1">
        <v>37.192300000000003</v>
      </c>
      <c r="E957" s="1">
        <v>-101.3121</v>
      </c>
      <c r="F957" s="1" t="s">
        <v>1922</v>
      </c>
      <c r="G957" s="22">
        <v>644.62138078745454</v>
      </c>
      <c r="H957" s="20">
        <f ca="1">NOW() - TIME(5,30,0) + (VLOOKUP(MasterTable[[#This Row],[TimeZone]], $O$3:$P$8, 2, FALSE) / 24)</f>
        <v>45990.531878125003</v>
      </c>
      <c r="I957" s="1" t="s">
        <v>1944</v>
      </c>
      <c r="J957" s="1">
        <v>727.71</v>
      </c>
      <c r="K957" s="13"/>
      <c r="L957" s="13"/>
    </row>
    <row r="958" spans="1:12" x14ac:dyDescent="0.25">
      <c r="A958" s="1" t="s">
        <v>166</v>
      </c>
      <c r="B958" s="1" t="s">
        <v>167</v>
      </c>
      <c r="C958" s="1" t="s">
        <v>419</v>
      </c>
      <c r="D958" s="1">
        <v>38.482199999999999</v>
      </c>
      <c r="E958" s="1">
        <v>-100.90689999999999</v>
      </c>
      <c r="F958" s="1" t="s">
        <v>1922</v>
      </c>
      <c r="G958" s="22">
        <v>710.57517285422591</v>
      </c>
      <c r="H958" s="20">
        <f ca="1">NOW() - TIME(5,30,0) + (VLOOKUP(MasterTable[[#This Row],[TimeZone]], $O$3:$P$8, 2, FALSE) / 24)</f>
        <v>45990.531878125003</v>
      </c>
      <c r="I958" s="1" t="s">
        <v>1944</v>
      </c>
      <c r="J958" s="1">
        <v>898.09</v>
      </c>
      <c r="K958" s="13"/>
      <c r="L958" s="13"/>
    </row>
    <row r="959" spans="1:12" x14ac:dyDescent="0.25">
      <c r="A959" s="1" t="s">
        <v>166</v>
      </c>
      <c r="B959" s="1" t="s">
        <v>167</v>
      </c>
      <c r="C959" s="1" t="s">
        <v>1381</v>
      </c>
      <c r="D959" s="1">
        <v>39.784599999999998</v>
      </c>
      <c r="E959" s="1">
        <v>-99.346999999999994</v>
      </c>
      <c r="F959" s="1" t="s">
        <v>1922</v>
      </c>
      <c r="G959" s="22">
        <v>830.6581302541565</v>
      </c>
      <c r="H959" s="20">
        <f ca="1">NOW() - TIME(5,30,0) + (VLOOKUP(MasterTable[[#This Row],[TimeZone]], $O$3:$P$8, 2, FALSE) / 24)</f>
        <v>45990.531878125003</v>
      </c>
      <c r="I959" s="1" t="s">
        <v>1944</v>
      </c>
      <c r="J959" s="1">
        <v>727.29</v>
      </c>
      <c r="K959" s="13"/>
      <c r="L959" s="13"/>
    </row>
    <row r="960" spans="1:12" x14ac:dyDescent="0.25">
      <c r="A960" s="1" t="s">
        <v>166</v>
      </c>
      <c r="B960" s="1" t="s">
        <v>167</v>
      </c>
      <c r="C960" s="1" t="s">
        <v>1758</v>
      </c>
      <c r="D960" s="1">
        <v>39.350200000000001</v>
      </c>
      <c r="E960" s="1">
        <v>-99.325000000000003</v>
      </c>
      <c r="F960" s="1" t="s">
        <v>1922</v>
      </c>
      <c r="G960" s="22">
        <v>814.61966670481138</v>
      </c>
      <c r="H960" s="20">
        <f ca="1">NOW() - TIME(5,30,0) + (VLOOKUP(MasterTable[[#This Row],[TimeZone]], $O$3:$P$8, 2, FALSE) / 24)</f>
        <v>45990.531878125003</v>
      </c>
      <c r="I960" s="1" t="s">
        <v>1944</v>
      </c>
      <c r="J960" s="1">
        <v>895.36</v>
      </c>
      <c r="K960" s="13"/>
      <c r="L960" s="13"/>
    </row>
    <row r="961" spans="1:12" x14ac:dyDescent="0.25">
      <c r="A961" s="1" t="s">
        <v>166</v>
      </c>
      <c r="B961" s="1" t="s">
        <v>167</v>
      </c>
      <c r="C961" s="1" t="s">
        <v>1763</v>
      </c>
      <c r="D961" s="1">
        <v>39.827800000000003</v>
      </c>
      <c r="E961" s="1">
        <v>-97.650599999999997</v>
      </c>
      <c r="F961" s="1" t="s">
        <v>1922</v>
      </c>
      <c r="G961" s="22">
        <v>907.57427497604203</v>
      </c>
      <c r="H961" s="20">
        <f ca="1">NOW() - TIME(5,30,0) + (VLOOKUP(MasterTable[[#This Row],[TimeZone]], $O$3:$P$8, 2, FALSE) / 24)</f>
        <v>45990.531878125003</v>
      </c>
      <c r="I961" s="1" t="s">
        <v>1944</v>
      </c>
      <c r="J961" s="1">
        <v>720.31</v>
      </c>
      <c r="K961" s="13"/>
      <c r="L961" s="13"/>
    </row>
    <row r="962" spans="1:12" x14ac:dyDescent="0.25">
      <c r="A962" s="1" t="s">
        <v>166</v>
      </c>
      <c r="B962" s="1" t="s">
        <v>167</v>
      </c>
      <c r="C962" s="1" t="s">
        <v>1775</v>
      </c>
      <c r="D962" s="1">
        <v>37.228900000000003</v>
      </c>
      <c r="E962" s="1">
        <v>-98.684799999999996</v>
      </c>
      <c r="F962" s="1" t="s">
        <v>1922</v>
      </c>
      <c r="G962" s="22">
        <v>775.6811321369604</v>
      </c>
      <c r="H962" s="20">
        <f ca="1">NOW() - TIME(5,30,0) + (VLOOKUP(MasterTable[[#This Row],[TimeZone]], $O$3:$P$8, 2, FALSE) / 24)</f>
        <v>45990.531878125003</v>
      </c>
      <c r="I962" s="1" t="s">
        <v>1944</v>
      </c>
      <c r="J962" s="1">
        <v>1136.21</v>
      </c>
      <c r="K962" s="13"/>
      <c r="L962" s="13"/>
    </row>
    <row r="963" spans="1:12" x14ac:dyDescent="0.25">
      <c r="A963" s="1" t="s">
        <v>166</v>
      </c>
      <c r="B963" s="1" t="s">
        <v>167</v>
      </c>
      <c r="C963" s="1" t="s">
        <v>451</v>
      </c>
      <c r="D963" s="1">
        <v>38.030999999999999</v>
      </c>
      <c r="E963" s="1">
        <v>-98.717399999999998</v>
      </c>
      <c r="F963" s="1" t="s">
        <v>1922</v>
      </c>
      <c r="G963" s="22">
        <v>797.24155031099474</v>
      </c>
      <c r="H963" s="20">
        <f ca="1">NOW() - TIME(5,30,0) + (VLOOKUP(MasterTable[[#This Row],[TimeZone]], $O$3:$P$8, 2, FALSE) / 24)</f>
        <v>45990.531878125003</v>
      </c>
      <c r="I963" s="1" t="s">
        <v>1944</v>
      </c>
      <c r="J963" s="1">
        <v>794.72</v>
      </c>
      <c r="K963" s="13"/>
      <c r="L963" s="13"/>
    </row>
    <row r="964" spans="1:12" x14ac:dyDescent="0.25">
      <c r="A964" s="1" t="s">
        <v>166</v>
      </c>
      <c r="B964" s="1" t="s">
        <v>167</v>
      </c>
      <c r="C964" s="1" t="s">
        <v>1074</v>
      </c>
      <c r="D964" s="1">
        <v>37.238199999999999</v>
      </c>
      <c r="E964" s="1">
        <v>-100.36620000000001</v>
      </c>
      <c r="F964" s="1" t="s">
        <v>1922</v>
      </c>
      <c r="G964" s="22">
        <v>692.01988560288305</v>
      </c>
      <c r="H964" s="20">
        <f ca="1">NOW() - TIME(5,30,0) + (VLOOKUP(MasterTable[[#This Row],[TimeZone]], $O$3:$P$8, 2, FALSE) / 24)</f>
        <v>45990.531878125003</v>
      </c>
      <c r="I964" s="1" t="s">
        <v>1944</v>
      </c>
      <c r="J964" s="1">
        <v>979.66</v>
      </c>
      <c r="K964" s="13"/>
      <c r="L964" s="13"/>
    </row>
    <row r="965" spans="1:12" x14ac:dyDescent="0.25">
      <c r="A965" s="1" t="s">
        <v>166</v>
      </c>
      <c r="B965" s="1" t="s">
        <v>167</v>
      </c>
      <c r="C965" s="1" t="s">
        <v>1784</v>
      </c>
      <c r="D965" s="1">
        <v>38.000300000000003</v>
      </c>
      <c r="E965" s="1">
        <v>-101.3199</v>
      </c>
      <c r="F965" s="1" t="s">
        <v>1922</v>
      </c>
      <c r="G965" s="22">
        <v>673.37859966490009</v>
      </c>
      <c r="H965" s="20">
        <f ca="1">NOW() - TIME(5,30,0) + (VLOOKUP(MasterTable[[#This Row],[TimeZone]], $O$3:$P$8, 2, FALSE) / 24)</f>
        <v>45990.531878125003</v>
      </c>
      <c r="I965" s="1" t="s">
        <v>1944</v>
      </c>
      <c r="J965" s="1">
        <v>871.5</v>
      </c>
      <c r="K965" s="13"/>
      <c r="L965" s="13"/>
    </row>
    <row r="966" spans="1:12" x14ac:dyDescent="0.25">
      <c r="A966" s="1" t="s">
        <v>166</v>
      </c>
      <c r="B966" s="1" t="s">
        <v>167</v>
      </c>
      <c r="C966" s="1" t="s">
        <v>1508</v>
      </c>
      <c r="D966" s="1">
        <v>37.562199999999997</v>
      </c>
      <c r="E966" s="1">
        <v>-100.8712</v>
      </c>
      <c r="F966" s="1" t="s">
        <v>1922</v>
      </c>
      <c r="G966" s="22">
        <v>678.30728000454462</v>
      </c>
      <c r="H966" s="20">
        <f ca="1">NOW() - TIME(5,30,0) + (VLOOKUP(MasterTable[[#This Row],[TimeZone]], $O$3:$P$8, 2, FALSE) / 24)</f>
        <v>45990.531878125003</v>
      </c>
      <c r="I966" s="1" t="s">
        <v>1944</v>
      </c>
      <c r="J966" s="1">
        <v>577.73</v>
      </c>
      <c r="K966" s="13"/>
      <c r="L966" s="13"/>
    </row>
    <row r="967" spans="1:12" x14ac:dyDescent="0.25">
      <c r="A967" s="1" t="s">
        <v>166</v>
      </c>
      <c r="B967" s="1" t="s">
        <v>167</v>
      </c>
      <c r="C967" s="1" t="s">
        <v>338</v>
      </c>
      <c r="D967" s="1">
        <v>39.785200000000003</v>
      </c>
      <c r="E967" s="1">
        <v>-98.785499999999999</v>
      </c>
      <c r="F967" s="1" t="s">
        <v>1922</v>
      </c>
      <c r="G967" s="22">
        <v>855.21390096906396</v>
      </c>
      <c r="H967" s="20">
        <f ca="1">NOW() - TIME(5,30,0) + (VLOOKUP(MasterTable[[#This Row],[TimeZone]], $O$3:$P$8, 2, FALSE) / 24)</f>
        <v>45990.531878125003</v>
      </c>
      <c r="I967" s="1" t="s">
        <v>1944</v>
      </c>
      <c r="J967" s="1">
        <v>896.53</v>
      </c>
      <c r="K967" s="13"/>
      <c r="L967" s="13"/>
    </row>
    <row r="968" spans="1:12" x14ac:dyDescent="0.25">
      <c r="A968" s="1" t="s">
        <v>166</v>
      </c>
      <c r="B968" s="1" t="s">
        <v>167</v>
      </c>
      <c r="C968" s="1" t="s">
        <v>1797</v>
      </c>
      <c r="D968" s="1">
        <v>39.350299999999997</v>
      </c>
      <c r="E968" s="1">
        <v>-98.767899999999997</v>
      </c>
      <c r="F968" s="1" t="s">
        <v>1922</v>
      </c>
      <c r="G968" s="22">
        <v>839.61885836018519</v>
      </c>
      <c r="H968" s="20">
        <f ca="1">NOW() - TIME(5,30,0) + (VLOOKUP(MasterTable[[#This Row],[TimeZone]], $O$3:$P$8, 2, FALSE) / 24)</f>
        <v>45990.531878125003</v>
      </c>
      <c r="I968" s="1" t="s">
        <v>1944</v>
      </c>
      <c r="J968" s="1">
        <v>894.28</v>
      </c>
      <c r="K968" s="13"/>
      <c r="L968" s="13"/>
    </row>
    <row r="969" spans="1:12" x14ac:dyDescent="0.25">
      <c r="A969" s="1" t="s">
        <v>166</v>
      </c>
      <c r="B969" s="1" t="s">
        <v>167</v>
      </c>
      <c r="C969" s="1" t="s">
        <v>515</v>
      </c>
      <c r="D969" s="1">
        <v>37.15</v>
      </c>
      <c r="E969" s="1">
        <v>-96.245400000000004</v>
      </c>
      <c r="F969" s="1" t="s">
        <v>1922</v>
      </c>
      <c r="G969" s="22">
        <v>899.71307344329375</v>
      </c>
      <c r="H969" s="20">
        <f ca="1">NOW() - TIME(5,30,0) + (VLOOKUP(MasterTable[[#This Row],[TimeZone]], $O$3:$P$8, 2, FALSE) / 24)</f>
        <v>45990.531878125003</v>
      </c>
      <c r="I969" s="1" t="s">
        <v>1944</v>
      </c>
      <c r="J969" s="1">
        <v>644.83000000000004</v>
      </c>
      <c r="K969" s="13"/>
      <c r="L969" s="13"/>
    </row>
    <row r="970" spans="1:12" x14ac:dyDescent="0.25">
      <c r="A970" s="1" t="s">
        <v>166</v>
      </c>
      <c r="B970" s="1" t="s">
        <v>167</v>
      </c>
      <c r="C970" s="1" t="s">
        <v>1821</v>
      </c>
      <c r="D970" s="1">
        <v>37.886699999999998</v>
      </c>
      <c r="E970" s="1">
        <v>-95.740099999999998</v>
      </c>
      <c r="F970" s="1" t="s">
        <v>1922</v>
      </c>
      <c r="G970" s="22">
        <v>942.43668842240982</v>
      </c>
      <c r="H970" s="20">
        <f ca="1">NOW() - TIME(5,30,0) + (VLOOKUP(MasterTable[[#This Row],[TimeZone]], $O$3:$P$8, 2, FALSE) / 24)</f>
        <v>45990.531878125003</v>
      </c>
      <c r="I970" s="1" t="s">
        <v>1944</v>
      </c>
      <c r="J970" s="1">
        <v>505.45</v>
      </c>
      <c r="K970" s="13"/>
      <c r="L970" s="13"/>
    </row>
    <row r="971" spans="1:12" x14ac:dyDescent="0.25">
      <c r="A971" s="1" t="s">
        <v>166</v>
      </c>
      <c r="B971" s="1" t="s">
        <v>167</v>
      </c>
      <c r="C971" s="1" t="s">
        <v>1356</v>
      </c>
      <c r="D971" s="1">
        <v>38.523099999999999</v>
      </c>
      <c r="E971" s="1">
        <v>-99.309200000000004</v>
      </c>
      <c r="F971" s="1" t="s">
        <v>1922</v>
      </c>
      <c r="G971" s="22">
        <v>785.13629548219308</v>
      </c>
      <c r="H971" s="20">
        <f ca="1">NOW() - TIME(5,30,0) + (VLOOKUP(MasterTable[[#This Row],[TimeZone]], $O$3:$P$8, 2, FALSE) / 24)</f>
        <v>45990.531878125003</v>
      </c>
      <c r="I971" s="1" t="s">
        <v>1944</v>
      </c>
      <c r="J971" s="1">
        <v>408.62</v>
      </c>
      <c r="K971" s="13"/>
      <c r="L971" s="13"/>
    </row>
    <row r="972" spans="1:12" x14ac:dyDescent="0.25">
      <c r="A972" s="1" t="s">
        <v>166</v>
      </c>
      <c r="B972" s="1" t="s">
        <v>167</v>
      </c>
      <c r="C972" s="1" t="s">
        <v>632</v>
      </c>
      <c r="D972" s="1">
        <v>39.045299999999997</v>
      </c>
      <c r="E972" s="1">
        <v>-98.207700000000003</v>
      </c>
      <c r="F972" s="1" t="s">
        <v>1922</v>
      </c>
      <c r="G972" s="22">
        <v>854.55379299696733</v>
      </c>
      <c r="H972" s="20">
        <f ca="1">NOW() - TIME(5,30,0) + (VLOOKUP(MasterTable[[#This Row],[TimeZone]], $O$3:$P$8, 2, FALSE) / 24)</f>
        <v>45990.531878125003</v>
      </c>
      <c r="I972" s="1" t="s">
        <v>1944</v>
      </c>
      <c r="J972" s="1">
        <v>572.16999999999996</v>
      </c>
      <c r="K972" s="13"/>
      <c r="L972" s="13"/>
    </row>
    <row r="973" spans="1:12" x14ac:dyDescent="0.25">
      <c r="A973" s="1" t="s">
        <v>166</v>
      </c>
      <c r="B973" s="1" t="s">
        <v>167</v>
      </c>
      <c r="C973" s="1" t="s">
        <v>1828</v>
      </c>
      <c r="D973" s="1">
        <v>39.784700000000001</v>
      </c>
      <c r="E973" s="1">
        <v>-98.218299999999999</v>
      </c>
      <c r="F973" s="1" t="s">
        <v>1922</v>
      </c>
      <c r="G973" s="22">
        <v>880.4051711146866</v>
      </c>
      <c r="H973" s="20">
        <f ca="1">NOW() - TIME(5,30,0) + (VLOOKUP(MasterTable[[#This Row],[TimeZone]], $O$3:$P$8, 2, FALSE) / 24)</f>
        <v>45990.531878125003</v>
      </c>
      <c r="I973" s="1" t="s">
        <v>1944</v>
      </c>
      <c r="J973" s="1">
        <v>914.47</v>
      </c>
      <c r="K973" s="13"/>
      <c r="L973" s="13"/>
    </row>
    <row r="974" spans="1:12" x14ac:dyDescent="0.25">
      <c r="A974" s="1" t="s">
        <v>166</v>
      </c>
      <c r="B974" s="1" t="s">
        <v>167</v>
      </c>
      <c r="C974" s="1" t="s">
        <v>1708</v>
      </c>
      <c r="D974" s="1">
        <v>37.887599999999999</v>
      </c>
      <c r="E974" s="1">
        <v>-99.312100000000001</v>
      </c>
      <c r="F974" s="1" t="s">
        <v>1922</v>
      </c>
      <c r="G974" s="22">
        <v>763.87035760623314</v>
      </c>
      <c r="H974" s="20">
        <f ca="1">NOW() - TIME(5,30,0) + (VLOOKUP(MasterTable[[#This Row],[TimeZone]], $O$3:$P$8, 2, FALSE) / 24)</f>
        <v>45990.531878125003</v>
      </c>
      <c r="I974" s="1" t="s">
        <v>1944</v>
      </c>
      <c r="J974" s="1">
        <v>222.66</v>
      </c>
      <c r="K974" s="13"/>
      <c r="L974" s="13"/>
    </row>
    <row r="975" spans="1:12" x14ac:dyDescent="0.25">
      <c r="A975" s="1" t="s">
        <v>166</v>
      </c>
      <c r="B975" s="1" t="s">
        <v>167</v>
      </c>
      <c r="C975" s="1" t="s">
        <v>1831</v>
      </c>
      <c r="D975" s="1">
        <v>38.9161</v>
      </c>
      <c r="E975" s="1">
        <v>-100.483</v>
      </c>
      <c r="F975" s="1" t="s">
        <v>1922</v>
      </c>
      <c r="G975" s="22">
        <v>746.45416288388105</v>
      </c>
      <c r="H975" s="20">
        <f ca="1">NOW() - TIME(5,30,0) + (VLOOKUP(MasterTable[[#This Row],[TimeZone]], $O$3:$P$8, 2, FALSE) / 24)</f>
        <v>45990.531878125003</v>
      </c>
      <c r="I975" s="1" t="s">
        <v>1944</v>
      </c>
      <c r="J975" s="1">
        <v>1071.47</v>
      </c>
      <c r="K975" s="13"/>
      <c r="L975" s="13"/>
    </row>
    <row r="976" spans="1:12" x14ac:dyDescent="0.25">
      <c r="A976" s="1" t="s">
        <v>166</v>
      </c>
      <c r="B976" s="1" t="s">
        <v>167</v>
      </c>
      <c r="C976" s="1" t="s">
        <v>1832</v>
      </c>
      <c r="D976" s="1">
        <v>38.914299999999997</v>
      </c>
      <c r="E976" s="1">
        <v>-99.872799999999998</v>
      </c>
      <c r="F976" s="1" t="s">
        <v>1922</v>
      </c>
      <c r="G976" s="22">
        <v>773.51442604814451</v>
      </c>
      <c r="H976" s="20">
        <f ca="1">NOW() - TIME(5,30,0) + (VLOOKUP(MasterTable[[#This Row],[TimeZone]], $O$3:$P$8, 2, FALSE) / 24)</f>
        <v>45990.531878125003</v>
      </c>
      <c r="I976" s="1" t="s">
        <v>1944</v>
      </c>
      <c r="J976" s="1">
        <v>899.02</v>
      </c>
      <c r="K976" s="13"/>
      <c r="L976" s="13"/>
    </row>
    <row r="977" spans="1:12" x14ac:dyDescent="0.25">
      <c r="A977" s="1" t="s">
        <v>166</v>
      </c>
      <c r="B977" s="1" t="s">
        <v>167</v>
      </c>
      <c r="C977" s="1" t="s">
        <v>1087</v>
      </c>
      <c r="D977" s="1">
        <v>39.784700000000001</v>
      </c>
      <c r="E977" s="1">
        <v>-100.4599</v>
      </c>
      <c r="F977" s="1" t="s">
        <v>1922</v>
      </c>
      <c r="G977" s="22">
        <v>783.44599317270627</v>
      </c>
      <c r="H977" s="20">
        <f ca="1">NOW() - TIME(5,30,0) + (VLOOKUP(MasterTable[[#This Row],[TimeZone]], $O$3:$P$8, 2, FALSE) / 24)</f>
        <v>45990.531878125003</v>
      </c>
      <c r="I977" s="1" t="s">
        <v>1944</v>
      </c>
      <c r="J977" s="1">
        <v>623.16</v>
      </c>
      <c r="K977" s="13"/>
      <c r="L977" s="13"/>
    </row>
    <row r="978" spans="1:12" x14ac:dyDescent="0.25">
      <c r="A978" s="1" t="s">
        <v>166</v>
      </c>
      <c r="B978" s="1" t="s">
        <v>167</v>
      </c>
      <c r="C978" s="1" t="s">
        <v>837</v>
      </c>
      <c r="D978" s="1">
        <v>38.917299999999997</v>
      </c>
      <c r="E978" s="1">
        <v>-101.1484</v>
      </c>
      <c r="F978" s="1" t="s">
        <v>1922</v>
      </c>
      <c r="G978" s="22">
        <v>717.60526648877124</v>
      </c>
      <c r="H978" s="20">
        <f ca="1">NOW() - TIME(5,30,0) + (VLOOKUP(MasterTable[[#This Row],[TimeZone]], $O$3:$P$8, 2, FALSE) / 24)</f>
        <v>45990.531878125003</v>
      </c>
      <c r="I978" s="1" t="s">
        <v>1944</v>
      </c>
      <c r="J978" s="1">
        <v>731.5</v>
      </c>
      <c r="K978" s="13"/>
      <c r="L978" s="13"/>
    </row>
    <row r="979" spans="1:12" x14ac:dyDescent="0.25">
      <c r="A979" s="1" t="s">
        <v>166</v>
      </c>
      <c r="B979" s="1" t="s">
        <v>167</v>
      </c>
      <c r="C979" s="1" t="s">
        <v>1834</v>
      </c>
      <c r="D979" s="1">
        <v>38.479399999999998</v>
      </c>
      <c r="E979" s="1">
        <v>-99.916200000000003</v>
      </c>
      <c r="F979" s="1" t="s">
        <v>1922</v>
      </c>
      <c r="G979" s="22">
        <v>755.41079096416308</v>
      </c>
      <c r="H979" s="20">
        <f ca="1">NOW() - TIME(5,30,0) + (VLOOKUP(MasterTable[[#This Row],[TimeZone]], $O$3:$P$8, 2, FALSE) / 24)</f>
        <v>45990.531878125003</v>
      </c>
      <c r="I979" s="1" t="s">
        <v>1944</v>
      </c>
      <c r="J979" s="1">
        <v>1075</v>
      </c>
      <c r="K979" s="13"/>
      <c r="L979" s="13"/>
    </row>
    <row r="980" spans="1:12" x14ac:dyDescent="0.25">
      <c r="A980" s="1" t="s">
        <v>166</v>
      </c>
      <c r="B980" s="1" t="s">
        <v>167</v>
      </c>
      <c r="C980" s="1" t="s">
        <v>1032</v>
      </c>
      <c r="D980" s="1">
        <v>37.191400000000002</v>
      </c>
      <c r="E980" s="1">
        <v>-101.7992</v>
      </c>
      <c r="F980" s="1" t="s">
        <v>1922</v>
      </c>
      <c r="G980" s="22">
        <v>621.39262952973479</v>
      </c>
      <c r="H980" s="20">
        <f ca="1">NOW() - TIME(5,30,0) + (VLOOKUP(MasterTable[[#This Row],[TimeZone]], $O$3:$P$8, 2, FALSE) / 24)</f>
        <v>45990.531878125003</v>
      </c>
      <c r="I980" s="1" t="s">
        <v>1944</v>
      </c>
      <c r="J980" s="1">
        <v>729.94</v>
      </c>
      <c r="K980" s="13"/>
      <c r="L980" s="13"/>
    </row>
    <row r="981" spans="1:12" x14ac:dyDescent="0.25">
      <c r="A981" s="1" t="s">
        <v>166</v>
      </c>
      <c r="B981" s="1" t="s">
        <v>167</v>
      </c>
      <c r="C981" s="1" t="s">
        <v>1573</v>
      </c>
      <c r="D981" s="1">
        <v>39.785899999999998</v>
      </c>
      <c r="E981" s="1">
        <v>-101.7319</v>
      </c>
      <c r="F981" s="1" t="s">
        <v>1922</v>
      </c>
      <c r="G981" s="22">
        <v>732.22375856245912</v>
      </c>
      <c r="H981" s="20">
        <f ca="1">NOW() - TIME(5,30,0) + (VLOOKUP(MasterTable[[#This Row],[TimeZone]], $O$3:$P$8, 2, FALSE) / 24)</f>
        <v>45990.531878125003</v>
      </c>
      <c r="I981" s="1" t="s">
        <v>1944</v>
      </c>
      <c r="J981" s="1">
        <v>1781.37</v>
      </c>
      <c r="K981" s="13"/>
      <c r="L981" s="13"/>
    </row>
    <row r="982" spans="1:12" x14ac:dyDescent="0.25">
      <c r="A982" s="1" t="s">
        <v>166</v>
      </c>
      <c r="B982" s="1" t="s">
        <v>167</v>
      </c>
      <c r="C982" s="1" t="s">
        <v>1795</v>
      </c>
      <c r="D982" s="1">
        <v>38.302</v>
      </c>
      <c r="E982" s="1">
        <v>-96.593999999999994</v>
      </c>
      <c r="F982" s="1" t="s">
        <v>1922</v>
      </c>
      <c r="G982" s="22">
        <v>909.795401357988</v>
      </c>
      <c r="H982" s="20">
        <f ca="1">NOW() - TIME(5,30,0) + (VLOOKUP(MasterTable[[#This Row],[TimeZone]], $O$3:$P$8, 2, FALSE) / 24)</f>
        <v>45990.531878125003</v>
      </c>
      <c r="I982" s="1" t="s">
        <v>1944</v>
      </c>
      <c r="J982" s="1">
        <v>778.01</v>
      </c>
      <c r="K982" s="13"/>
      <c r="L982" s="13"/>
    </row>
    <row r="983" spans="1:12" x14ac:dyDescent="0.25">
      <c r="A983" s="1" t="s">
        <v>166</v>
      </c>
      <c r="B983" s="1" t="s">
        <v>167</v>
      </c>
      <c r="C983" s="1" t="s">
        <v>1840</v>
      </c>
      <c r="D983" s="1">
        <v>39.785200000000003</v>
      </c>
      <c r="E983" s="1">
        <v>-101.0765</v>
      </c>
      <c r="F983" s="1" t="s">
        <v>1922</v>
      </c>
      <c r="G983" s="22">
        <v>758.2191576718277</v>
      </c>
      <c r="H983" s="20">
        <f ca="1">NOW() - TIME(5,30,0) + (VLOOKUP(MasterTable[[#This Row],[TimeZone]], $O$3:$P$8, 2, FALSE) / 24)</f>
        <v>45990.531878125003</v>
      </c>
      <c r="I983" s="1" t="s">
        <v>1944</v>
      </c>
      <c r="J983" s="1">
        <v>1069.72</v>
      </c>
      <c r="K983" s="13"/>
      <c r="L983" s="13"/>
    </row>
    <row r="984" spans="1:12" x14ac:dyDescent="0.25">
      <c r="A984" s="1" t="s">
        <v>166</v>
      </c>
      <c r="B984" s="1" t="s">
        <v>167</v>
      </c>
      <c r="C984" s="1" t="s">
        <v>121</v>
      </c>
      <c r="D984" s="1">
        <v>37.999099999999999</v>
      </c>
      <c r="E984" s="1">
        <v>-101.7912</v>
      </c>
      <c r="F984" s="1" t="s">
        <v>1923</v>
      </c>
      <c r="G984" s="22">
        <v>652.1166160996579</v>
      </c>
      <c r="H984" s="20">
        <f ca="1">NOW() - TIME(5,30,0) + (VLOOKUP(MasterTable[[#This Row],[TimeZone]], $O$3:$P$8, 2, FALSE) / 24)</f>
        <v>45990.490211458338</v>
      </c>
      <c r="I984" s="1" t="s">
        <v>1944</v>
      </c>
      <c r="J984" s="1">
        <v>519.30999999999995</v>
      </c>
      <c r="K984" s="13"/>
      <c r="L984" s="13"/>
    </row>
    <row r="985" spans="1:12" x14ac:dyDescent="0.25">
      <c r="A985" s="1" t="s">
        <v>166</v>
      </c>
      <c r="B985" s="1" t="s">
        <v>167</v>
      </c>
      <c r="C985" s="1" t="s">
        <v>1067</v>
      </c>
      <c r="D985" s="1">
        <v>37.453699999999998</v>
      </c>
      <c r="E985" s="1">
        <v>-96.244100000000003</v>
      </c>
      <c r="F985" s="1" t="s">
        <v>1922</v>
      </c>
      <c r="G985" s="22">
        <v>906.4446093178243</v>
      </c>
      <c r="H985" s="20">
        <f ca="1">NOW() - TIME(5,30,0) + (VLOOKUP(MasterTable[[#This Row],[TimeZone]], $O$3:$P$8, 2, FALSE) / 24)</f>
        <v>45990.531878125003</v>
      </c>
      <c r="I985" s="1" t="s">
        <v>1944</v>
      </c>
      <c r="J985" s="1">
        <v>650.36</v>
      </c>
      <c r="K985" s="13"/>
      <c r="L985" s="13"/>
    </row>
    <row r="986" spans="1:12" x14ac:dyDescent="0.25">
      <c r="A986" s="1" t="s">
        <v>166</v>
      </c>
      <c r="B986" s="1" t="s">
        <v>167</v>
      </c>
      <c r="C986" s="1" t="s">
        <v>1051</v>
      </c>
      <c r="D986" s="1">
        <v>39.350299999999997</v>
      </c>
      <c r="E986" s="1">
        <v>-100.4418</v>
      </c>
      <c r="F986" s="1" t="s">
        <v>1922</v>
      </c>
      <c r="G986" s="22">
        <v>765.85610550383933</v>
      </c>
      <c r="H986" s="20">
        <f ca="1">NOW() - TIME(5,30,0) + (VLOOKUP(MasterTable[[#This Row],[TimeZone]], $O$3:$P$8, 2, FALSE) / 24)</f>
        <v>45990.531878125003</v>
      </c>
      <c r="I986" s="1" t="s">
        <v>1944</v>
      </c>
      <c r="J986" s="1">
        <v>896.61</v>
      </c>
      <c r="K986" s="13"/>
      <c r="L986" s="18"/>
    </row>
    <row r="987" spans="1:12" x14ac:dyDescent="0.25">
      <c r="A987" s="1" t="s">
        <v>166</v>
      </c>
      <c r="B987" s="1" t="s">
        <v>167</v>
      </c>
      <c r="C987" s="1" t="s">
        <v>1610</v>
      </c>
      <c r="D987" s="1">
        <v>37.558199999999999</v>
      </c>
      <c r="E987" s="1">
        <v>-99.286100000000005</v>
      </c>
      <c r="F987" s="1" t="s">
        <v>1922</v>
      </c>
      <c r="G987" s="22">
        <v>754.9641471392539</v>
      </c>
      <c r="H987" s="20">
        <f ca="1">NOW() - TIME(5,30,0) + (VLOOKUP(MasterTable[[#This Row],[TimeZone]], $O$3:$P$8, 2, FALSE) / 24)</f>
        <v>45990.531878125003</v>
      </c>
      <c r="I987" s="1" t="s">
        <v>1944</v>
      </c>
      <c r="J987" s="1">
        <v>1785.76</v>
      </c>
      <c r="K987" s="13"/>
      <c r="L987" s="13"/>
    </row>
    <row r="988" spans="1:12" x14ac:dyDescent="0.25">
      <c r="A988" s="1" t="s">
        <v>166</v>
      </c>
      <c r="B988" s="1" t="s">
        <v>167</v>
      </c>
      <c r="C988" s="1" t="s">
        <v>966</v>
      </c>
      <c r="D988" s="1">
        <v>39.349699999999999</v>
      </c>
      <c r="E988" s="1">
        <v>-99.883200000000002</v>
      </c>
      <c r="F988" s="1" t="s">
        <v>1922</v>
      </c>
      <c r="G988" s="22">
        <v>789.98697029125628</v>
      </c>
      <c r="H988" s="20">
        <f ca="1">NOW() - TIME(5,30,0) + (VLOOKUP(MasterTable[[#This Row],[TimeZone]], $O$3:$P$8, 2, FALSE) / 24)</f>
        <v>45990.531878125003</v>
      </c>
      <c r="I988" s="1" t="s">
        <v>1944</v>
      </c>
      <c r="J988" s="1">
        <v>4641.1400000000003</v>
      </c>
      <c r="K988" s="13"/>
      <c r="L988" s="13"/>
    </row>
    <row r="989" spans="1:12" x14ac:dyDescent="0.25">
      <c r="A989" s="1" t="s">
        <v>166</v>
      </c>
      <c r="B989" s="1" t="s">
        <v>167</v>
      </c>
      <c r="C989" s="1" t="s">
        <v>506</v>
      </c>
      <c r="D989" s="1">
        <v>38.482100000000003</v>
      </c>
      <c r="E989" s="1">
        <v>-101.34739999999999</v>
      </c>
      <c r="F989" s="1" t="s">
        <v>1922</v>
      </c>
      <c r="G989" s="22">
        <v>691.08965890229183</v>
      </c>
      <c r="H989" s="20">
        <f ca="1">NOW() - TIME(5,30,0) + (VLOOKUP(MasterTable[[#This Row],[TimeZone]], $O$3:$P$8, 2, FALSE) / 24)</f>
        <v>45990.531878125003</v>
      </c>
      <c r="I989" s="1" t="s">
        <v>1944</v>
      </c>
      <c r="J989" s="1">
        <v>718.54</v>
      </c>
      <c r="K989" s="13"/>
      <c r="L989" s="13"/>
    </row>
    <row r="990" spans="1:12" x14ac:dyDescent="0.25">
      <c r="A990" s="1" t="s">
        <v>166</v>
      </c>
      <c r="B990" s="1" t="s">
        <v>167</v>
      </c>
      <c r="C990" s="1" t="s">
        <v>1718</v>
      </c>
      <c r="D990" s="1">
        <v>37.563000000000002</v>
      </c>
      <c r="E990" s="1">
        <v>-101.7842</v>
      </c>
      <c r="F990" s="1" t="s">
        <v>1922</v>
      </c>
      <c r="G990" s="22">
        <v>635.629289225457</v>
      </c>
      <c r="H990" s="20">
        <f ca="1">NOW() - TIME(5,30,0) + (VLOOKUP(MasterTable[[#This Row],[TimeZone]], $O$3:$P$8, 2, FALSE) / 24)</f>
        <v>45990.531878125003</v>
      </c>
      <c r="I990" s="1" t="s">
        <v>1944</v>
      </c>
      <c r="J990" s="1">
        <v>680.06</v>
      </c>
      <c r="K990" s="13"/>
      <c r="L990" s="13"/>
    </row>
    <row r="991" spans="1:12" x14ac:dyDescent="0.25">
      <c r="A991" s="1" t="s">
        <v>166</v>
      </c>
      <c r="B991" s="1" t="s">
        <v>167</v>
      </c>
      <c r="C991" s="1" t="s">
        <v>23</v>
      </c>
      <c r="D991" s="1">
        <v>37.235500000000002</v>
      </c>
      <c r="E991" s="1">
        <v>-99.820300000000003</v>
      </c>
      <c r="F991" s="1" t="s">
        <v>1922</v>
      </c>
      <c r="G991" s="22">
        <v>718.87745108865806</v>
      </c>
      <c r="H991" s="20">
        <f ca="1">NOW() - TIME(5,30,0) + (VLOOKUP(MasterTable[[#This Row],[TimeZone]], $O$3:$P$8, 2, FALSE) / 24)</f>
        <v>45990.531878125003</v>
      </c>
      <c r="I991" s="1" t="s">
        <v>1944</v>
      </c>
      <c r="J991" s="1">
        <v>882.6</v>
      </c>
      <c r="K991" s="13"/>
      <c r="L991" s="13"/>
    </row>
    <row r="992" spans="1:12" x14ac:dyDescent="0.25">
      <c r="A992" s="1" t="s">
        <v>166</v>
      </c>
      <c r="B992" s="1" t="s">
        <v>167</v>
      </c>
      <c r="C992" s="1" t="s">
        <v>526</v>
      </c>
      <c r="D992" s="1">
        <v>37.191299999999998</v>
      </c>
      <c r="E992" s="1">
        <v>-99.271799999999999</v>
      </c>
      <c r="F992" s="1" t="s">
        <v>1922</v>
      </c>
      <c r="G992" s="22">
        <v>745.00801329904948</v>
      </c>
      <c r="H992" s="20">
        <f ca="1">NOW() - TIME(5,30,0) + (VLOOKUP(MasterTable[[#This Row],[TimeZone]], $O$3:$P$8, 2, FALSE) / 24)</f>
        <v>45990.531878125003</v>
      </c>
      <c r="I992" s="1" t="s">
        <v>1944</v>
      </c>
      <c r="J992" s="1">
        <v>789.7</v>
      </c>
      <c r="K992" s="13"/>
      <c r="L992" s="13"/>
    </row>
    <row r="993" spans="1:12" x14ac:dyDescent="0.25">
      <c r="A993" s="1" t="s">
        <v>166</v>
      </c>
      <c r="B993" s="1" t="s">
        <v>167</v>
      </c>
      <c r="C993" s="1" t="s">
        <v>1879</v>
      </c>
      <c r="D993" s="1">
        <v>38.087499999999999</v>
      </c>
      <c r="E993" s="1">
        <v>-99.897900000000007</v>
      </c>
      <c r="F993" s="1" t="s">
        <v>1922</v>
      </c>
      <c r="G993" s="22">
        <v>742.44907234267316</v>
      </c>
      <c r="H993" s="20">
        <f ca="1">NOW() - TIME(5,30,0) + (VLOOKUP(MasterTable[[#This Row],[TimeZone]], $O$3:$P$8, 2, FALSE) / 24)</f>
        <v>45990.531878125003</v>
      </c>
      <c r="I993" s="1" t="s">
        <v>1944</v>
      </c>
      <c r="J993" s="1">
        <v>860.24</v>
      </c>
      <c r="K993" s="13"/>
      <c r="L993" s="13"/>
    </row>
    <row r="994" spans="1:12" x14ac:dyDescent="0.25">
      <c r="A994" s="1" t="s">
        <v>166</v>
      </c>
      <c r="B994" s="1" t="s">
        <v>167</v>
      </c>
      <c r="C994" s="1" t="s">
        <v>250</v>
      </c>
      <c r="D994" s="1">
        <v>38.481299999999997</v>
      </c>
      <c r="E994" s="1">
        <v>-100.46639999999999</v>
      </c>
      <c r="F994" s="1" t="s">
        <v>1922</v>
      </c>
      <c r="G994" s="22">
        <v>730.34042509229425</v>
      </c>
      <c r="H994" s="20">
        <f ca="1">NOW() - TIME(5,30,0) + (VLOOKUP(MasterTable[[#This Row],[TimeZone]], $O$3:$P$8, 2, FALSE) / 24)</f>
        <v>45990.531878125003</v>
      </c>
      <c r="I994" s="1" t="s">
        <v>1944</v>
      </c>
      <c r="J994" s="1">
        <v>717.43</v>
      </c>
      <c r="K994" s="13"/>
      <c r="L994" s="13"/>
    </row>
    <row r="995" spans="1:12" x14ac:dyDescent="0.25">
      <c r="A995" s="1" t="s">
        <v>166</v>
      </c>
      <c r="B995" s="1" t="s">
        <v>167</v>
      </c>
      <c r="C995" s="1" t="s">
        <v>1887</v>
      </c>
      <c r="D995" s="1">
        <v>38.916699999999999</v>
      </c>
      <c r="E995" s="1">
        <v>-101.7636</v>
      </c>
      <c r="F995" s="1" t="s">
        <v>1923</v>
      </c>
      <c r="G995" s="22">
        <v>691.57385434969729</v>
      </c>
      <c r="H995" s="20">
        <f ca="1">NOW() - TIME(5,30,0) + (VLOOKUP(MasterTable[[#This Row],[TimeZone]], $O$3:$P$8, 2, FALSE) / 24)</f>
        <v>45990.490211458338</v>
      </c>
      <c r="I995" s="1" t="s">
        <v>1944</v>
      </c>
      <c r="J995" s="1">
        <v>914.05</v>
      </c>
      <c r="K995" s="13"/>
      <c r="L995" s="18"/>
    </row>
    <row r="996" spans="1:12" x14ac:dyDescent="0.25">
      <c r="A996" s="1" t="s">
        <v>166</v>
      </c>
      <c r="B996" s="1" t="s">
        <v>167</v>
      </c>
      <c r="C996" s="1" t="s">
        <v>1854</v>
      </c>
      <c r="D996" s="1">
        <v>38.480600000000003</v>
      </c>
      <c r="E996" s="1">
        <v>-101.806</v>
      </c>
      <c r="F996" s="1" t="s">
        <v>1923</v>
      </c>
      <c r="G996" s="22">
        <v>671.11254120943886</v>
      </c>
      <c r="H996" s="20">
        <f ca="1">NOW() - TIME(5,30,0) + (VLOOKUP(MasterTable[[#This Row],[TimeZone]], $O$3:$P$8, 2, FALSE) / 24)</f>
        <v>45990.490211458338</v>
      </c>
      <c r="I996" s="1" t="s">
        <v>1944</v>
      </c>
      <c r="J996" s="1">
        <v>778.01</v>
      </c>
      <c r="K996" s="13"/>
      <c r="L996" s="13"/>
    </row>
    <row r="997" spans="1:12" x14ac:dyDescent="0.25">
      <c r="A997" s="1" t="s">
        <v>130</v>
      </c>
      <c r="B997" s="1" t="s">
        <v>131</v>
      </c>
      <c r="C997" s="1" t="s">
        <v>129</v>
      </c>
      <c r="D997" s="1">
        <v>38.187199999999997</v>
      </c>
      <c r="E997" s="1">
        <v>-85.659099999999995</v>
      </c>
      <c r="F997" s="1" t="s">
        <v>1925</v>
      </c>
      <c r="G997" s="22">
        <v>1479.6579763362226</v>
      </c>
      <c r="H997" s="20">
        <f ca="1">NOW() - TIME(5,30,0) + (VLOOKUP(MasterTable[[#This Row],[TimeZone]], $O$3:$P$8, 2, FALSE) / 24)</f>
        <v>45990.573544791667</v>
      </c>
      <c r="I997" s="1" t="s">
        <v>1944</v>
      </c>
      <c r="J997" s="1">
        <v>1123.8</v>
      </c>
      <c r="K997" s="10"/>
      <c r="L997" s="10"/>
    </row>
    <row r="998" spans="1:12" x14ac:dyDescent="0.25">
      <c r="A998" s="1" t="s">
        <v>130</v>
      </c>
      <c r="B998" s="1" t="s">
        <v>131</v>
      </c>
      <c r="C998" s="1" t="s">
        <v>279</v>
      </c>
      <c r="D998" s="1">
        <v>38.042299999999997</v>
      </c>
      <c r="E998" s="1">
        <v>-84.458699999999993</v>
      </c>
      <c r="F998" s="1" t="s">
        <v>1925</v>
      </c>
      <c r="G998" s="22">
        <v>1542.9619004406059</v>
      </c>
      <c r="H998" s="20">
        <f ca="1">NOW() - TIME(5,30,0) + (VLOOKUP(MasterTable[[#This Row],[TimeZone]], $O$3:$P$8, 2, FALSE) / 24)</f>
        <v>45990.573544791667</v>
      </c>
      <c r="I998" s="1" t="s">
        <v>1944</v>
      </c>
      <c r="J998" s="1">
        <v>629.34</v>
      </c>
      <c r="K998" s="11"/>
      <c r="L998" s="14"/>
    </row>
    <row r="999" spans="1:12" x14ac:dyDescent="0.25">
      <c r="A999" s="1" t="s">
        <v>130</v>
      </c>
      <c r="B999" s="1" t="s">
        <v>131</v>
      </c>
      <c r="C999" s="1" t="s">
        <v>427</v>
      </c>
      <c r="D999" s="1">
        <v>38.933399999999999</v>
      </c>
      <c r="E999" s="1">
        <v>-84.533299999999997</v>
      </c>
      <c r="F999" s="1" t="s">
        <v>1925</v>
      </c>
      <c r="G999" s="22">
        <v>1547.7257647099395</v>
      </c>
      <c r="H999" s="20">
        <f ca="1">NOW() - TIME(5,30,0) + (VLOOKUP(MasterTable[[#This Row],[TimeZone]], $O$3:$P$8, 2, FALSE) / 24)</f>
        <v>45990.573544791667</v>
      </c>
      <c r="I999" s="1" t="s">
        <v>1944</v>
      </c>
      <c r="J999" s="1">
        <v>164.38</v>
      </c>
      <c r="K999" s="11"/>
      <c r="L999" s="14"/>
    </row>
    <row r="1000" spans="1:12" x14ac:dyDescent="0.25">
      <c r="A1000" s="1" t="s">
        <v>130</v>
      </c>
      <c r="B1000" s="1" t="s">
        <v>131</v>
      </c>
      <c r="C1000" s="1" t="s">
        <v>398</v>
      </c>
      <c r="D1000" s="1">
        <v>38.969900000000003</v>
      </c>
      <c r="E1000" s="1">
        <v>-84.727800000000002</v>
      </c>
      <c r="F1000" s="1" t="s">
        <v>1925</v>
      </c>
      <c r="G1000" s="22">
        <v>1537.8276573047995</v>
      </c>
      <c r="H1000" s="20">
        <f ca="1">NOW() - TIME(5,30,0) + (VLOOKUP(MasterTable[[#This Row],[TimeZone]], $O$3:$P$8, 2, FALSE) / 24)</f>
        <v>45990.573544791667</v>
      </c>
      <c r="I1000" s="1" t="s">
        <v>1944</v>
      </c>
      <c r="J1000" s="1">
        <v>601.82000000000005</v>
      </c>
      <c r="K1000" s="11"/>
      <c r="L1000" s="14"/>
    </row>
    <row r="1001" spans="1:12" x14ac:dyDescent="0.25">
      <c r="A1001" s="1" t="s">
        <v>130</v>
      </c>
      <c r="B1001" s="1" t="s">
        <v>131</v>
      </c>
      <c r="C1001" s="1" t="s">
        <v>331</v>
      </c>
      <c r="D1001" s="1">
        <v>36.993600000000001</v>
      </c>
      <c r="E1001" s="1">
        <v>-86.4238</v>
      </c>
      <c r="F1001" s="1" t="s">
        <v>1922</v>
      </c>
      <c r="G1001" s="22">
        <v>1427.6545149019269</v>
      </c>
      <c r="H1001" s="20">
        <f ca="1">NOW() - TIME(5,30,0) + (VLOOKUP(MasterTable[[#This Row],[TimeZone]], $O$3:$P$8, 2, FALSE) / 24)</f>
        <v>45990.531878125003</v>
      </c>
      <c r="I1001" s="1" t="s">
        <v>1944</v>
      </c>
      <c r="J1001" s="1">
        <v>286.74</v>
      </c>
      <c r="K1001" s="11"/>
      <c r="L1001" s="14"/>
    </row>
    <row r="1002" spans="1:12" x14ac:dyDescent="0.25">
      <c r="A1002" s="1" t="s">
        <v>130</v>
      </c>
      <c r="B1002" s="1" t="s">
        <v>131</v>
      </c>
      <c r="C1002" s="1" t="s">
        <v>551</v>
      </c>
      <c r="D1002" s="1">
        <v>37.697899999999997</v>
      </c>
      <c r="E1002" s="1">
        <v>-85.963399999999993</v>
      </c>
      <c r="F1002" s="1" t="s">
        <v>1925</v>
      </c>
      <c r="G1002" s="22">
        <v>1458.5297952985875</v>
      </c>
      <c r="H1002" s="20">
        <f ca="1">NOW() - TIME(5,30,0) + (VLOOKUP(MasterTable[[#This Row],[TimeZone]], $O$3:$P$8, 2, FALSE) / 24)</f>
        <v>45990.573544791667</v>
      </c>
      <c r="I1002" s="1" t="s">
        <v>1944</v>
      </c>
      <c r="J1002" s="1">
        <v>181.53</v>
      </c>
      <c r="K1002" s="11"/>
      <c r="L1002" s="14"/>
    </row>
    <row r="1003" spans="1:12" x14ac:dyDescent="0.25">
      <c r="A1003" s="1" t="s">
        <v>130</v>
      </c>
      <c r="B1003" s="1" t="s">
        <v>131</v>
      </c>
      <c r="C1003" s="1" t="s">
        <v>579</v>
      </c>
      <c r="D1003" s="1">
        <v>37.7318</v>
      </c>
      <c r="E1003" s="1">
        <v>-87.087299999999999</v>
      </c>
      <c r="F1003" s="1" t="s">
        <v>1922</v>
      </c>
      <c r="G1003" s="22">
        <v>1398.0336111398765</v>
      </c>
      <c r="H1003" s="20">
        <f ca="1">NOW() - TIME(5,30,0) + (VLOOKUP(MasterTable[[#This Row],[TimeZone]], $O$3:$P$8, 2, FALSE) / 24)</f>
        <v>45990.531878125003</v>
      </c>
      <c r="I1003" s="1" t="s">
        <v>1944</v>
      </c>
      <c r="J1003" s="1">
        <v>436.86</v>
      </c>
      <c r="K1003" s="11"/>
      <c r="L1003" s="14"/>
    </row>
    <row r="1004" spans="1:12" x14ac:dyDescent="0.25">
      <c r="A1004" s="1" t="s">
        <v>130</v>
      </c>
      <c r="B1004" s="1" t="s">
        <v>131</v>
      </c>
      <c r="C1004" s="1" t="s">
        <v>244</v>
      </c>
      <c r="D1004" s="1">
        <v>37.720199999999998</v>
      </c>
      <c r="E1004" s="1">
        <v>-84.278000000000006</v>
      </c>
      <c r="F1004" s="1" t="s">
        <v>1925</v>
      </c>
      <c r="G1004" s="22">
        <v>1550.1908415188404</v>
      </c>
      <c r="H1004" s="20">
        <f ca="1">NOW() - TIME(5,30,0) + (VLOOKUP(MasterTable[[#This Row],[TimeZone]], $O$3:$P$8, 2, FALSE) / 24)</f>
        <v>45990.573544791667</v>
      </c>
      <c r="I1004" s="1" t="s">
        <v>1944</v>
      </c>
      <c r="J1004" s="1">
        <v>812.85</v>
      </c>
      <c r="K1004" s="11"/>
      <c r="L1004" s="14"/>
    </row>
    <row r="1005" spans="1:12" x14ac:dyDescent="0.25">
      <c r="A1005" s="1" t="s">
        <v>130</v>
      </c>
      <c r="B1005" s="1" t="s">
        <v>131</v>
      </c>
      <c r="C1005" s="1" t="s">
        <v>621</v>
      </c>
      <c r="D1005" s="1">
        <v>38.9465</v>
      </c>
      <c r="E1005" s="1">
        <v>-84.379499999999993</v>
      </c>
      <c r="F1005" s="1" t="s">
        <v>1925</v>
      </c>
      <c r="G1005" s="22">
        <v>1556.02985985135</v>
      </c>
      <c r="H1005" s="20">
        <f ca="1">NOW() - TIME(5,30,0) + (VLOOKUP(MasterTable[[#This Row],[TimeZone]], $O$3:$P$8, 2, FALSE) / 24)</f>
        <v>45990.573544791667</v>
      </c>
      <c r="I1005" s="1" t="s">
        <v>1944</v>
      </c>
      <c r="J1005" s="1">
        <v>159.43</v>
      </c>
      <c r="K1005" s="11"/>
      <c r="L1005" s="14"/>
    </row>
    <row r="1006" spans="1:12" x14ac:dyDescent="0.25">
      <c r="A1006" s="1" t="s">
        <v>130</v>
      </c>
      <c r="B1006" s="1" t="s">
        <v>131</v>
      </c>
      <c r="C1006" s="1" t="s">
        <v>654</v>
      </c>
      <c r="D1006" s="1">
        <v>37.970100000000002</v>
      </c>
      <c r="E1006" s="1">
        <v>-85.695899999999995</v>
      </c>
      <c r="F1006" s="1" t="s">
        <v>1925</v>
      </c>
      <c r="G1006" s="22">
        <v>1475.5295197899884</v>
      </c>
      <c r="H1006" s="20">
        <f ca="1">NOW() - TIME(5,30,0) + (VLOOKUP(MasterTable[[#This Row],[TimeZone]], $O$3:$P$8, 2, FALSE) / 24)</f>
        <v>45990.573544791667</v>
      </c>
      <c r="I1006" s="1" t="s">
        <v>1944</v>
      </c>
      <c r="J1006" s="1">
        <v>300.2</v>
      </c>
      <c r="K1006" s="11"/>
      <c r="L1006" s="14"/>
    </row>
    <row r="1007" spans="1:12" x14ac:dyDescent="0.25">
      <c r="A1007" s="1" t="s">
        <v>130</v>
      </c>
      <c r="B1007" s="1" t="s">
        <v>131</v>
      </c>
      <c r="C1007" s="1" t="s">
        <v>629</v>
      </c>
      <c r="D1007" s="1">
        <v>36.894100000000002</v>
      </c>
      <c r="E1007" s="1">
        <v>-87.490399999999994</v>
      </c>
      <c r="F1007" s="1" t="s">
        <v>1922</v>
      </c>
      <c r="G1007" s="22">
        <v>1368.3531325023678</v>
      </c>
      <c r="H1007" s="20">
        <f ca="1">NOW() - TIME(5,30,0) + (VLOOKUP(MasterTable[[#This Row],[TimeZone]], $O$3:$P$8, 2, FALSE) / 24)</f>
        <v>45990.531878125003</v>
      </c>
      <c r="I1007" s="1" t="s">
        <v>1944</v>
      </c>
      <c r="J1007" s="1">
        <v>715.71</v>
      </c>
      <c r="K1007" s="11"/>
      <c r="L1007" s="14"/>
    </row>
    <row r="1008" spans="1:12" x14ac:dyDescent="0.25">
      <c r="A1008" s="1" t="s">
        <v>130</v>
      </c>
      <c r="B1008" s="1" t="s">
        <v>131</v>
      </c>
      <c r="C1008" s="1" t="s">
        <v>717</v>
      </c>
      <c r="D1008" s="1">
        <v>38.3994</v>
      </c>
      <c r="E1008" s="1">
        <v>-85.448300000000003</v>
      </c>
      <c r="F1008" s="1" t="s">
        <v>1925</v>
      </c>
      <c r="G1008" s="22">
        <v>1493.1668104925509</v>
      </c>
      <c r="H1008" s="20">
        <f ca="1">NOW() - TIME(5,30,0) + (VLOOKUP(MasterTable[[#This Row],[TimeZone]], $O$3:$P$8, 2, FALSE) / 24)</f>
        <v>45990.573544791667</v>
      </c>
      <c r="I1008" s="1" t="s">
        <v>1944</v>
      </c>
      <c r="J1008" s="1">
        <v>196.54</v>
      </c>
      <c r="K1008" s="11"/>
      <c r="L1008" s="14"/>
    </row>
    <row r="1009" spans="1:12" x14ac:dyDescent="0.25">
      <c r="A1009" s="1" t="s">
        <v>130</v>
      </c>
      <c r="B1009" s="1" t="s">
        <v>131</v>
      </c>
      <c r="C1009" s="1" t="s">
        <v>724</v>
      </c>
      <c r="D1009" s="1">
        <v>37.054000000000002</v>
      </c>
      <c r="E1009" s="1">
        <v>-88.712800000000001</v>
      </c>
      <c r="F1009" s="1" t="s">
        <v>1922</v>
      </c>
      <c r="G1009" s="22">
        <v>1302.884774958228</v>
      </c>
      <c r="H1009" s="20">
        <f ca="1">NOW() - TIME(5,30,0) + (VLOOKUP(MasterTable[[#This Row],[TimeZone]], $O$3:$P$8, 2, FALSE) / 24)</f>
        <v>45990.531878125003</v>
      </c>
      <c r="I1009" s="1" t="s">
        <v>1944</v>
      </c>
      <c r="J1009" s="1">
        <v>268.08</v>
      </c>
      <c r="K1009" s="11"/>
      <c r="L1009" s="14"/>
    </row>
    <row r="1010" spans="1:12" x14ac:dyDescent="0.25">
      <c r="A1010" s="1" t="s">
        <v>130</v>
      </c>
      <c r="B1010" s="1" t="s">
        <v>131</v>
      </c>
      <c r="C1010" s="1" t="s">
        <v>241</v>
      </c>
      <c r="D1010" s="1">
        <v>37.103900000000003</v>
      </c>
      <c r="E1010" s="1">
        <v>-84.577200000000005</v>
      </c>
      <c r="F1010" s="1" t="s">
        <v>1925</v>
      </c>
      <c r="G1010" s="22">
        <v>1529.7523079550581</v>
      </c>
      <c r="H1010" s="20">
        <f ca="1">NOW() - TIME(5,30,0) + (VLOOKUP(MasterTable[[#This Row],[TimeZone]], $O$3:$P$8, 2, FALSE) / 24)</f>
        <v>45990.573544791667</v>
      </c>
      <c r="I1010" s="1" t="s">
        <v>1944</v>
      </c>
      <c r="J1010" s="1">
        <v>807.84</v>
      </c>
      <c r="K1010" s="11"/>
      <c r="L1010" s="14"/>
    </row>
    <row r="1011" spans="1:12" x14ac:dyDescent="0.25">
      <c r="A1011" s="1" t="s">
        <v>130</v>
      </c>
      <c r="B1011" s="1" t="s">
        <v>131</v>
      </c>
      <c r="C1011" s="1" t="s">
        <v>763</v>
      </c>
      <c r="D1011" s="1">
        <v>37.110700000000001</v>
      </c>
      <c r="E1011" s="1">
        <v>-84.117800000000003</v>
      </c>
      <c r="F1011" s="1" t="s">
        <v>1925</v>
      </c>
      <c r="G1011" s="22">
        <v>1555.0207969895703</v>
      </c>
      <c r="H1011" s="20">
        <f ca="1">NOW() - TIME(5,30,0) + (VLOOKUP(MasterTable[[#This Row],[TimeZone]], $O$3:$P$8, 2, FALSE) / 24)</f>
        <v>45990.573544791667</v>
      </c>
      <c r="I1011" s="1" t="s">
        <v>1944</v>
      </c>
      <c r="J1011" s="1">
        <v>443.74</v>
      </c>
      <c r="K1011" s="11"/>
      <c r="L1011" s="14"/>
    </row>
    <row r="1012" spans="1:12" x14ac:dyDescent="0.25">
      <c r="A1012" s="1" t="s">
        <v>130</v>
      </c>
      <c r="B1012" s="1" t="s">
        <v>131</v>
      </c>
      <c r="C1012" s="1" t="s">
        <v>419</v>
      </c>
      <c r="D1012" s="1">
        <v>38.291600000000003</v>
      </c>
      <c r="E1012" s="1">
        <v>-84.5839</v>
      </c>
      <c r="F1012" s="1" t="s">
        <v>1925</v>
      </c>
      <c r="G1012" s="22">
        <v>1538.4438692933945</v>
      </c>
      <c r="H1012" s="20">
        <f ca="1">NOW() - TIME(5,30,0) + (VLOOKUP(MasterTable[[#This Row],[TimeZone]], $O$3:$P$8, 2, FALSE) / 24)</f>
        <v>45990.573544791667</v>
      </c>
      <c r="I1012" s="1" t="s">
        <v>1944</v>
      </c>
      <c r="J1012" s="1">
        <v>898.09</v>
      </c>
      <c r="K1012" s="11"/>
      <c r="L1012" s="14"/>
    </row>
    <row r="1013" spans="1:12" x14ac:dyDescent="0.25">
      <c r="A1013" s="1" t="s">
        <v>130</v>
      </c>
      <c r="B1013" s="1" t="s">
        <v>131</v>
      </c>
      <c r="C1013" s="1" t="s">
        <v>783</v>
      </c>
      <c r="D1013" s="1">
        <v>37.469099999999997</v>
      </c>
      <c r="E1013" s="1">
        <v>-82.395799999999994</v>
      </c>
      <c r="F1013" s="1" t="s">
        <v>1925</v>
      </c>
      <c r="G1013" s="22">
        <v>1651.2817514957944</v>
      </c>
      <c r="H1013" s="20">
        <f ca="1">NOW() - TIME(5,30,0) + (VLOOKUP(MasterTable[[#This Row],[TimeZone]], $O$3:$P$8, 2, FALSE) / 24)</f>
        <v>45990.573544791667</v>
      </c>
      <c r="I1013" s="1" t="s">
        <v>1944</v>
      </c>
      <c r="J1013" s="1">
        <v>672.1</v>
      </c>
      <c r="K1013" s="11"/>
      <c r="L1013" s="14"/>
    </row>
    <row r="1014" spans="1:12" x14ac:dyDescent="0.25">
      <c r="A1014" s="1" t="s">
        <v>130</v>
      </c>
      <c r="B1014" s="1" t="s">
        <v>131</v>
      </c>
      <c r="C1014" s="1" t="s">
        <v>817</v>
      </c>
      <c r="D1014" s="1">
        <v>37.872</v>
      </c>
      <c r="E1014" s="1">
        <v>-84.5809</v>
      </c>
      <c r="F1014" s="1" t="s">
        <v>1925</v>
      </c>
      <c r="G1014" s="22">
        <v>1534.9356600060817</v>
      </c>
      <c r="H1014" s="20">
        <f ca="1">NOW() - TIME(5,30,0) + (VLOOKUP(MasterTable[[#This Row],[TimeZone]], $O$3:$P$8, 2, FALSE) / 24)</f>
        <v>45990.573544791667</v>
      </c>
      <c r="I1014" s="1" t="s">
        <v>1944</v>
      </c>
      <c r="J1014" s="1">
        <v>174.45</v>
      </c>
      <c r="K1014" s="11"/>
      <c r="L1014" s="14"/>
    </row>
    <row r="1015" spans="1:12" x14ac:dyDescent="0.25">
      <c r="A1015" s="1" t="s">
        <v>130</v>
      </c>
      <c r="B1015" s="1" t="s">
        <v>131</v>
      </c>
      <c r="C1015" s="1" t="s">
        <v>50</v>
      </c>
      <c r="D1015" s="1">
        <v>38.239100000000001</v>
      </c>
      <c r="E1015" s="1">
        <v>-84.877099999999999</v>
      </c>
      <c r="F1015" s="1" t="s">
        <v>1925</v>
      </c>
      <c r="G1015" s="22">
        <v>1522.1908348179359</v>
      </c>
      <c r="H1015" s="20">
        <f ca="1">NOW() - TIME(5,30,0) + (VLOOKUP(MasterTable[[#This Row],[TimeZone]], $O$3:$P$8, 2, FALSE) / 24)</f>
        <v>45990.573544791667</v>
      </c>
      <c r="I1015" s="1" t="s">
        <v>1944</v>
      </c>
      <c r="J1015" s="1">
        <v>646.51</v>
      </c>
      <c r="K1015" s="11"/>
      <c r="L1015" s="14"/>
    </row>
    <row r="1016" spans="1:12" x14ac:dyDescent="0.25">
      <c r="A1016" s="1" t="s">
        <v>130</v>
      </c>
      <c r="B1016" s="1" t="s">
        <v>131</v>
      </c>
      <c r="C1016" s="1" t="s">
        <v>107</v>
      </c>
      <c r="D1016" s="1">
        <v>38.215499999999999</v>
      </c>
      <c r="E1016" s="1">
        <v>-85.194800000000001</v>
      </c>
      <c r="F1016" s="1" t="s">
        <v>1925</v>
      </c>
      <c r="G1016" s="22">
        <v>1504.8871755259715</v>
      </c>
      <c r="H1016" s="20">
        <f ca="1">NOW() - TIME(5,30,0) + (VLOOKUP(MasterTable[[#This Row],[TimeZone]], $O$3:$P$8, 2, FALSE) / 24)</f>
        <v>45990.573544791667</v>
      </c>
      <c r="I1016" s="1" t="s">
        <v>1944</v>
      </c>
      <c r="J1016" s="1">
        <v>809.53</v>
      </c>
      <c r="K1016" s="11"/>
      <c r="L1016" s="14"/>
    </row>
    <row r="1017" spans="1:12" x14ac:dyDescent="0.25">
      <c r="A1017" s="1" t="s">
        <v>130</v>
      </c>
      <c r="B1017" s="1" t="s">
        <v>131</v>
      </c>
      <c r="C1017" s="1" t="s">
        <v>857</v>
      </c>
      <c r="D1017" s="1">
        <v>38.3596</v>
      </c>
      <c r="E1017" s="1">
        <v>-82.687799999999996</v>
      </c>
      <c r="F1017" s="1" t="s">
        <v>1925</v>
      </c>
      <c r="G1017" s="22">
        <v>1641.0226913337083</v>
      </c>
      <c r="H1017" s="20">
        <f ca="1">NOW() - TIME(5,30,0) + (VLOOKUP(MasterTable[[#This Row],[TimeZone]], $O$3:$P$8, 2, FALSE) / 24)</f>
        <v>45990.573544791667</v>
      </c>
      <c r="I1017" s="1" t="s">
        <v>1944</v>
      </c>
      <c r="J1017" s="1">
        <v>161.82</v>
      </c>
      <c r="K1017" s="11"/>
      <c r="L1017" s="14"/>
    </row>
    <row r="1018" spans="1:12" x14ac:dyDescent="0.25">
      <c r="A1018" s="1" t="s">
        <v>130</v>
      </c>
      <c r="B1018" s="1" t="s">
        <v>131</v>
      </c>
      <c r="C1018" s="1" t="s">
        <v>866</v>
      </c>
      <c r="D1018" s="1">
        <v>37.805199999999999</v>
      </c>
      <c r="E1018" s="1">
        <v>-85.465999999999994</v>
      </c>
      <c r="F1018" s="1" t="s">
        <v>1925</v>
      </c>
      <c r="G1018" s="22">
        <v>1486.4354283246776</v>
      </c>
      <c r="H1018" s="20">
        <f ca="1">NOW() - TIME(5,30,0) + (VLOOKUP(MasterTable[[#This Row],[TimeZone]], $O$3:$P$8, 2, FALSE) / 24)</f>
        <v>45990.573544791667</v>
      </c>
      <c r="I1018" s="1" t="s">
        <v>1944</v>
      </c>
      <c r="J1018" s="1">
        <v>424.07</v>
      </c>
      <c r="K1018" s="11"/>
      <c r="L1018" s="14"/>
    </row>
    <row r="1019" spans="1:12" x14ac:dyDescent="0.25">
      <c r="A1019" s="1" t="s">
        <v>130</v>
      </c>
      <c r="B1019" s="1" t="s">
        <v>131</v>
      </c>
      <c r="C1019" s="1" t="s">
        <v>887</v>
      </c>
      <c r="D1019" s="1">
        <v>37.308799999999998</v>
      </c>
      <c r="E1019" s="1">
        <v>-87.540800000000004</v>
      </c>
      <c r="F1019" s="1" t="s">
        <v>1922</v>
      </c>
      <c r="G1019" s="22">
        <v>1369.2386316351992</v>
      </c>
      <c r="H1019" s="20">
        <f ca="1">NOW() - TIME(5,30,0) + (VLOOKUP(MasterTable[[#This Row],[TimeZone]], $O$3:$P$8, 2, FALSE) / 24)</f>
        <v>45990.531878125003</v>
      </c>
      <c r="I1019" s="1" t="s">
        <v>1944</v>
      </c>
      <c r="J1019" s="1">
        <v>554.23</v>
      </c>
      <c r="K1019" s="11"/>
      <c r="L1019" s="14"/>
    </row>
    <row r="1020" spans="1:12" x14ac:dyDescent="0.25">
      <c r="A1020" s="1" t="s">
        <v>130</v>
      </c>
      <c r="B1020" s="1" t="s">
        <v>131</v>
      </c>
      <c r="C1020" s="1" t="s">
        <v>894</v>
      </c>
      <c r="D1020" s="1">
        <v>36.965600000000002</v>
      </c>
      <c r="E1020" s="1">
        <v>-85.933700000000002</v>
      </c>
      <c r="F1020" s="1" t="s">
        <v>1922</v>
      </c>
      <c r="G1020" s="22">
        <v>1454.3701459762262</v>
      </c>
      <c r="H1020" s="20">
        <f ca="1">NOW() - TIME(5,30,0) + (VLOOKUP(MasterTable[[#This Row],[TimeZone]], $O$3:$P$8, 2, FALSE) / 24)</f>
        <v>45990.531878125003</v>
      </c>
      <c r="I1020" s="1" t="s">
        <v>1944</v>
      </c>
      <c r="J1020" s="1">
        <v>499.93</v>
      </c>
      <c r="K1020" s="11"/>
      <c r="L1020" s="14"/>
    </row>
    <row r="1021" spans="1:12" x14ac:dyDescent="0.25">
      <c r="A1021" s="1" t="s">
        <v>130</v>
      </c>
      <c r="B1021" s="1" t="s">
        <v>131</v>
      </c>
      <c r="C1021" s="1" t="s">
        <v>535</v>
      </c>
      <c r="D1021" s="1">
        <v>37.7958</v>
      </c>
      <c r="E1021" s="1">
        <v>-87.572900000000004</v>
      </c>
      <c r="F1021" s="1" t="s">
        <v>1922</v>
      </c>
      <c r="G1021" s="22">
        <v>1372.5172910041463</v>
      </c>
      <c r="H1021" s="20">
        <f ca="1">NOW() - TIME(5,30,0) + (VLOOKUP(MasterTable[[#This Row],[TimeZone]], $O$3:$P$8, 2, FALSE) / 24)</f>
        <v>45990.531878125003</v>
      </c>
      <c r="I1021" s="1" t="s">
        <v>1944</v>
      </c>
      <c r="J1021" s="1">
        <v>395.12</v>
      </c>
      <c r="K1021" s="11"/>
      <c r="L1021" s="14"/>
    </row>
    <row r="1022" spans="1:12" x14ac:dyDescent="0.25">
      <c r="A1022" s="1" t="s">
        <v>130</v>
      </c>
      <c r="B1022" s="1" t="s">
        <v>131</v>
      </c>
      <c r="C1022" s="1" t="s">
        <v>977</v>
      </c>
      <c r="D1022" s="1">
        <v>36.621000000000002</v>
      </c>
      <c r="E1022" s="1">
        <v>-88.272300000000001</v>
      </c>
      <c r="F1022" s="1" t="s">
        <v>1922</v>
      </c>
      <c r="G1022" s="22">
        <v>1323.1710764924853</v>
      </c>
      <c r="H1022" s="20">
        <f ca="1">NOW() - TIME(5,30,0) + (VLOOKUP(MasterTable[[#This Row],[TimeZone]], $O$3:$P$8, 2, FALSE) / 24)</f>
        <v>45990.531878125003</v>
      </c>
      <c r="I1022" s="1" t="s">
        <v>1944</v>
      </c>
      <c r="J1022" s="1">
        <v>410.79</v>
      </c>
      <c r="K1022" s="11"/>
      <c r="L1022" s="14"/>
    </row>
    <row r="1023" spans="1:12" x14ac:dyDescent="0.25">
      <c r="A1023" s="1" t="s">
        <v>130</v>
      </c>
      <c r="B1023" s="1" t="s">
        <v>131</v>
      </c>
      <c r="C1023" s="1" t="s">
        <v>23</v>
      </c>
      <c r="D1023" s="1">
        <v>37.970799999999997</v>
      </c>
      <c r="E1023" s="1">
        <v>-84.147400000000005</v>
      </c>
      <c r="F1023" s="1" t="s">
        <v>1925</v>
      </c>
      <c r="G1023" s="22">
        <v>1559.1999087683967</v>
      </c>
      <c r="H1023" s="20">
        <f ca="1">NOW() - TIME(5,30,0) + (VLOOKUP(MasterTable[[#This Row],[TimeZone]], $O$3:$P$8, 2, FALSE) / 24)</f>
        <v>45990.573544791667</v>
      </c>
      <c r="I1023" s="1" t="s">
        <v>1944</v>
      </c>
      <c r="J1023" s="1">
        <v>882.6</v>
      </c>
      <c r="K1023" s="11"/>
      <c r="L1023" s="14"/>
    </row>
    <row r="1024" spans="1:12" x14ac:dyDescent="0.25">
      <c r="A1024" s="1" t="s">
        <v>130</v>
      </c>
      <c r="B1024" s="1" t="s">
        <v>131</v>
      </c>
      <c r="C1024" s="1" t="s">
        <v>994</v>
      </c>
      <c r="D1024" s="1">
        <v>36.758099999999999</v>
      </c>
      <c r="E1024" s="1">
        <v>-84.145200000000003</v>
      </c>
      <c r="F1024" s="1" t="s">
        <v>1925</v>
      </c>
      <c r="G1024" s="22">
        <v>1551.7544819180416</v>
      </c>
      <c r="H1024" s="20">
        <f ca="1">NOW() - TIME(5,30,0) + (VLOOKUP(MasterTable[[#This Row],[TimeZone]], $O$3:$P$8, 2, FALSE) / 24)</f>
        <v>45990.573544791667</v>
      </c>
      <c r="I1024" s="1" t="s">
        <v>1944</v>
      </c>
      <c r="J1024" s="1">
        <v>337.9</v>
      </c>
      <c r="K1024" s="11"/>
      <c r="L1024" s="14"/>
    </row>
    <row r="1025" spans="1:12" x14ac:dyDescent="0.25">
      <c r="A1025" s="1" t="s">
        <v>130</v>
      </c>
      <c r="B1025" s="1" t="s">
        <v>131</v>
      </c>
      <c r="C1025" s="1" t="s">
        <v>999</v>
      </c>
      <c r="D1025" s="1">
        <v>36.723100000000002</v>
      </c>
      <c r="E1025" s="1">
        <v>-88.651200000000003</v>
      </c>
      <c r="F1025" s="1" t="s">
        <v>1922</v>
      </c>
      <c r="G1025" s="22">
        <v>1303.175850561357</v>
      </c>
      <c r="H1025" s="20">
        <f ca="1">NOW() - TIME(5,30,0) + (VLOOKUP(MasterTable[[#This Row],[TimeZone]], $O$3:$P$8, 2, FALSE) / 24)</f>
        <v>45990.531878125003</v>
      </c>
      <c r="I1025" s="1" t="s">
        <v>1944</v>
      </c>
      <c r="J1025" s="1">
        <v>556.46</v>
      </c>
      <c r="K1025" s="11"/>
      <c r="L1025" s="14"/>
    </row>
    <row r="1026" spans="1:12" x14ac:dyDescent="0.25">
      <c r="A1026" s="1" t="s">
        <v>130</v>
      </c>
      <c r="B1026" s="1" t="s">
        <v>131</v>
      </c>
      <c r="C1026" s="1" t="s">
        <v>1012</v>
      </c>
      <c r="D1026" s="1">
        <v>38.545699999999997</v>
      </c>
      <c r="E1026" s="1">
        <v>-82.922300000000007</v>
      </c>
      <c r="F1026" s="1" t="s">
        <v>1925</v>
      </c>
      <c r="G1026" s="22">
        <v>1629.9060346652889</v>
      </c>
      <c r="H1026" s="20">
        <f ca="1">NOW() - TIME(5,30,0) + (VLOOKUP(MasterTable[[#This Row],[TimeZone]], $O$3:$P$8, 2, FALSE) / 24)</f>
        <v>45990.573544791667</v>
      </c>
      <c r="I1026" s="1" t="s">
        <v>1944</v>
      </c>
      <c r="J1026" s="1">
        <v>354.51</v>
      </c>
      <c r="K1026" s="11"/>
      <c r="L1026" s="14"/>
    </row>
    <row r="1027" spans="1:12" x14ac:dyDescent="0.25">
      <c r="A1027" s="1" t="s">
        <v>130</v>
      </c>
      <c r="B1027" s="1" t="s">
        <v>131</v>
      </c>
      <c r="C1027" s="1" t="s">
        <v>595</v>
      </c>
      <c r="D1027" s="1">
        <v>37.557099999999998</v>
      </c>
      <c r="E1027" s="1">
        <v>-82.745699999999999</v>
      </c>
      <c r="F1027" s="1" t="s">
        <v>1925</v>
      </c>
      <c r="G1027" s="22">
        <v>1632.6177011569396</v>
      </c>
      <c r="H1027" s="20">
        <f ca="1">NOW() - TIME(5,30,0) + (VLOOKUP(MasterTable[[#This Row],[TimeZone]], $O$3:$P$8, 2, FALSE) / 24)</f>
        <v>45990.573544791667</v>
      </c>
      <c r="I1027" s="1" t="s">
        <v>1944</v>
      </c>
      <c r="J1027" s="1">
        <v>518.46</v>
      </c>
      <c r="K1027" s="11"/>
      <c r="L1027" s="14"/>
    </row>
    <row r="1028" spans="1:12" x14ac:dyDescent="0.25">
      <c r="A1028" s="1" t="s">
        <v>130</v>
      </c>
      <c r="B1028" s="1" t="s">
        <v>131</v>
      </c>
      <c r="C1028" s="1" t="s">
        <v>600</v>
      </c>
      <c r="D1028" s="1">
        <v>36.883499999999998</v>
      </c>
      <c r="E1028" s="1">
        <v>-88.329400000000007</v>
      </c>
      <c r="F1028" s="1" t="s">
        <v>1925</v>
      </c>
      <c r="G1028" s="22">
        <v>1322.2478507943842</v>
      </c>
      <c r="H1028" s="20">
        <f ca="1">NOW() - TIME(5,30,0) + (VLOOKUP(MasterTable[[#This Row],[TimeZone]], $O$3:$P$8, 2, FALSE) / 24)</f>
        <v>45990.573544791667</v>
      </c>
      <c r="I1028" s="1" t="s">
        <v>1944</v>
      </c>
      <c r="J1028" s="1">
        <v>623.16</v>
      </c>
      <c r="K1028" s="11"/>
      <c r="L1028" s="14"/>
    </row>
    <row r="1029" spans="1:12" x14ac:dyDescent="0.25">
      <c r="A1029" s="1" t="s">
        <v>130</v>
      </c>
      <c r="B1029" s="1" t="s">
        <v>131</v>
      </c>
      <c r="C1029" s="1" t="s">
        <v>1065</v>
      </c>
      <c r="D1029" s="1">
        <v>37.215800000000002</v>
      </c>
      <c r="E1029" s="1">
        <v>-87.141999999999996</v>
      </c>
      <c r="F1029" s="1" t="s">
        <v>1922</v>
      </c>
      <c r="G1029" s="22">
        <v>1390.1294466093013</v>
      </c>
      <c r="H1029" s="20">
        <f ca="1">NOW() - TIME(5,30,0) + (VLOOKUP(MasterTable[[#This Row],[TimeZone]], $O$3:$P$8, 2, FALSE) / 24)</f>
        <v>45990.531878125003</v>
      </c>
      <c r="I1029" s="1" t="s">
        <v>1944</v>
      </c>
      <c r="J1029" s="1">
        <v>479.43</v>
      </c>
      <c r="K1029" s="11"/>
      <c r="L1029" s="14"/>
    </row>
    <row r="1030" spans="1:12" x14ac:dyDescent="0.25">
      <c r="A1030" s="1" t="s">
        <v>130</v>
      </c>
      <c r="B1030" s="1" t="s">
        <v>131</v>
      </c>
      <c r="C1030" s="1" t="s">
        <v>1066</v>
      </c>
      <c r="D1030" s="1">
        <v>37.624400000000001</v>
      </c>
      <c r="E1030" s="1">
        <v>-84.866799999999998</v>
      </c>
      <c r="F1030" s="1" t="s">
        <v>1925</v>
      </c>
      <c r="G1030" s="22">
        <v>1517.4579472747509</v>
      </c>
      <c r="H1030" s="20">
        <f ca="1">NOW() - TIME(5,30,0) + (VLOOKUP(MasterTable[[#This Row],[TimeZone]], $O$3:$P$8, 2, FALSE) / 24)</f>
        <v>45990.573544791667</v>
      </c>
      <c r="I1030" s="1" t="s">
        <v>1944</v>
      </c>
      <c r="J1030" s="1">
        <v>182.99</v>
      </c>
      <c r="K1030" s="11"/>
      <c r="L1030" s="14"/>
    </row>
    <row r="1031" spans="1:12" x14ac:dyDescent="0.25">
      <c r="A1031" s="1" t="s">
        <v>130</v>
      </c>
      <c r="B1031" s="1" t="s">
        <v>131</v>
      </c>
      <c r="C1031" s="1" t="s">
        <v>205</v>
      </c>
      <c r="D1031" s="1">
        <v>36.890599999999999</v>
      </c>
      <c r="E1031" s="1">
        <v>-83.853999999999999</v>
      </c>
      <c r="F1031" s="1" t="s">
        <v>1925</v>
      </c>
      <c r="G1031" s="22">
        <v>1568.4287259047128</v>
      </c>
      <c r="H1031" s="20">
        <f ca="1">NOW() - TIME(5,30,0) + (VLOOKUP(MasterTable[[#This Row],[TimeZone]], $O$3:$P$8, 2, FALSE) / 24)</f>
        <v>45990.573544791667</v>
      </c>
      <c r="I1031" s="1" t="s">
        <v>1944</v>
      </c>
      <c r="J1031" s="1">
        <v>719.7</v>
      </c>
      <c r="K1031" s="11"/>
      <c r="L1031" s="14"/>
    </row>
    <row r="1032" spans="1:12" x14ac:dyDescent="0.25">
      <c r="A1032" s="1" t="s">
        <v>130</v>
      </c>
      <c r="B1032" s="1" t="s">
        <v>131</v>
      </c>
      <c r="C1032" s="1" t="s">
        <v>1074</v>
      </c>
      <c r="D1032" s="1">
        <v>37.969700000000003</v>
      </c>
      <c r="E1032" s="1">
        <v>-86.216999999999999</v>
      </c>
      <c r="F1032" s="1" t="s">
        <v>1925</v>
      </c>
      <c r="G1032" s="22">
        <v>1447.4310129996722</v>
      </c>
      <c r="H1032" s="20">
        <f ca="1">NOW() - TIME(5,30,0) + (VLOOKUP(MasterTable[[#This Row],[TimeZone]], $O$3:$P$8, 2, FALSE) / 24)</f>
        <v>45990.573544791667</v>
      </c>
      <c r="I1032" s="1" t="s">
        <v>1944</v>
      </c>
      <c r="J1032" s="1">
        <v>979.66</v>
      </c>
      <c r="K1032" s="11"/>
      <c r="L1032" s="14"/>
    </row>
    <row r="1033" spans="1:12" x14ac:dyDescent="0.25">
      <c r="A1033" s="1" t="s">
        <v>130</v>
      </c>
      <c r="B1033" s="1" t="s">
        <v>131</v>
      </c>
      <c r="C1033" s="1" t="s">
        <v>75</v>
      </c>
      <c r="D1033" s="1">
        <v>38.033499999999997</v>
      </c>
      <c r="E1033" s="1">
        <v>-83.9131</v>
      </c>
      <c r="F1033" s="1" t="s">
        <v>1925</v>
      </c>
      <c r="G1033" s="22">
        <v>1572.3711685435765</v>
      </c>
      <c r="H1033" s="20">
        <f ca="1">NOW() - TIME(5,30,0) + (VLOOKUP(MasterTable[[#This Row],[TimeZone]], $O$3:$P$8, 2, FALSE) / 24)</f>
        <v>45990.573544791667</v>
      </c>
      <c r="I1033" s="1" t="s">
        <v>1944</v>
      </c>
      <c r="J1033" s="1">
        <v>799.76</v>
      </c>
      <c r="K1033" s="11"/>
      <c r="L1033" s="14"/>
    </row>
    <row r="1034" spans="1:12" x14ac:dyDescent="0.25">
      <c r="A1034" s="1" t="s">
        <v>130</v>
      </c>
      <c r="B1034" s="1" t="s">
        <v>131</v>
      </c>
      <c r="C1034" s="1" t="s">
        <v>877</v>
      </c>
      <c r="D1034" s="1">
        <v>37.244300000000003</v>
      </c>
      <c r="E1034" s="1">
        <v>-83.221500000000006</v>
      </c>
      <c r="F1034" s="1" t="s">
        <v>1925</v>
      </c>
      <c r="G1034" s="22">
        <v>1604.9263823628419</v>
      </c>
      <c r="H1034" s="20">
        <f ca="1">NOW() - TIME(5,30,0) + (VLOOKUP(MasterTable[[#This Row],[TimeZone]], $O$3:$P$8, 2, FALSE) / 24)</f>
        <v>45990.573544791667</v>
      </c>
      <c r="I1034" s="1" t="s">
        <v>1944</v>
      </c>
      <c r="J1034" s="1">
        <v>724.08</v>
      </c>
      <c r="K1034" s="11"/>
      <c r="L1034" s="14"/>
    </row>
    <row r="1035" spans="1:12" x14ac:dyDescent="0.25">
      <c r="A1035" s="1" t="s">
        <v>130</v>
      </c>
      <c r="B1035" s="1" t="s">
        <v>131</v>
      </c>
      <c r="C1035" s="1" t="s">
        <v>837</v>
      </c>
      <c r="D1035" s="1">
        <v>36.859699999999997</v>
      </c>
      <c r="E1035" s="1">
        <v>-86.878900000000002</v>
      </c>
      <c r="F1035" s="1" t="s">
        <v>1922</v>
      </c>
      <c r="G1035" s="22">
        <v>1401.6769343704514</v>
      </c>
      <c r="H1035" s="20">
        <f ca="1">NOW() - TIME(5,30,0) + (VLOOKUP(MasterTable[[#This Row],[TimeZone]], $O$3:$P$8, 2, FALSE) / 24)</f>
        <v>45990.531878125003</v>
      </c>
      <c r="I1035" s="1" t="s">
        <v>1944</v>
      </c>
      <c r="J1035" s="1">
        <v>731.5</v>
      </c>
      <c r="K1035" s="11"/>
      <c r="L1035" s="14"/>
    </row>
    <row r="1036" spans="1:12" x14ac:dyDescent="0.25">
      <c r="A1036" s="1" t="s">
        <v>130</v>
      </c>
      <c r="B1036" s="1" t="s">
        <v>131</v>
      </c>
      <c r="C1036" s="1" t="s">
        <v>970</v>
      </c>
      <c r="D1036" s="1">
        <v>38.042400000000001</v>
      </c>
      <c r="E1036" s="1">
        <v>-84.743600000000001</v>
      </c>
      <c r="F1036" s="1" t="s">
        <v>1925</v>
      </c>
      <c r="G1036" s="22">
        <v>1527.581049809522</v>
      </c>
      <c r="H1036" s="20">
        <f ca="1">NOW() - TIME(5,30,0) + (VLOOKUP(MasterTable[[#This Row],[TimeZone]], $O$3:$P$8, 2, FALSE) / 24)</f>
        <v>45990.573544791667</v>
      </c>
      <c r="I1036" s="1" t="s">
        <v>1944</v>
      </c>
      <c r="J1036" s="1">
        <v>542.74</v>
      </c>
      <c r="K1036" s="11"/>
      <c r="L1036" s="14"/>
    </row>
    <row r="1037" spans="1:12" x14ac:dyDescent="0.25">
      <c r="A1037" s="1" t="s">
        <v>130</v>
      </c>
      <c r="B1037" s="1" t="s">
        <v>131</v>
      </c>
      <c r="C1037" s="1" t="s">
        <v>486</v>
      </c>
      <c r="D1037" s="1">
        <v>37.460799999999999</v>
      </c>
      <c r="E1037" s="1">
        <v>-86.343900000000005</v>
      </c>
      <c r="F1037" s="1" t="s">
        <v>1922</v>
      </c>
      <c r="G1037" s="22">
        <v>1435.7625775105562</v>
      </c>
      <c r="H1037" s="20">
        <f ca="1">NOW() - TIME(5,30,0) + (VLOOKUP(MasterTable[[#This Row],[TimeZone]], $O$3:$P$8, 2, FALSE) / 24)</f>
        <v>45990.531878125003</v>
      </c>
      <c r="I1037" s="1" t="s">
        <v>1944</v>
      </c>
      <c r="J1037" s="1">
        <v>510.85</v>
      </c>
      <c r="K1037" s="11"/>
      <c r="L1037" s="14"/>
    </row>
    <row r="1038" spans="1:12" x14ac:dyDescent="0.25">
      <c r="A1038" s="1" t="s">
        <v>130</v>
      </c>
      <c r="B1038" s="1" t="s">
        <v>131</v>
      </c>
      <c r="C1038" s="1" t="s">
        <v>803</v>
      </c>
      <c r="D1038" s="1">
        <v>38.318199999999997</v>
      </c>
      <c r="E1038" s="1">
        <v>-83.049499999999995</v>
      </c>
      <c r="F1038" s="1" t="s">
        <v>1925</v>
      </c>
      <c r="G1038" s="22">
        <v>1621.2225102813168</v>
      </c>
      <c r="H1038" s="20">
        <f ca="1">NOW() - TIME(5,30,0) + (VLOOKUP(MasterTable[[#This Row],[TimeZone]], $O$3:$P$8, 2, FALSE) / 24)</f>
        <v>45990.573544791667</v>
      </c>
      <c r="I1038" s="1" t="s">
        <v>1944</v>
      </c>
      <c r="J1038" s="1">
        <v>412.15</v>
      </c>
      <c r="K1038" s="11"/>
      <c r="L1038" s="14"/>
    </row>
    <row r="1039" spans="1:12" x14ac:dyDescent="0.25">
      <c r="A1039" s="1" t="s">
        <v>130</v>
      </c>
      <c r="B1039" s="1" t="s">
        <v>131</v>
      </c>
      <c r="C1039" s="1" t="s">
        <v>480</v>
      </c>
      <c r="D1039" s="1">
        <v>37.366500000000002</v>
      </c>
      <c r="E1039" s="1">
        <v>-85.3279</v>
      </c>
      <c r="F1039" s="1" t="s">
        <v>1925</v>
      </c>
      <c r="G1039" s="22">
        <v>1490.385798375489</v>
      </c>
      <c r="H1039" s="20">
        <f ca="1">NOW() - TIME(5,30,0) + (VLOOKUP(MasterTable[[#This Row],[TimeZone]], $O$3:$P$8, 2, FALSE) / 24)</f>
        <v>45990.573544791667</v>
      </c>
      <c r="I1039" s="1" t="s">
        <v>1944</v>
      </c>
      <c r="J1039" s="1">
        <v>1232.01</v>
      </c>
      <c r="K1039" s="11"/>
      <c r="L1039" s="14"/>
    </row>
    <row r="1040" spans="1:12" x14ac:dyDescent="0.25">
      <c r="A1040" s="1" t="s">
        <v>130</v>
      </c>
      <c r="B1040" s="1" t="s">
        <v>131</v>
      </c>
      <c r="C1040" s="1" t="s">
        <v>1141</v>
      </c>
      <c r="D1040" s="1">
        <v>36.856900000000003</v>
      </c>
      <c r="E1040" s="1">
        <v>-83.218000000000004</v>
      </c>
      <c r="F1040" s="1" t="s">
        <v>1925</v>
      </c>
      <c r="G1040" s="22">
        <v>1603.3714284862867</v>
      </c>
      <c r="H1040" s="20">
        <f ca="1">NOW() - TIME(5,30,0) + (VLOOKUP(MasterTable[[#This Row],[TimeZone]], $O$3:$P$8, 2, FALSE) / 24)</f>
        <v>45990.573544791667</v>
      </c>
      <c r="I1040" s="1" t="s">
        <v>1944</v>
      </c>
      <c r="J1040" s="1">
        <v>467.97</v>
      </c>
      <c r="K1040" s="11"/>
      <c r="L1040" s="14"/>
    </row>
    <row r="1041" spans="1:12" x14ac:dyDescent="0.25">
      <c r="A1041" s="1" t="s">
        <v>130</v>
      </c>
      <c r="B1041" s="1" t="s">
        <v>131</v>
      </c>
      <c r="C1041" s="1" t="s">
        <v>590</v>
      </c>
      <c r="D1041" s="1">
        <v>38.648800000000001</v>
      </c>
      <c r="E1041" s="1">
        <v>-84.624600000000001</v>
      </c>
      <c r="F1041" s="1" t="s">
        <v>1925</v>
      </c>
      <c r="G1041" s="22">
        <v>1539.7986975029226</v>
      </c>
      <c r="H1041" s="20">
        <f ca="1">NOW() - TIME(5,30,0) + (VLOOKUP(MasterTable[[#This Row],[TimeZone]], $O$3:$P$8, 2, FALSE) / 24)</f>
        <v>45990.573544791667</v>
      </c>
      <c r="I1041" s="1" t="s">
        <v>1944</v>
      </c>
      <c r="J1041" s="1">
        <v>633.01</v>
      </c>
      <c r="K1041" s="11"/>
      <c r="L1041" s="14"/>
    </row>
    <row r="1042" spans="1:12" x14ac:dyDescent="0.25">
      <c r="A1042" s="1" t="s">
        <v>130</v>
      </c>
      <c r="B1042" s="1" t="s">
        <v>131</v>
      </c>
      <c r="C1042" s="1" t="s">
        <v>475</v>
      </c>
      <c r="D1042" s="1">
        <v>38.196300000000001</v>
      </c>
      <c r="E1042" s="1">
        <v>-83.421099999999996</v>
      </c>
      <c r="F1042" s="1" t="s">
        <v>1925</v>
      </c>
      <c r="G1042" s="22">
        <v>1600.2308851454104</v>
      </c>
      <c r="H1042" s="20">
        <f ca="1">NOW() - TIME(5,30,0) + (VLOOKUP(MasterTable[[#This Row],[TimeZone]], $O$3:$P$8, 2, FALSE) / 24)</f>
        <v>45990.573544791667</v>
      </c>
      <c r="I1042" s="1" t="s">
        <v>1944</v>
      </c>
      <c r="J1042" s="1">
        <v>286.25</v>
      </c>
      <c r="K1042" s="11"/>
      <c r="L1042" s="14"/>
    </row>
    <row r="1043" spans="1:12" x14ac:dyDescent="0.25">
      <c r="A1043" s="1" t="s">
        <v>130</v>
      </c>
      <c r="B1043" s="1" t="s">
        <v>131</v>
      </c>
      <c r="C1043" s="1" t="s">
        <v>632</v>
      </c>
      <c r="D1043" s="1">
        <v>37.455399999999997</v>
      </c>
      <c r="E1043" s="1">
        <v>-84.660799999999995</v>
      </c>
      <c r="F1043" s="1" t="s">
        <v>1925</v>
      </c>
      <c r="G1043" s="22">
        <v>1527.4393135853234</v>
      </c>
      <c r="H1043" s="20">
        <f ca="1">NOW() - TIME(5,30,0) + (VLOOKUP(MasterTable[[#This Row],[TimeZone]], $O$3:$P$8, 2, FALSE) / 24)</f>
        <v>45990.573544791667</v>
      </c>
      <c r="I1043" s="1" t="s">
        <v>1944</v>
      </c>
      <c r="J1043" s="1">
        <v>572.16999999999996</v>
      </c>
      <c r="K1043" s="11"/>
      <c r="L1043" s="14"/>
    </row>
    <row r="1044" spans="1:12" x14ac:dyDescent="0.25">
      <c r="A1044" s="1" t="s">
        <v>130</v>
      </c>
      <c r="B1044" s="1" t="s">
        <v>131</v>
      </c>
      <c r="C1044" s="1" t="s">
        <v>369</v>
      </c>
      <c r="D1044" s="1">
        <v>38.003900000000002</v>
      </c>
      <c r="E1044" s="1">
        <v>-84.991</v>
      </c>
      <c r="F1044" s="1" t="s">
        <v>1925</v>
      </c>
      <c r="G1044" s="22">
        <v>1513.8843867670021</v>
      </c>
      <c r="H1044" s="20">
        <f ca="1">NOW() - TIME(5,30,0) + (VLOOKUP(MasterTable[[#This Row],[TimeZone]], $O$3:$P$8, 2, FALSE) / 24)</f>
        <v>45990.573544791667</v>
      </c>
      <c r="I1044" s="1" t="s">
        <v>1944</v>
      </c>
      <c r="J1044" s="1">
        <v>584.29</v>
      </c>
      <c r="K1044" s="11"/>
      <c r="L1044" s="14"/>
    </row>
    <row r="1045" spans="1:12" x14ac:dyDescent="0.25">
      <c r="A1045" s="1" t="s">
        <v>130</v>
      </c>
      <c r="B1045" s="1" t="s">
        <v>131</v>
      </c>
      <c r="C1045" s="1" t="s">
        <v>252</v>
      </c>
      <c r="D1045" s="1">
        <v>36.730600000000003</v>
      </c>
      <c r="E1045" s="1">
        <v>-83.674099999999996</v>
      </c>
      <c r="F1045" s="1" t="s">
        <v>1925</v>
      </c>
      <c r="G1045" s="22">
        <v>1577.672910339362</v>
      </c>
      <c r="H1045" s="20">
        <f ca="1">NOW() - TIME(5,30,0) + (VLOOKUP(MasterTable[[#This Row],[TimeZone]], $O$3:$P$8, 2, FALSE) / 24)</f>
        <v>45990.573544791667</v>
      </c>
      <c r="I1045" s="1" t="s">
        <v>1944</v>
      </c>
      <c r="J1045" s="1">
        <v>361.35</v>
      </c>
      <c r="K1045" s="11"/>
      <c r="L1045" s="14"/>
    </row>
    <row r="1046" spans="1:12" x14ac:dyDescent="0.25">
      <c r="A1046" s="1" t="s">
        <v>130</v>
      </c>
      <c r="B1046" s="1" t="s">
        <v>131</v>
      </c>
      <c r="C1046" s="1" t="s">
        <v>52</v>
      </c>
      <c r="D1046" s="1">
        <v>37.478200000000001</v>
      </c>
      <c r="E1046" s="1">
        <v>-86.8489</v>
      </c>
      <c r="F1046" s="1" t="s">
        <v>1922</v>
      </c>
      <c r="G1046" s="22">
        <v>1408.4600025400416</v>
      </c>
      <c r="H1046" s="20">
        <f ca="1">NOW() - TIME(5,30,0) + (VLOOKUP(MasterTable[[#This Row],[TimeZone]], $O$3:$P$8, 2, FALSE) / 24)</f>
        <v>45990.531878125003</v>
      </c>
      <c r="I1046" s="1" t="s">
        <v>1944</v>
      </c>
      <c r="J1046" s="1">
        <v>87.47</v>
      </c>
      <c r="K1046" s="11"/>
      <c r="L1046" s="14"/>
    </row>
    <row r="1047" spans="1:12" x14ac:dyDescent="0.25">
      <c r="A1047" s="1" t="s">
        <v>130</v>
      </c>
      <c r="B1047" s="1" t="s">
        <v>131</v>
      </c>
      <c r="C1047" s="1" t="s">
        <v>249</v>
      </c>
      <c r="D1047" s="1">
        <v>37.811</v>
      </c>
      <c r="E1047" s="1">
        <v>-84.874499999999998</v>
      </c>
      <c r="F1047" s="1" t="s">
        <v>1925</v>
      </c>
      <c r="G1047" s="22">
        <v>1518.5279531914648</v>
      </c>
      <c r="H1047" s="20">
        <f ca="1">NOW() - TIME(5,30,0) + (VLOOKUP(MasterTable[[#This Row],[TimeZone]], $O$3:$P$8, 2, FALSE) / 24)</f>
        <v>45990.573544791667</v>
      </c>
      <c r="I1047" s="1" t="s">
        <v>1944</v>
      </c>
      <c r="J1047" s="1">
        <v>568.88</v>
      </c>
      <c r="K1047" s="11"/>
      <c r="L1047" s="14"/>
    </row>
    <row r="1048" spans="1:12" x14ac:dyDescent="0.25">
      <c r="A1048" s="1" t="s">
        <v>130</v>
      </c>
      <c r="B1048" s="1" t="s">
        <v>131</v>
      </c>
      <c r="C1048" s="1" t="s">
        <v>165</v>
      </c>
      <c r="D1048" s="1">
        <v>37.846600000000002</v>
      </c>
      <c r="E1048" s="1">
        <v>-82.831500000000005</v>
      </c>
      <c r="F1048" s="1" t="s">
        <v>1925</v>
      </c>
      <c r="G1048" s="22">
        <v>1629.6605687522215</v>
      </c>
      <c r="H1048" s="20">
        <f ca="1">NOW() - TIME(5,30,0) + (VLOOKUP(MasterTable[[#This Row],[TimeZone]], $O$3:$P$8, 2, FALSE) / 24)</f>
        <v>45990.573544791667</v>
      </c>
      <c r="I1048" s="1" t="s">
        <v>1944</v>
      </c>
      <c r="J1048" s="1">
        <v>682.74</v>
      </c>
      <c r="K1048" s="11"/>
      <c r="L1048" s="14"/>
    </row>
    <row r="1049" spans="1:12" x14ac:dyDescent="0.25">
      <c r="A1049" s="1" t="s">
        <v>130</v>
      </c>
      <c r="B1049" s="1" t="s">
        <v>131</v>
      </c>
      <c r="C1049" s="1" t="s">
        <v>1249</v>
      </c>
      <c r="D1049" s="1">
        <v>37.121200000000002</v>
      </c>
      <c r="E1049" s="1">
        <v>-82.8553</v>
      </c>
      <c r="F1049" s="1" t="s">
        <v>1925</v>
      </c>
      <c r="G1049" s="22">
        <v>1624.4575895017636</v>
      </c>
      <c r="H1049" s="20">
        <f ca="1">NOW() - TIME(5,30,0) + (VLOOKUP(MasterTable[[#This Row],[TimeZone]], $O$3:$P$8, 2, FALSE) / 24)</f>
        <v>45990.573544791667</v>
      </c>
      <c r="I1049" s="1" t="s">
        <v>1944</v>
      </c>
      <c r="J1049" s="1">
        <v>339.12</v>
      </c>
      <c r="K1049" s="11"/>
      <c r="L1049" s="14"/>
    </row>
    <row r="1050" spans="1:12" x14ac:dyDescent="0.25">
      <c r="A1050" s="1" t="s">
        <v>130</v>
      </c>
      <c r="B1050" s="1" t="s">
        <v>131</v>
      </c>
      <c r="C1050" s="1" t="s">
        <v>246</v>
      </c>
      <c r="D1050" s="1">
        <v>36.751300000000001</v>
      </c>
      <c r="E1050" s="1">
        <v>-86.190399999999997</v>
      </c>
      <c r="F1050" s="1" t="s">
        <v>1922</v>
      </c>
      <c r="G1050" s="22">
        <v>1438.8412293949277</v>
      </c>
      <c r="H1050" s="20">
        <f ca="1">NOW() - TIME(5,30,0) + (VLOOKUP(MasterTable[[#This Row],[TimeZone]], $O$3:$P$8, 2, FALSE) / 24)</f>
        <v>45990.531878125003</v>
      </c>
      <c r="I1050" s="1" t="s">
        <v>1944</v>
      </c>
      <c r="J1050" s="1">
        <v>660.1</v>
      </c>
      <c r="K1050" s="11"/>
      <c r="L1050" s="14"/>
    </row>
    <row r="1051" spans="1:12" x14ac:dyDescent="0.25">
      <c r="A1051" s="1" t="s">
        <v>130</v>
      </c>
      <c r="B1051" s="1" t="s">
        <v>131</v>
      </c>
      <c r="C1051" s="1" t="s">
        <v>1257</v>
      </c>
      <c r="D1051" s="1">
        <v>37.773400000000002</v>
      </c>
      <c r="E1051" s="1">
        <v>-86.429299999999998</v>
      </c>
      <c r="F1051" s="1" t="s">
        <v>1922</v>
      </c>
      <c r="G1051" s="22">
        <v>1434.0172492653646</v>
      </c>
      <c r="H1051" s="20">
        <f ca="1">NOW() - TIME(5,30,0) + (VLOOKUP(MasterTable[[#This Row],[TimeZone]], $O$3:$P$8, 2, FALSE) / 24)</f>
        <v>45990.531878125003</v>
      </c>
      <c r="I1051" s="1" t="s">
        <v>1944</v>
      </c>
      <c r="J1051" s="1">
        <v>585.53</v>
      </c>
      <c r="K1051" s="11"/>
      <c r="L1051" s="14"/>
    </row>
    <row r="1052" spans="1:12" x14ac:dyDescent="0.25">
      <c r="A1052" s="1" t="s">
        <v>130</v>
      </c>
      <c r="B1052" s="1" t="s">
        <v>131</v>
      </c>
      <c r="C1052" s="1" t="s">
        <v>1273</v>
      </c>
      <c r="D1052" s="1">
        <v>38.206699999999998</v>
      </c>
      <c r="E1052" s="1">
        <v>-84.217200000000005</v>
      </c>
      <c r="F1052" s="1" t="s">
        <v>1925</v>
      </c>
      <c r="G1052" s="22">
        <v>1557.4035811466506</v>
      </c>
      <c r="H1052" s="20">
        <f ca="1">NOW() - TIME(5,30,0) + (VLOOKUP(MasterTable[[#This Row],[TimeZone]], $O$3:$P$8, 2, FALSE) / 24)</f>
        <v>45990.573544791667</v>
      </c>
      <c r="I1052" s="1" t="s">
        <v>1944</v>
      </c>
      <c r="J1052" s="1">
        <v>638.82000000000005</v>
      </c>
      <c r="K1052" s="11"/>
      <c r="L1052" s="14"/>
    </row>
    <row r="1053" spans="1:12" x14ac:dyDescent="0.25">
      <c r="A1053" s="1" t="s">
        <v>130</v>
      </c>
      <c r="B1053" s="1" t="s">
        <v>131</v>
      </c>
      <c r="C1053" s="1" t="s">
        <v>327</v>
      </c>
      <c r="D1053" s="1">
        <v>37.159700000000001</v>
      </c>
      <c r="E1053" s="1">
        <v>-83.714600000000004</v>
      </c>
      <c r="F1053" s="1" t="s">
        <v>1925</v>
      </c>
      <c r="G1053" s="22">
        <v>1577.4271966991666</v>
      </c>
      <c r="H1053" s="20">
        <f ca="1">NOW() - TIME(5,30,0) + (VLOOKUP(MasterTable[[#This Row],[TimeZone]], $O$3:$P$8, 2, FALSE) / 24)</f>
        <v>45990.573544791667</v>
      </c>
      <c r="I1053" s="1" t="s">
        <v>1944</v>
      </c>
      <c r="J1053" s="1">
        <v>606</v>
      </c>
      <c r="K1053" s="11"/>
      <c r="L1053" s="14"/>
    </row>
    <row r="1054" spans="1:12" x14ac:dyDescent="0.25">
      <c r="A1054" s="1" t="s">
        <v>130</v>
      </c>
      <c r="B1054" s="1" t="s">
        <v>131</v>
      </c>
      <c r="C1054" s="1" t="s">
        <v>1281</v>
      </c>
      <c r="D1054" s="1">
        <v>38.032499999999999</v>
      </c>
      <c r="E1054" s="1">
        <v>-85.327799999999996</v>
      </c>
      <c r="F1054" s="1" t="s">
        <v>1925</v>
      </c>
      <c r="G1054" s="22">
        <v>1495.9741279508762</v>
      </c>
      <c r="H1054" s="20">
        <f ca="1">NOW() - TIME(5,30,0) + (VLOOKUP(MasterTable[[#This Row],[TimeZone]], $O$3:$P$8, 2, FALSE) / 24)</f>
        <v>45990.573544791667</v>
      </c>
      <c r="I1054" s="1" t="s">
        <v>1944</v>
      </c>
      <c r="J1054" s="1">
        <v>401.23</v>
      </c>
      <c r="K1054" s="11"/>
      <c r="L1054" s="14"/>
    </row>
    <row r="1055" spans="1:12" x14ac:dyDescent="0.25">
      <c r="A1055" s="1" t="s">
        <v>130</v>
      </c>
      <c r="B1055" s="1" t="s">
        <v>131</v>
      </c>
      <c r="C1055" s="1" t="s">
        <v>1147</v>
      </c>
      <c r="D1055" s="1">
        <v>36.741999999999997</v>
      </c>
      <c r="E1055" s="1">
        <v>-86.582300000000004</v>
      </c>
      <c r="F1055" s="1" t="s">
        <v>1922</v>
      </c>
      <c r="G1055" s="22">
        <v>1417.1785487306852</v>
      </c>
      <c r="H1055" s="20">
        <f ca="1">NOW() - TIME(5,30,0) + (VLOOKUP(MasterTable[[#This Row],[TimeZone]], $O$3:$P$8, 2, FALSE) / 24)</f>
        <v>45990.531878125003</v>
      </c>
      <c r="I1055" s="1" t="s">
        <v>1944</v>
      </c>
      <c r="J1055" s="1">
        <v>236.19</v>
      </c>
      <c r="K1055" s="11"/>
      <c r="L1055" s="14"/>
    </row>
    <row r="1056" spans="1:12" x14ac:dyDescent="0.25">
      <c r="A1056" s="1" t="s">
        <v>130</v>
      </c>
      <c r="B1056" s="1" t="s">
        <v>131</v>
      </c>
      <c r="C1056" s="1" t="s">
        <v>88</v>
      </c>
      <c r="D1056" s="1">
        <v>37.552500000000002</v>
      </c>
      <c r="E1056" s="1">
        <v>-85.269599999999997</v>
      </c>
      <c r="F1056" s="1" t="s">
        <v>1925</v>
      </c>
      <c r="G1056" s="22">
        <v>1494.983651546675</v>
      </c>
      <c r="H1056" s="20">
        <f ca="1">NOW() - TIME(5,30,0) + (VLOOKUP(MasterTable[[#This Row],[TimeZone]], $O$3:$P$8, 2, FALSE) / 24)</f>
        <v>45990.573544791667</v>
      </c>
      <c r="I1056" s="1" t="s">
        <v>1944</v>
      </c>
      <c r="J1056" s="1">
        <v>743.57</v>
      </c>
      <c r="K1056" s="11"/>
      <c r="L1056" s="14"/>
    </row>
    <row r="1057" spans="1:12" x14ac:dyDescent="0.25">
      <c r="A1057" s="1" t="s">
        <v>130</v>
      </c>
      <c r="B1057" s="1" t="s">
        <v>131</v>
      </c>
      <c r="C1057" s="1" t="s">
        <v>34</v>
      </c>
      <c r="D1057" s="1">
        <v>36.801299999999998</v>
      </c>
      <c r="E1057" s="1">
        <v>-84.828599999999994</v>
      </c>
      <c r="F1057" s="1" t="s">
        <v>1925</v>
      </c>
      <c r="G1057" s="22">
        <v>1514.2356968577976</v>
      </c>
      <c r="H1057" s="20">
        <f ca="1">NOW() - TIME(5,30,0) + (VLOOKUP(MasterTable[[#This Row],[TimeZone]], $O$3:$P$8, 2, FALSE) / 24)</f>
        <v>45990.573544791667</v>
      </c>
      <c r="I1057" s="1" t="s">
        <v>1944</v>
      </c>
      <c r="J1057" s="1">
        <v>648.79999999999995</v>
      </c>
      <c r="K1057" s="11"/>
      <c r="L1057" s="14"/>
    </row>
    <row r="1058" spans="1:12" x14ac:dyDescent="0.25">
      <c r="A1058" s="1" t="s">
        <v>130</v>
      </c>
      <c r="B1058" s="1" t="s">
        <v>131</v>
      </c>
      <c r="C1058" s="1" t="s">
        <v>1137</v>
      </c>
      <c r="D1058" s="1">
        <v>37.299900000000001</v>
      </c>
      <c r="E1058" s="1">
        <v>-85.884699999999995</v>
      </c>
      <c r="F1058" s="1" t="s">
        <v>1922</v>
      </c>
      <c r="G1058" s="22">
        <v>1459.4748842582667</v>
      </c>
      <c r="H1058" s="20">
        <f ca="1">NOW() - TIME(5,30,0) + (VLOOKUP(MasterTable[[#This Row],[TimeZone]], $O$3:$P$8, 2, FALSE) / 24)</f>
        <v>45990.531878125003</v>
      </c>
      <c r="I1058" s="1" t="s">
        <v>1944</v>
      </c>
      <c r="J1058" s="1">
        <v>256.42</v>
      </c>
      <c r="K1058" s="11"/>
      <c r="L1058" s="14"/>
    </row>
    <row r="1059" spans="1:12" x14ac:dyDescent="0.25">
      <c r="A1059" s="1" t="s">
        <v>130</v>
      </c>
      <c r="B1059" s="1" t="s">
        <v>131</v>
      </c>
      <c r="C1059" s="1" t="s">
        <v>1165</v>
      </c>
      <c r="D1059" s="1">
        <v>37.104199999999999</v>
      </c>
      <c r="E1059" s="1">
        <v>-85.280600000000007</v>
      </c>
      <c r="F1059" s="1" t="s">
        <v>1922</v>
      </c>
      <c r="G1059" s="22">
        <v>1491.1481884870855</v>
      </c>
      <c r="H1059" s="20">
        <f ca="1">NOW() - TIME(5,30,0) + (VLOOKUP(MasterTable[[#This Row],[TimeZone]], $O$3:$P$8, 2, FALSE) / 24)</f>
        <v>45990.531878125003</v>
      </c>
      <c r="I1059" s="1" t="s">
        <v>1944</v>
      </c>
      <c r="J1059" s="1">
        <v>570.30999999999995</v>
      </c>
      <c r="K1059" s="11"/>
      <c r="L1059" s="14"/>
    </row>
    <row r="1060" spans="1:12" x14ac:dyDescent="0.25">
      <c r="A1060" s="1" t="s">
        <v>130</v>
      </c>
      <c r="B1060" s="1" t="s">
        <v>131</v>
      </c>
      <c r="C1060" s="1" t="s">
        <v>364</v>
      </c>
      <c r="D1060" s="1">
        <v>38.441800000000001</v>
      </c>
      <c r="E1060" s="1">
        <v>-84.331400000000002</v>
      </c>
      <c r="F1060" s="1" t="s">
        <v>1925</v>
      </c>
      <c r="G1060" s="22">
        <v>1553.41297186823</v>
      </c>
      <c r="H1060" s="20">
        <f ca="1">NOW() - TIME(5,30,0) + (VLOOKUP(MasterTable[[#This Row],[TimeZone]], $O$3:$P$8, 2, FALSE) / 24)</f>
        <v>45990.573544791667</v>
      </c>
      <c r="I1060" s="1" t="s">
        <v>1944</v>
      </c>
      <c r="J1060" s="1">
        <v>486.88</v>
      </c>
      <c r="K1060" s="11"/>
      <c r="L1060" s="14"/>
    </row>
    <row r="1061" spans="1:12" x14ac:dyDescent="0.25">
      <c r="A1061" s="1" t="s">
        <v>130</v>
      </c>
      <c r="B1061" s="1" t="s">
        <v>131</v>
      </c>
      <c r="C1061" s="1" t="s">
        <v>789</v>
      </c>
      <c r="D1061" s="1">
        <v>36.991100000000003</v>
      </c>
      <c r="E1061" s="1">
        <v>-85.058700000000002</v>
      </c>
      <c r="F1061" s="1" t="s">
        <v>1922</v>
      </c>
      <c r="G1061" s="22">
        <v>1502.6262844435778</v>
      </c>
      <c r="H1061" s="20">
        <f ca="1">NOW() - TIME(5,30,0) + (VLOOKUP(MasterTable[[#This Row],[TimeZone]], $O$3:$P$8, 2, FALSE) / 24)</f>
        <v>45990.531878125003</v>
      </c>
      <c r="I1061" s="1" t="s">
        <v>1944</v>
      </c>
      <c r="J1061" s="1">
        <v>647.38</v>
      </c>
      <c r="K1061" s="11"/>
      <c r="L1061" s="14"/>
    </row>
    <row r="1062" spans="1:12" x14ac:dyDescent="0.25">
      <c r="A1062" s="1" t="s">
        <v>130</v>
      </c>
      <c r="B1062" s="1" t="s">
        <v>131</v>
      </c>
      <c r="C1062" s="1" t="s">
        <v>1338</v>
      </c>
      <c r="D1062" s="1">
        <v>37.639600000000002</v>
      </c>
      <c r="E1062" s="1">
        <v>-84.537700000000001</v>
      </c>
      <c r="F1062" s="1" t="s">
        <v>1925</v>
      </c>
      <c r="G1062" s="22">
        <v>1535.4737277207221</v>
      </c>
      <c r="H1062" s="20">
        <f ca="1">NOW() - TIME(5,30,0) + (VLOOKUP(MasterTable[[#This Row],[TimeZone]], $O$3:$P$8, 2, FALSE) / 24)</f>
        <v>45990.573544791667</v>
      </c>
      <c r="I1062" s="1" t="s">
        <v>1944</v>
      </c>
      <c r="J1062" s="1">
        <v>233.88</v>
      </c>
      <c r="K1062" s="11"/>
      <c r="L1062" s="14"/>
    </row>
    <row r="1063" spans="1:12" x14ac:dyDescent="0.25">
      <c r="A1063" s="1" t="s">
        <v>130</v>
      </c>
      <c r="B1063" s="1" t="s">
        <v>131</v>
      </c>
      <c r="C1063" s="1" t="s">
        <v>730</v>
      </c>
      <c r="D1063" s="1">
        <v>38.595199999999998</v>
      </c>
      <c r="E1063" s="1">
        <v>-83.824200000000005</v>
      </c>
      <c r="F1063" s="1" t="s">
        <v>1925</v>
      </c>
      <c r="G1063" s="22">
        <v>1582.0277276538868</v>
      </c>
      <c r="H1063" s="20">
        <f ca="1">NOW() - TIME(5,30,0) + (VLOOKUP(MasterTable[[#This Row],[TimeZone]], $O$3:$P$8, 2, FALSE) / 24)</f>
        <v>45990.573544791667</v>
      </c>
      <c r="I1063" s="1" t="s">
        <v>1944</v>
      </c>
      <c r="J1063" s="1">
        <v>563.37</v>
      </c>
      <c r="K1063" s="11"/>
      <c r="L1063" s="14"/>
    </row>
    <row r="1064" spans="1:12" x14ac:dyDescent="0.25">
      <c r="A1064" s="1" t="s">
        <v>130</v>
      </c>
      <c r="B1064" s="1" t="s">
        <v>131</v>
      </c>
      <c r="C1064" s="1" t="s">
        <v>1352</v>
      </c>
      <c r="D1064" s="1">
        <v>36.737099999999998</v>
      </c>
      <c r="E1064" s="1">
        <v>-84.484200000000001</v>
      </c>
      <c r="F1064" s="1" t="s">
        <v>1925</v>
      </c>
      <c r="G1064" s="22">
        <v>1532.9303045915842</v>
      </c>
      <c r="H1064" s="20">
        <f ca="1">NOW() - TIME(5,30,0) + (VLOOKUP(MasterTable[[#This Row],[TimeZone]], $O$3:$P$8, 2, FALSE) / 24)</f>
        <v>45990.573544791667</v>
      </c>
      <c r="I1064" s="1" t="s">
        <v>1944</v>
      </c>
      <c r="J1064" s="1">
        <v>430.64</v>
      </c>
      <c r="K1064" s="11"/>
      <c r="L1064" s="14"/>
    </row>
    <row r="1065" spans="1:12" x14ac:dyDescent="0.25">
      <c r="A1065" s="1" t="s">
        <v>130</v>
      </c>
      <c r="B1065" s="1" t="s">
        <v>131</v>
      </c>
      <c r="C1065" s="1" t="s">
        <v>644</v>
      </c>
      <c r="D1065" s="1">
        <v>38.067900000000002</v>
      </c>
      <c r="E1065" s="1">
        <v>-82.734800000000007</v>
      </c>
      <c r="F1065" s="1" t="s">
        <v>1925</v>
      </c>
      <c r="G1065" s="22">
        <v>1636.3699802653805</v>
      </c>
      <c r="H1065" s="20">
        <f ca="1">NOW() - TIME(5,30,0) + (VLOOKUP(MasterTable[[#This Row],[TimeZone]], $O$3:$P$8, 2, FALSE) / 24)</f>
        <v>45990.573544791667</v>
      </c>
      <c r="I1065" s="1" t="s">
        <v>1944</v>
      </c>
      <c r="J1065" s="1">
        <v>718.07</v>
      </c>
      <c r="K1065" s="11"/>
      <c r="L1065" s="14"/>
    </row>
    <row r="1066" spans="1:12" x14ac:dyDescent="0.25">
      <c r="A1066" s="1" t="s">
        <v>130</v>
      </c>
      <c r="B1066" s="1" t="s">
        <v>131</v>
      </c>
      <c r="C1066" s="1" t="s">
        <v>1375</v>
      </c>
      <c r="D1066" s="1">
        <v>37.365200000000002</v>
      </c>
      <c r="E1066" s="1">
        <v>-84.316000000000003</v>
      </c>
      <c r="F1066" s="1" t="s">
        <v>1925</v>
      </c>
      <c r="G1066" s="22">
        <v>1545.6701619898547</v>
      </c>
      <c r="H1066" s="20">
        <f ca="1">NOW() - TIME(5,30,0) + (VLOOKUP(MasterTable[[#This Row],[TimeZone]], $O$3:$P$8, 2, FALSE) / 24)</f>
        <v>45990.573544791667</v>
      </c>
      <c r="I1066" s="1" t="s">
        <v>1944</v>
      </c>
      <c r="J1066" s="1">
        <v>318.06</v>
      </c>
      <c r="K1066" s="11"/>
      <c r="L1066" s="14"/>
    </row>
    <row r="1067" spans="1:12" x14ac:dyDescent="0.25">
      <c r="A1067" s="1" t="s">
        <v>130</v>
      </c>
      <c r="B1067" s="1" t="s">
        <v>131</v>
      </c>
      <c r="C1067" s="1" t="s">
        <v>1379</v>
      </c>
      <c r="D1067" s="1">
        <v>37.322299999999998</v>
      </c>
      <c r="E1067" s="1">
        <v>-84.928299999999993</v>
      </c>
      <c r="F1067" s="1" t="s">
        <v>1925</v>
      </c>
      <c r="G1067" s="22">
        <v>1511.9053315465887</v>
      </c>
      <c r="H1067" s="20">
        <f ca="1">NOW() - TIME(5,30,0) + (VLOOKUP(MasterTable[[#This Row],[TimeZone]], $O$3:$P$8, 2, FALSE) / 24)</f>
        <v>45990.573544791667</v>
      </c>
      <c r="I1067" s="1" t="s">
        <v>1944</v>
      </c>
      <c r="J1067" s="1">
        <v>445.73</v>
      </c>
      <c r="K1067" s="11"/>
      <c r="L1067" s="14"/>
    </row>
    <row r="1068" spans="1:12" x14ac:dyDescent="0.25">
      <c r="A1068" s="1" t="s">
        <v>130</v>
      </c>
      <c r="B1068" s="1" t="s">
        <v>131</v>
      </c>
      <c r="C1068" s="1" t="s">
        <v>332</v>
      </c>
      <c r="D1068" s="1">
        <v>38.448500000000003</v>
      </c>
      <c r="E1068" s="1">
        <v>-85.118899999999996</v>
      </c>
      <c r="F1068" s="1" t="s">
        <v>1925</v>
      </c>
      <c r="G1068" s="22">
        <v>1511.3067511990646</v>
      </c>
      <c r="H1068" s="20">
        <f ca="1">NOW() - TIME(5,30,0) + (VLOOKUP(MasterTable[[#This Row],[TimeZone]], $O$3:$P$8, 2, FALSE) / 24)</f>
        <v>45990.573544791667</v>
      </c>
      <c r="I1068" s="1" t="s">
        <v>1944</v>
      </c>
      <c r="J1068" s="1">
        <v>568.33000000000004</v>
      </c>
      <c r="K1068" s="11"/>
      <c r="L1068" s="14"/>
    </row>
    <row r="1069" spans="1:12" x14ac:dyDescent="0.25">
      <c r="A1069" s="1" t="s">
        <v>130</v>
      </c>
      <c r="B1069" s="1" t="s">
        <v>131</v>
      </c>
      <c r="C1069" s="1" t="s">
        <v>1398</v>
      </c>
      <c r="D1069" s="1">
        <v>38.370100000000001</v>
      </c>
      <c r="E1069" s="1">
        <v>-83.696700000000007</v>
      </c>
      <c r="F1069" s="1" t="s">
        <v>1925</v>
      </c>
      <c r="G1069" s="22">
        <v>1586.8293722507685</v>
      </c>
      <c r="H1069" s="20">
        <f ca="1">NOW() - TIME(5,30,0) + (VLOOKUP(MasterTable[[#This Row],[TimeZone]], $O$3:$P$8, 2, FALSE) / 24)</f>
        <v>45990.573544791667</v>
      </c>
      <c r="I1069" s="1" t="s">
        <v>1944</v>
      </c>
      <c r="J1069" s="1">
        <v>351.47</v>
      </c>
      <c r="K1069" s="11"/>
      <c r="L1069" s="14"/>
    </row>
    <row r="1070" spans="1:12" x14ac:dyDescent="0.25">
      <c r="A1070" s="1" t="s">
        <v>130</v>
      </c>
      <c r="B1070" s="1" t="s">
        <v>131</v>
      </c>
      <c r="C1070" s="1" t="s">
        <v>1401</v>
      </c>
      <c r="D1070" s="1">
        <v>37.5458</v>
      </c>
      <c r="E1070" s="1">
        <v>-85.697900000000004</v>
      </c>
      <c r="F1070" s="1" t="s">
        <v>1925</v>
      </c>
      <c r="G1070" s="22">
        <v>1471.627417950328</v>
      </c>
      <c r="H1070" s="20">
        <f ca="1">NOW() - TIME(5,30,0) + (VLOOKUP(MasterTable[[#This Row],[TimeZone]], $O$3:$P$8, 2, FALSE) / 24)</f>
        <v>45990.573544791667</v>
      </c>
      <c r="I1070" s="1" t="s">
        <v>1944</v>
      </c>
      <c r="J1070" s="1">
        <v>263.72000000000003</v>
      </c>
      <c r="K1070" s="11"/>
      <c r="L1070" s="14"/>
    </row>
    <row r="1071" spans="1:12" x14ac:dyDescent="0.25">
      <c r="A1071" s="1" t="s">
        <v>130</v>
      </c>
      <c r="B1071" s="1" t="s">
        <v>131</v>
      </c>
      <c r="C1071" s="1" t="s">
        <v>1410</v>
      </c>
      <c r="D1071" s="1">
        <v>38.695599999999999</v>
      </c>
      <c r="E1071" s="1">
        <v>-84.360299999999995</v>
      </c>
      <c r="F1071" s="1" t="s">
        <v>1925</v>
      </c>
      <c r="G1071" s="22">
        <v>1554.3804134347447</v>
      </c>
      <c r="H1071" s="20">
        <f ca="1">NOW() - TIME(5,30,0) + (VLOOKUP(MasterTable[[#This Row],[TimeZone]], $O$3:$P$8, 2, FALSE) / 24)</f>
        <v>45990.573544791667</v>
      </c>
      <c r="I1071" s="1" t="s">
        <v>1944</v>
      </c>
      <c r="J1071" s="1">
        <v>281.87</v>
      </c>
      <c r="K1071" s="11"/>
      <c r="L1071" s="14"/>
    </row>
    <row r="1072" spans="1:12" x14ac:dyDescent="0.25">
      <c r="A1072" s="1" t="s">
        <v>130</v>
      </c>
      <c r="B1072" s="1" t="s">
        <v>131</v>
      </c>
      <c r="C1072" s="1" t="s">
        <v>1428</v>
      </c>
      <c r="D1072" s="1">
        <v>36.806399999999996</v>
      </c>
      <c r="E1072" s="1">
        <v>-87.8733</v>
      </c>
      <c r="F1072" s="1" t="s">
        <v>1922</v>
      </c>
      <c r="G1072" s="22">
        <v>1346.616268818449</v>
      </c>
      <c r="H1072" s="20">
        <f ca="1">NOW() - TIME(5,30,0) + (VLOOKUP(MasterTable[[#This Row],[TimeZone]], $O$3:$P$8, 2, FALSE) / 24)</f>
        <v>45990.531878125003</v>
      </c>
      <c r="I1072" s="1" t="s">
        <v>1944</v>
      </c>
      <c r="J1072" s="1">
        <v>481.13</v>
      </c>
      <c r="K1072" s="11"/>
      <c r="L1072" s="14"/>
    </row>
    <row r="1073" spans="1:12" x14ac:dyDescent="0.25">
      <c r="A1073" s="1" t="s">
        <v>130</v>
      </c>
      <c r="B1073" s="1" t="s">
        <v>131</v>
      </c>
      <c r="C1073" s="1" t="s">
        <v>1431</v>
      </c>
      <c r="D1073" s="1">
        <v>37.692399999999999</v>
      </c>
      <c r="E1073" s="1">
        <v>-83.964299999999994</v>
      </c>
      <c r="F1073" s="1" t="s">
        <v>1925</v>
      </c>
      <c r="G1073" s="22">
        <v>1567.046258243709</v>
      </c>
      <c r="H1073" s="20">
        <f ca="1">NOW() - TIME(5,30,0) + (VLOOKUP(MasterTable[[#This Row],[TimeZone]], $O$3:$P$8, 2, FALSE) / 24)</f>
        <v>45990.573544791667</v>
      </c>
      <c r="I1073" s="1" t="s">
        <v>1944</v>
      </c>
      <c r="J1073" s="1">
        <v>255.7</v>
      </c>
      <c r="K1073" s="11"/>
      <c r="L1073" s="14"/>
    </row>
    <row r="1074" spans="1:12" x14ac:dyDescent="0.25">
      <c r="A1074" s="1" t="s">
        <v>130</v>
      </c>
      <c r="B1074" s="1" t="s">
        <v>131</v>
      </c>
      <c r="C1074" s="1" t="s">
        <v>1435</v>
      </c>
      <c r="D1074" s="1">
        <v>37.353999999999999</v>
      </c>
      <c r="E1074" s="1">
        <v>-82.954099999999997</v>
      </c>
      <c r="F1074" s="1" t="s">
        <v>1925</v>
      </c>
      <c r="G1074" s="22">
        <v>1620.142524406248</v>
      </c>
      <c r="H1074" s="20">
        <f ca="1">NOW() - TIME(5,30,0) + (VLOOKUP(MasterTable[[#This Row],[TimeZone]], $O$3:$P$8, 2, FALSE) / 24)</f>
        <v>45990.573544791667</v>
      </c>
      <c r="I1074" s="1" t="s">
        <v>1944</v>
      </c>
      <c r="J1074" s="1">
        <v>353.01</v>
      </c>
      <c r="K1074" s="11"/>
      <c r="L1074" s="14"/>
    </row>
    <row r="1075" spans="1:12" x14ac:dyDescent="0.25">
      <c r="A1075" s="1" t="s">
        <v>130</v>
      </c>
      <c r="B1075" s="1" t="s">
        <v>131</v>
      </c>
      <c r="C1075" s="1" t="s">
        <v>521</v>
      </c>
      <c r="D1075" s="1">
        <v>37.9223</v>
      </c>
      <c r="E1075" s="1">
        <v>-83.258899999999997</v>
      </c>
      <c r="F1075" s="1" t="s">
        <v>1925</v>
      </c>
      <c r="G1075" s="22">
        <v>1606.9660756197281</v>
      </c>
      <c r="H1075" s="20">
        <f ca="1">NOW() - TIME(5,30,0) + (VLOOKUP(MasterTable[[#This Row],[TimeZone]], $O$3:$P$8, 2, FALSE) / 24)</f>
        <v>45990.573544791667</v>
      </c>
      <c r="I1075" s="1" t="s">
        <v>1944</v>
      </c>
      <c r="J1075" s="1">
        <v>599.05999999999995</v>
      </c>
      <c r="K1075" s="11"/>
      <c r="L1075" s="14"/>
    </row>
    <row r="1076" spans="1:12" x14ac:dyDescent="0.25">
      <c r="A1076" s="1" t="s">
        <v>130</v>
      </c>
      <c r="B1076" s="1" t="s">
        <v>131</v>
      </c>
      <c r="C1076" s="1" t="s">
        <v>1456</v>
      </c>
      <c r="D1076" s="1">
        <v>37.521599999999999</v>
      </c>
      <c r="E1076" s="1">
        <v>-83.324100000000001</v>
      </c>
      <c r="F1076" s="1" t="s">
        <v>1925</v>
      </c>
      <c r="G1076" s="22">
        <v>1600.8329546519456</v>
      </c>
      <c r="H1076" s="20">
        <f ca="1">NOW() - TIME(5,30,0) + (VLOOKUP(MasterTable[[#This Row],[TimeZone]], $O$3:$P$8, 2, FALSE) / 24)</f>
        <v>45990.573544791667</v>
      </c>
      <c r="I1076" s="1" t="s">
        <v>1944</v>
      </c>
      <c r="J1076" s="1">
        <v>495.29</v>
      </c>
      <c r="K1076" s="11"/>
      <c r="L1076" s="14"/>
    </row>
    <row r="1077" spans="1:12" x14ac:dyDescent="0.25">
      <c r="A1077" s="1" t="s">
        <v>130</v>
      </c>
      <c r="B1077" s="1" t="s">
        <v>131</v>
      </c>
      <c r="C1077" s="1" t="s">
        <v>177</v>
      </c>
      <c r="D1077" s="1">
        <v>37.6584</v>
      </c>
      <c r="E1077" s="1">
        <v>-87.945400000000006</v>
      </c>
      <c r="F1077" s="1" t="s">
        <v>1922</v>
      </c>
      <c r="G1077" s="22">
        <v>1350.8983831971282</v>
      </c>
      <c r="H1077" s="20">
        <f ca="1">NOW() - TIME(5,30,0) + (VLOOKUP(MasterTable[[#This Row],[TimeZone]], $O$3:$P$8, 2, FALSE) / 24)</f>
        <v>45990.531878125003</v>
      </c>
      <c r="I1077" s="1" t="s">
        <v>1944</v>
      </c>
      <c r="J1077" s="1">
        <v>1055.27</v>
      </c>
      <c r="K1077" s="11"/>
      <c r="L1077" s="14"/>
    </row>
    <row r="1078" spans="1:12" x14ac:dyDescent="0.25">
      <c r="A1078" s="1" t="s">
        <v>130</v>
      </c>
      <c r="B1078" s="1" t="s">
        <v>131</v>
      </c>
      <c r="C1078" s="1" t="s">
        <v>1466</v>
      </c>
      <c r="D1078" s="1">
        <v>37.831099999999999</v>
      </c>
      <c r="E1078" s="1">
        <v>-83.823700000000002</v>
      </c>
      <c r="F1078" s="1" t="s">
        <v>1925</v>
      </c>
      <c r="G1078" s="22">
        <v>1575.6757938553701</v>
      </c>
      <c r="H1078" s="20">
        <f ca="1">NOW() - TIME(5,30,0) + (VLOOKUP(MasterTable[[#This Row],[TimeZone]], $O$3:$P$8, 2, FALSE) / 24)</f>
        <v>45990.573544791667</v>
      </c>
      <c r="I1078" s="1" t="s">
        <v>1944</v>
      </c>
      <c r="J1078" s="1">
        <v>180.2</v>
      </c>
      <c r="K1078" s="11"/>
      <c r="L1078" s="14"/>
    </row>
    <row r="1079" spans="1:12" x14ac:dyDescent="0.25">
      <c r="A1079" s="1" t="s">
        <v>130</v>
      </c>
      <c r="B1079" s="1" t="s">
        <v>131</v>
      </c>
      <c r="C1079" s="1" t="s">
        <v>649</v>
      </c>
      <c r="D1079" s="1">
        <v>38.531500000000001</v>
      </c>
      <c r="E1079" s="1">
        <v>-83.378100000000003</v>
      </c>
      <c r="F1079" s="1" t="s">
        <v>1925</v>
      </c>
      <c r="G1079" s="22">
        <v>1605.3398985103138</v>
      </c>
      <c r="H1079" s="20">
        <f ca="1">NOW() - TIME(5,30,0) + (VLOOKUP(MasterTable[[#This Row],[TimeZone]], $O$3:$P$8, 2, FALSE) / 24)</f>
        <v>45990.573544791667</v>
      </c>
      <c r="I1079" s="1" t="s">
        <v>1944</v>
      </c>
      <c r="J1079" s="1">
        <v>479.81</v>
      </c>
      <c r="K1079" s="11"/>
      <c r="L1079" s="14"/>
    </row>
    <row r="1080" spans="1:12" x14ac:dyDescent="0.25">
      <c r="A1080" s="1" t="s">
        <v>130</v>
      </c>
      <c r="B1080" s="1" t="s">
        <v>131</v>
      </c>
      <c r="C1080" s="1" t="s">
        <v>140</v>
      </c>
      <c r="D1080" s="1">
        <v>37.419800000000002</v>
      </c>
      <c r="E1080" s="1">
        <v>-84.005799999999994</v>
      </c>
      <c r="F1080" s="1" t="s">
        <v>1925</v>
      </c>
      <c r="G1080" s="22">
        <v>1562.9735894961425</v>
      </c>
      <c r="H1080" s="20">
        <f ca="1">NOW() - TIME(5,30,0) + (VLOOKUP(MasterTable[[#This Row],[TimeZone]], $O$3:$P$8, 2, FALSE) / 24)</f>
        <v>45990.573544791667</v>
      </c>
      <c r="I1080" s="1" t="s">
        <v>1944</v>
      </c>
      <c r="J1080" s="1">
        <v>1126.77</v>
      </c>
      <c r="K1080" s="11"/>
      <c r="L1080" s="14"/>
    </row>
    <row r="1081" spans="1:12" x14ac:dyDescent="0.25">
      <c r="A1081" s="1" t="s">
        <v>130</v>
      </c>
      <c r="B1081" s="1" t="s">
        <v>131</v>
      </c>
      <c r="C1081" s="1" t="s">
        <v>955</v>
      </c>
      <c r="D1081" s="1">
        <v>37.5184</v>
      </c>
      <c r="E1081" s="1">
        <v>-87.683199999999999</v>
      </c>
      <c r="F1081" s="1" t="s">
        <v>1922</v>
      </c>
      <c r="G1081" s="22">
        <v>1363.5814420916934</v>
      </c>
      <c r="H1081" s="20">
        <f ca="1">NOW() - TIME(5,30,0) + (VLOOKUP(MasterTable[[#This Row],[TimeZone]], $O$3:$P$8, 2, FALSE) / 24)</f>
        <v>45990.531878125003</v>
      </c>
      <c r="I1081" s="1" t="s">
        <v>1944</v>
      </c>
      <c r="J1081" s="1">
        <v>210.26</v>
      </c>
      <c r="K1081" s="11"/>
      <c r="L1081" s="14"/>
    </row>
    <row r="1082" spans="1:12" x14ac:dyDescent="0.25">
      <c r="A1082" s="1" t="s">
        <v>130</v>
      </c>
      <c r="B1082" s="1" t="s">
        <v>131</v>
      </c>
      <c r="C1082" s="1" t="s">
        <v>1471</v>
      </c>
      <c r="D1082" s="1">
        <v>38.145000000000003</v>
      </c>
      <c r="E1082" s="1">
        <v>-83.742699999999999</v>
      </c>
      <c r="F1082" s="1" t="s">
        <v>1925</v>
      </c>
      <c r="G1082" s="22">
        <v>1582.4680799762664</v>
      </c>
      <c r="H1082" s="20">
        <f ca="1">NOW() - TIME(5,30,0) + (VLOOKUP(MasterTable[[#This Row],[TimeZone]], $O$3:$P$8, 2, FALSE) / 24)</f>
        <v>45990.573544791667</v>
      </c>
      <c r="I1082" s="1" t="s">
        <v>1944</v>
      </c>
      <c r="J1082" s="1">
        <v>283.94</v>
      </c>
      <c r="K1082" s="11"/>
      <c r="L1082" s="14"/>
    </row>
    <row r="1083" spans="1:12" x14ac:dyDescent="0.25">
      <c r="A1083" s="1" t="s">
        <v>130</v>
      </c>
      <c r="B1083" s="1" t="s">
        <v>131</v>
      </c>
      <c r="C1083" s="1" t="s">
        <v>667</v>
      </c>
      <c r="D1083" s="1">
        <v>37.145400000000002</v>
      </c>
      <c r="E1083" s="1">
        <v>-87.867800000000003</v>
      </c>
      <c r="F1083" s="1" t="s">
        <v>1922</v>
      </c>
      <c r="G1083" s="22">
        <v>1349.8794523569072</v>
      </c>
      <c r="H1083" s="20">
        <f ca="1">NOW() - TIME(5,30,0) + (VLOOKUP(MasterTable[[#This Row],[TimeZone]], $O$3:$P$8, 2, FALSE) / 24)</f>
        <v>45990.531878125003</v>
      </c>
      <c r="I1083" s="1" t="s">
        <v>1944</v>
      </c>
      <c r="J1083" s="1">
        <v>348.18</v>
      </c>
      <c r="K1083" s="11"/>
      <c r="L1083" s="14"/>
    </row>
    <row r="1084" spans="1:12" x14ac:dyDescent="0.25">
      <c r="A1084" s="1" t="s">
        <v>130</v>
      </c>
      <c r="B1084" s="1" t="s">
        <v>131</v>
      </c>
      <c r="C1084" s="1" t="s">
        <v>245</v>
      </c>
      <c r="D1084" s="1">
        <v>37.207299999999996</v>
      </c>
      <c r="E1084" s="1">
        <v>-86.681600000000003</v>
      </c>
      <c r="F1084" s="1" t="s">
        <v>1922</v>
      </c>
      <c r="G1084" s="22">
        <v>1415.2002615179206</v>
      </c>
      <c r="H1084" s="20">
        <f ca="1">NOW() - TIME(5,30,0) + (VLOOKUP(MasterTable[[#This Row],[TimeZone]], $O$3:$P$8, 2, FALSE) / 24)</f>
        <v>45990.531878125003</v>
      </c>
      <c r="I1084" s="1" t="s">
        <v>1944</v>
      </c>
      <c r="J1084" s="1">
        <v>777.92</v>
      </c>
      <c r="K1084" s="11"/>
      <c r="L1084" s="14"/>
    </row>
    <row r="1085" spans="1:12" x14ac:dyDescent="0.25">
      <c r="A1085" s="1" t="s">
        <v>130</v>
      </c>
      <c r="B1085" s="1" t="s">
        <v>131</v>
      </c>
      <c r="C1085" s="1" t="s">
        <v>1158</v>
      </c>
      <c r="D1085" s="1">
        <v>36.835700000000003</v>
      </c>
      <c r="E1085" s="1">
        <v>-87.179199999999994</v>
      </c>
      <c r="F1085" s="1" t="s">
        <v>1922</v>
      </c>
      <c r="G1085" s="22">
        <v>1384.9901089204709</v>
      </c>
      <c r="H1085" s="20">
        <f ca="1">NOW() - TIME(5,30,0) + (VLOOKUP(MasterTable[[#This Row],[TimeZone]], $O$3:$P$8, 2, FALSE) / 24)</f>
        <v>45990.531878125003</v>
      </c>
      <c r="I1085" s="1" t="s">
        <v>1944</v>
      </c>
      <c r="J1085" s="1">
        <v>376.97</v>
      </c>
      <c r="K1085" s="11"/>
      <c r="L1085" s="14"/>
    </row>
    <row r="1086" spans="1:12" x14ac:dyDescent="0.25">
      <c r="A1086" s="1" t="s">
        <v>130</v>
      </c>
      <c r="B1086" s="1" t="s">
        <v>131</v>
      </c>
      <c r="C1086" s="1" t="s">
        <v>1493</v>
      </c>
      <c r="D1086" s="1">
        <v>37.208799999999997</v>
      </c>
      <c r="E1086" s="1">
        <v>-86.238399999999999</v>
      </c>
      <c r="F1086" s="1" t="s">
        <v>1922</v>
      </c>
      <c r="G1086" s="22">
        <v>1439.4374778832355</v>
      </c>
      <c r="H1086" s="20">
        <f ca="1">NOW() - TIME(5,30,0) + (VLOOKUP(MasterTable[[#This Row],[TimeZone]], $O$3:$P$8, 2, FALSE) / 24)</f>
        <v>45990.531878125003</v>
      </c>
      <c r="I1086" s="1" t="s">
        <v>1944</v>
      </c>
      <c r="J1086" s="1">
        <v>308.01</v>
      </c>
      <c r="K1086" s="11"/>
      <c r="L1086" s="14"/>
    </row>
    <row r="1087" spans="1:12" x14ac:dyDescent="0.25">
      <c r="A1087" s="1" t="s">
        <v>130</v>
      </c>
      <c r="B1087" s="1" t="s">
        <v>131</v>
      </c>
      <c r="C1087" s="1" t="s">
        <v>28</v>
      </c>
      <c r="D1087" s="1">
        <v>37.753399999999999</v>
      </c>
      <c r="E1087" s="1">
        <v>-85.174800000000005</v>
      </c>
      <c r="F1087" s="1" t="s">
        <v>1925</v>
      </c>
      <c r="G1087" s="22">
        <v>1501.7683435027407</v>
      </c>
      <c r="H1087" s="20">
        <f ca="1">NOW() - TIME(5,30,0) + (VLOOKUP(MasterTable[[#This Row],[TimeZone]], $O$3:$P$8, 2, FALSE) / 24)</f>
        <v>45990.573544791667</v>
      </c>
      <c r="I1087" s="1" t="s">
        <v>1944</v>
      </c>
      <c r="J1087" s="1">
        <v>1088.54</v>
      </c>
      <c r="K1087" s="11"/>
      <c r="L1087" s="14"/>
    </row>
    <row r="1088" spans="1:12" x14ac:dyDescent="0.25">
      <c r="A1088" s="1" t="s">
        <v>130</v>
      </c>
      <c r="B1088" s="1" t="s">
        <v>131</v>
      </c>
      <c r="C1088" s="1" t="s">
        <v>1513</v>
      </c>
      <c r="D1088" s="1">
        <v>37.706499999999998</v>
      </c>
      <c r="E1088" s="1">
        <v>-83.064899999999994</v>
      </c>
      <c r="F1088" s="1" t="s">
        <v>1925</v>
      </c>
      <c r="G1088" s="22">
        <v>1616.0861838372775</v>
      </c>
      <c r="H1088" s="20">
        <f ca="1">NOW() - TIME(5,30,0) + (VLOOKUP(MasterTable[[#This Row],[TimeZone]], $O$3:$P$8, 2, FALSE) / 24)</f>
        <v>45990.573544791667</v>
      </c>
      <c r="I1088" s="1" t="s">
        <v>1944</v>
      </c>
      <c r="J1088" s="1">
        <v>309.44</v>
      </c>
      <c r="K1088" s="11"/>
      <c r="L1088" s="14"/>
    </row>
    <row r="1089" spans="1:12" x14ac:dyDescent="0.25">
      <c r="A1089" s="1" t="s">
        <v>130</v>
      </c>
      <c r="B1089" s="1" t="s">
        <v>131</v>
      </c>
      <c r="C1089" s="1" t="s">
        <v>135</v>
      </c>
      <c r="D1089" s="1">
        <v>36.712200000000003</v>
      </c>
      <c r="E1089" s="1">
        <v>-85.716499999999996</v>
      </c>
      <c r="F1089" s="1" t="s">
        <v>1922</v>
      </c>
      <c r="G1089" s="22">
        <v>1464.7482235832169</v>
      </c>
      <c r="H1089" s="20">
        <f ca="1">NOW() - TIME(5,30,0) + (VLOOKUP(MasterTable[[#This Row],[TimeZone]], $O$3:$P$8, 2, FALSE) / 24)</f>
        <v>45990.531878125003</v>
      </c>
      <c r="I1089" s="1" t="s">
        <v>1944</v>
      </c>
      <c r="J1089" s="1">
        <v>1034.53</v>
      </c>
      <c r="K1089" s="11"/>
      <c r="L1089" s="14"/>
    </row>
    <row r="1090" spans="1:12" x14ac:dyDescent="0.25">
      <c r="A1090" s="1" t="s">
        <v>130</v>
      </c>
      <c r="B1090" s="1" t="s">
        <v>131</v>
      </c>
      <c r="C1090" s="1" t="s">
        <v>989</v>
      </c>
      <c r="D1090" s="1">
        <v>37.264000000000003</v>
      </c>
      <c r="E1090" s="1">
        <v>-85.553100000000001</v>
      </c>
      <c r="F1090" s="1" t="s">
        <v>1922</v>
      </c>
      <c r="G1090" s="22">
        <v>1477.3279803283731</v>
      </c>
      <c r="H1090" s="20">
        <f ca="1">NOW() - TIME(5,30,0) + (VLOOKUP(MasterTable[[#This Row],[TimeZone]], $O$3:$P$8, 2, FALSE) / 24)</f>
        <v>45990.531878125003</v>
      </c>
      <c r="I1090" s="1" t="s">
        <v>1944</v>
      </c>
      <c r="J1090" s="1">
        <v>288.77999999999997</v>
      </c>
      <c r="K1090" s="11"/>
      <c r="L1090" s="14"/>
    </row>
    <row r="1091" spans="1:12" x14ac:dyDescent="0.25">
      <c r="A1091" s="1" t="s">
        <v>130</v>
      </c>
      <c r="B1091" s="1" t="s">
        <v>131</v>
      </c>
      <c r="C1091" s="1" t="s">
        <v>1244</v>
      </c>
      <c r="D1091" s="1">
        <v>38.5197</v>
      </c>
      <c r="E1091" s="1">
        <v>-84.828100000000006</v>
      </c>
      <c r="F1091" s="1" t="s">
        <v>1925</v>
      </c>
      <c r="G1091" s="22">
        <v>1527.5944281027746</v>
      </c>
      <c r="H1091" s="20">
        <f ca="1">NOW() - TIME(5,30,0) + (VLOOKUP(MasterTable[[#This Row],[TimeZone]], $O$3:$P$8, 2, FALSE) / 24)</f>
        <v>45990.573544791667</v>
      </c>
      <c r="I1091" s="1" t="s">
        <v>1944</v>
      </c>
      <c r="J1091" s="1">
        <v>387.83</v>
      </c>
      <c r="K1091" s="11"/>
      <c r="L1091" s="14"/>
    </row>
    <row r="1092" spans="1:12" x14ac:dyDescent="0.25">
      <c r="A1092" s="1" t="s">
        <v>130</v>
      </c>
      <c r="B1092" s="1" t="s">
        <v>131</v>
      </c>
      <c r="C1092" s="1" t="s">
        <v>452</v>
      </c>
      <c r="D1092" s="1">
        <v>37.801600000000001</v>
      </c>
      <c r="E1092" s="1">
        <v>-82.513199999999998</v>
      </c>
      <c r="F1092" s="1" t="s">
        <v>1925</v>
      </c>
      <c r="G1092" s="22">
        <v>1646.6873232970063</v>
      </c>
      <c r="H1092" s="20">
        <f ca="1">NOW() - TIME(5,30,0) + (VLOOKUP(MasterTable[[#This Row],[TimeZone]], $O$3:$P$8, 2, FALSE) / 24)</f>
        <v>45990.573544791667</v>
      </c>
      <c r="I1092" s="1" t="s">
        <v>1944</v>
      </c>
      <c r="J1092" s="1">
        <v>752.79</v>
      </c>
      <c r="K1092" s="11"/>
      <c r="L1092" s="14"/>
    </row>
    <row r="1093" spans="1:12" x14ac:dyDescent="0.25">
      <c r="A1093" s="1" t="s">
        <v>130</v>
      </c>
      <c r="B1093" s="1" t="s">
        <v>131</v>
      </c>
      <c r="C1093" s="1" t="s">
        <v>418</v>
      </c>
      <c r="D1093" s="1">
        <v>38.6678</v>
      </c>
      <c r="E1093" s="1">
        <v>-85.123599999999996</v>
      </c>
      <c r="F1093" s="1" t="s">
        <v>1925</v>
      </c>
      <c r="G1093" s="22">
        <v>1513.4046495359919</v>
      </c>
      <c r="H1093" s="20">
        <f ca="1">NOW() - TIME(5,30,0) + (VLOOKUP(MasterTable[[#This Row],[TimeZone]], $O$3:$P$8, 2, FALSE) / 24)</f>
        <v>45990.573544791667</v>
      </c>
      <c r="I1093" s="1" t="s">
        <v>1944</v>
      </c>
      <c r="J1093" s="1">
        <v>638.80999999999995</v>
      </c>
      <c r="K1093" s="11"/>
      <c r="L1093" s="14"/>
    </row>
    <row r="1094" spans="1:12" x14ac:dyDescent="0.25">
      <c r="A1094" s="1" t="s">
        <v>130</v>
      </c>
      <c r="B1094" s="1" t="s">
        <v>131</v>
      </c>
      <c r="C1094" s="1" t="s">
        <v>1540</v>
      </c>
      <c r="D1094" s="1">
        <v>36.990499999999997</v>
      </c>
      <c r="E1094" s="1">
        <v>-85.629199999999997</v>
      </c>
      <c r="F1094" s="1" t="s">
        <v>1922</v>
      </c>
      <c r="G1094" s="22">
        <v>1471.2659971490864</v>
      </c>
      <c r="H1094" s="20">
        <f ca="1">NOW() - TIME(5,30,0) + (VLOOKUP(MasterTable[[#This Row],[TimeZone]], $O$3:$P$8, 2, FALSE) / 24)</f>
        <v>45990.531878125003</v>
      </c>
      <c r="I1094" s="1" t="s">
        <v>1944</v>
      </c>
      <c r="J1094" s="1">
        <v>290.95999999999998</v>
      </c>
      <c r="K1094" s="11"/>
      <c r="L1094" s="14"/>
    </row>
    <row r="1095" spans="1:12" x14ac:dyDescent="0.25">
      <c r="A1095" s="1" t="s">
        <v>130</v>
      </c>
      <c r="B1095" s="1" t="s">
        <v>131</v>
      </c>
      <c r="C1095" s="1" t="s">
        <v>1544</v>
      </c>
      <c r="D1095" s="1">
        <v>37.094099999999997</v>
      </c>
      <c r="E1095" s="1">
        <v>-83.381100000000004</v>
      </c>
      <c r="F1095" s="1" t="s">
        <v>1925</v>
      </c>
      <c r="G1095" s="22">
        <v>1595.4227279394438</v>
      </c>
      <c r="H1095" s="20">
        <f ca="1">NOW() - TIME(5,30,0) + (VLOOKUP(MasterTable[[#This Row],[TimeZone]], $O$3:$P$8, 2, FALSE) / 24)</f>
        <v>45990.573544791667</v>
      </c>
      <c r="I1095" s="1" t="s">
        <v>1944</v>
      </c>
      <c r="J1095" s="1">
        <v>404.36</v>
      </c>
      <c r="K1095" s="11"/>
      <c r="L1095" s="14"/>
    </row>
    <row r="1096" spans="1:12" x14ac:dyDescent="0.25">
      <c r="A1096" s="1" t="s">
        <v>130</v>
      </c>
      <c r="B1096" s="1" t="s">
        <v>131</v>
      </c>
      <c r="C1096" s="1" t="s">
        <v>675</v>
      </c>
      <c r="D1096" s="1">
        <v>36.727400000000003</v>
      </c>
      <c r="E1096" s="1">
        <v>-85.136200000000002</v>
      </c>
      <c r="F1096" s="1" t="s">
        <v>1922</v>
      </c>
      <c r="G1096" s="22">
        <v>1496.8702614168992</v>
      </c>
      <c r="H1096" s="20">
        <f ca="1">NOW() - TIME(5,30,0) + (VLOOKUP(MasterTable[[#This Row],[TimeZone]], $O$3:$P$8, 2, FALSE) / 24)</f>
        <v>45990.531878125003</v>
      </c>
      <c r="I1096" s="1" t="s">
        <v>1944</v>
      </c>
      <c r="J1096" s="1">
        <v>503.48</v>
      </c>
      <c r="K1096" s="11"/>
      <c r="L1096" s="14"/>
    </row>
    <row r="1097" spans="1:12" x14ac:dyDescent="0.25">
      <c r="A1097" s="1" t="s">
        <v>130</v>
      </c>
      <c r="B1097" s="1" t="s">
        <v>131</v>
      </c>
      <c r="C1097" s="1" t="s">
        <v>426</v>
      </c>
      <c r="D1097" s="1">
        <v>37.529200000000003</v>
      </c>
      <c r="E1097" s="1">
        <v>-87.263599999999997</v>
      </c>
      <c r="F1097" s="1" t="s">
        <v>1922</v>
      </c>
      <c r="G1097" s="22">
        <v>1386.4374651577002</v>
      </c>
      <c r="H1097" s="20">
        <f ca="1">NOW() - TIME(5,30,0) + (VLOOKUP(MasterTable[[#This Row],[TimeZone]], $O$3:$P$8, 2, FALSE) / 24)</f>
        <v>45990.531878125003</v>
      </c>
      <c r="I1097" s="1" t="s">
        <v>1944</v>
      </c>
      <c r="J1097" s="1">
        <v>1186.29</v>
      </c>
      <c r="K1097" s="11"/>
      <c r="L1097" s="14"/>
    </row>
    <row r="1098" spans="1:12" x14ac:dyDescent="0.25">
      <c r="A1098" s="1" t="s">
        <v>130</v>
      </c>
      <c r="B1098" s="1" t="s">
        <v>131</v>
      </c>
      <c r="C1098" s="1" t="s">
        <v>663</v>
      </c>
      <c r="D1098" s="1">
        <v>37.841500000000003</v>
      </c>
      <c r="E1098" s="1">
        <v>-86.777900000000002</v>
      </c>
      <c r="F1098" s="1" t="s">
        <v>1922</v>
      </c>
      <c r="G1098" s="22">
        <v>1415.8749072821322</v>
      </c>
      <c r="H1098" s="20">
        <f ca="1">NOW() - TIME(5,30,0) + (VLOOKUP(MasterTable[[#This Row],[TimeZone]], $O$3:$P$8, 2, FALSE) / 24)</f>
        <v>45990.531878125003</v>
      </c>
      <c r="I1098" s="1" t="s">
        <v>1944</v>
      </c>
      <c r="J1098" s="1">
        <v>478.76</v>
      </c>
      <c r="K1098" s="11"/>
      <c r="L1098" s="14"/>
    </row>
    <row r="1099" spans="1:12" x14ac:dyDescent="0.25">
      <c r="A1099" s="1" t="s">
        <v>130</v>
      </c>
      <c r="B1099" s="1" t="s">
        <v>131</v>
      </c>
      <c r="C1099" s="1" t="s">
        <v>862</v>
      </c>
      <c r="D1099" s="1">
        <v>37.352699999999999</v>
      </c>
      <c r="E1099" s="1">
        <v>-88.097200000000001</v>
      </c>
      <c r="F1099" s="1" t="s">
        <v>1922</v>
      </c>
      <c r="G1099" s="22">
        <v>1339.4149407263631</v>
      </c>
      <c r="H1099" s="20">
        <f ca="1">NOW() - TIME(5,30,0) + (VLOOKUP(MasterTable[[#This Row],[TimeZone]], $O$3:$P$8, 2, FALSE) / 24)</f>
        <v>45990.531878125003</v>
      </c>
      <c r="I1099" s="1" t="s">
        <v>1944</v>
      </c>
      <c r="J1099" s="1">
        <v>636.69000000000005</v>
      </c>
      <c r="K1099" s="11"/>
      <c r="L1099" s="14"/>
    </row>
    <row r="1100" spans="1:12" x14ac:dyDescent="0.25">
      <c r="A1100" s="1" t="s">
        <v>130</v>
      </c>
      <c r="B1100" s="1" t="s">
        <v>131</v>
      </c>
      <c r="C1100" s="1" t="s">
        <v>384</v>
      </c>
      <c r="D1100" s="1">
        <v>37.209600000000002</v>
      </c>
      <c r="E1100" s="1">
        <v>-88.353700000000003</v>
      </c>
      <c r="F1100" s="1" t="s">
        <v>1922</v>
      </c>
      <c r="G1100" s="22">
        <v>1324.0132176940692</v>
      </c>
      <c r="H1100" s="20">
        <f ca="1">NOW() - TIME(5,30,0) + (VLOOKUP(MasterTable[[#This Row],[TimeZone]], $O$3:$P$8, 2, FALSE) / 24)</f>
        <v>45990.531878125003</v>
      </c>
      <c r="I1100" s="1" t="s">
        <v>1944</v>
      </c>
      <c r="J1100" s="1">
        <v>1045.43</v>
      </c>
      <c r="K1100" s="11"/>
      <c r="L1100" s="14"/>
    </row>
    <row r="1101" spans="1:12" x14ac:dyDescent="0.25">
      <c r="A1101" s="1" t="s">
        <v>130</v>
      </c>
      <c r="B1101" s="1" t="s">
        <v>131</v>
      </c>
      <c r="C1101" s="1" t="s">
        <v>773</v>
      </c>
      <c r="D1101" s="1">
        <v>37.019100000000002</v>
      </c>
      <c r="E1101" s="1">
        <v>-88.083200000000005</v>
      </c>
      <c r="F1101" s="1" t="s">
        <v>1922</v>
      </c>
      <c r="G1101" s="22">
        <v>1336.9488272111644</v>
      </c>
      <c r="H1101" s="20">
        <f ca="1">NOW() - TIME(5,30,0) + (VLOOKUP(MasterTable[[#This Row],[TimeZone]], $O$3:$P$8, 2, FALSE) / 24)</f>
        <v>45990.531878125003</v>
      </c>
      <c r="I1101" s="1" t="s">
        <v>1944</v>
      </c>
      <c r="J1101" s="1">
        <v>587.63</v>
      </c>
      <c r="K1101" s="11"/>
      <c r="L1101" s="14"/>
    </row>
    <row r="1102" spans="1:12" x14ac:dyDescent="0.25">
      <c r="A1102" s="1" t="s">
        <v>130</v>
      </c>
      <c r="B1102" s="1" t="s">
        <v>131</v>
      </c>
      <c r="C1102" s="1" t="s">
        <v>523</v>
      </c>
      <c r="D1102" s="1">
        <v>38.756900000000002</v>
      </c>
      <c r="E1102" s="1">
        <v>-84.859300000000005</v>
      </c>
      <c r="F1102" s="1" t="s">
        <v>1925</v>
      </c>
      <c r="G1102" s="22">
        <v>1528.4540986967702</v>
      </c>
      <c r="H1102" s="20">
        <f ca="1">NOW() - TIME(5,30,0) + (VLOOKUP(MasterTable[[#This Row],[TimeZone]], $O$3:$P$8, 2, FALSE) / 24)</f>
        <v>45990.573544791667</v>
      </c>
      <c r="I1102" s="1" t="s">
        <v>1944</v>
      </c>
      <c r="J1102" s="1">
        <v>328.41</v>
      </c>
      <c r="K1102" s="11"/>
      <c r="L1102" s="14"/>
    </row>
    <row r="1103" spans="1:12" x14ac:dyDescent="0.25">
      <c r="A1103" s="1" t="s">
        <v>130</v>
      </c>
      <c r="B1103" s="1" t="s">
        <v>131</v>
      </c>
      <c r="C1103" s="1" t="s">
        <v>1606</v>
      </c>
      <c r="D1103" s="1">
        <v>38.613</v>
      </c>
      <c r="E1103" s="1">
        <v>-85.337500000000006</v>
      </c>
      <c r="F1103" s="1" t="s">
        <v>1925</v>
      </c>
      <c r="G1103" s="22">
        <v>1501.4027037640526</v>
      </c>
      <c r="H1103" s="20">
        <f ca="1">NOW() - TIME(5,30,0) + (VLOOKUP(MasterTable[[#This Row],[TimeZone]], $O$3:$P$8, 2, FALSE) / 24)</f>
        <v>45990.573544791667</v>
      </c>
      <c r="I1103" s="1" t="s">
        <v>1944</v>
      </c>
      <c r="J1103" s="1">
        <v>156.22999999999999</v>
      </c>
      <c r="K1103" s="11"/>
      <c r="L1103" s="14"/>
    </row>
    <row r="1104" spans="1:12" x14ac:dyDescent="0.25">
      <c r="A1104" s="1" t="s">
        <v>130</v>
      </c>
      <c r="B1104" s="1" t="s">
        <v>131</v>
      </c>
      <c r="C1104" s="1" t="s">
        <v>1612</v>
      </c>
      <c r="D1104" s="1">
        <v>38.688800000000001</v>
      </c>
      <c r="E1104" s="1">
        <v>-84.090100000000007</v>
      </c>
      <c r="F1104" s="1" t="s">
        <v>1925</v>
      </c>
      <c r="G1104" s="22">
        <v>1568.7267088108579</v>
      </c>
      <c r="H1104" s="20">
        <f ca="1">NOW() - TIME(5,30,0) + (VLOOKUP(MasterTable[[#This Row],[TimeZone]], $O$3:$P$8, 2, FALSE) / 24)</f>
        <v>45990.573544791667</v>
      </c>
      <c r="I1104" s="1" t="s">
        <v>1944</v>
      </c>
      <c r="J1104" s="1">
        <v>208.89</v>
      </c>
      <c r="K1104" s="11"/>
      <c r="L1104" s="14"/>
    </row>
    <row r="1105" spans="1:12" x14ac:dyDescent="0.25">
      <c r="A1105" s="1" t="s">
        <v>130</v>
      </c>
      <c r="B1105" s="1" t="s">
        <v>131</v>
      </c>
      <c r="C1105" s="1" t="s">
        <v>1639</v>
      </c>
      <c r="D1105" s="1">
        <v>37.058500000000002</v>
      </c>
      <c r="E1105" s="1">
        <v>-88.999499999999998</v>
      </c>
      <c r="F1105" s="1" t="s">
        <v>1922</v>
      </c>
      <c r="G1105" s="22">
        <v>1287.2902036326873</v>
      </c>
      <c r="H1105" s="20">
        <f ca="1">NOW() - TIME(5,30,0) + (VLOOKUP(MasterTable[[#This Row],[TimeZone]], $O$3:$P$8, 2, FALSE) / 24)</f>
        <v>45990.531878125003</v>
      </c>
      <c r="I1105" s="1" t="s">
        <v>1944</v>
      </c>
      <c r="J1105" s="1">
        <v>273.60000000000002</v>
      </c>
      <c r="K1105" s="11"/>
      <c r="L1105" s="14"/>
    </row>
    <row r="1106" spans="1:12" x14ac:dyDescent="0.25">
      <c r="A1106" s="1" t="s">
        <v>130</v>
      </c>
      <c r="B1106" s="1" t="s">
        <v>131</v>
      </c>
      <c r="C1106" s="1" t="s">
        <v>1184</v>
      </c>
      <c r="D1106" s="1">
        <v>38.335599999999999</v>
      </c>
      <c r="E1106" s="1">
        <v>-84.015299999999996</v>
      </c>
      <c r="F1106" s="1" t="s">
        <v>1925</v>
      </c>
      <c r="G1106" s="22">
        <v>1569.4025598540391</v>
      </c>
      <c r="H1106" s="20">
        <f ca="1">NOW() - TIME(5,30,0) + (VLOOKUP(MasterTable[[#This Row],[TimeZone]], $O$3:$P$8, 2, FALSE) / 24)</f>
        <v>45990.573544791667</v>
      </c>
      <c r="I1106" s="1" t="s">
        <v>1944</v>
      </c>
      <c r="J1106" s="1">
        <v>196.85</v>
      </c>
      <c r="K1106" s="11"/>
      <c r="L1106" s="14"/>
    </row>
    <row r="1107" spans="1:12" x14ac:dyDescent="0.25">
      <c r="A1107" s="1" t="s">
        <v>130</v>
      </c>
      <c r="B1107" s="1" t="s">
        <v>131</v>
      </c>
      <c r="C1107" s="1" t="s">
        <v>127</v>
      </c>
      <c r="D1107" s="1">
        <v>37.594799999999999</v>
      </c>
      <c r="E1107" s="1">
        <v>-83.716200000000001</v>
      </c>
      <c r="F1107" s="1" t="s">
        <v>1925</v>
      </c>
      <c r="G1107" s="22">
        <v>1579.8966310799408</v>
      </c>
      <c r="H1107" s="20">
        <f ca="1">NOW() - TIME(5,30,0) + (VLOOKUP(MasterTable[[#This Row],[TimeZone]], $O$3:$P$8, 2, FALSE) / 24)</f>
        <v>45990.573544791667</v>
      </c>
      <c r="I1107" s="1" t="s">
        <v>1944</v>
      </c>
      <c r="J1107" s="1">
        <v>615.54999999999995</v>
      </c>
      <c r="K1107" s="11"/>
      <c r="L1107" s="14"/>
    </row>
    <row r="1108" spans="1:12" x14ac:dyDescent="0.25">
      <c r="A1108" s="1" t="s">
        <v>130</v>
      </c>
      <c r="B1108" s="1" t="s">
        <v>131</v>
      </c>
      <c r="C1108" s="1" t="s">
        <v>1655</v>
      </c>
      <c r="D1108" s="1">
        <v>38.117899999999999</v>
      </c>
      <c r="E1108" s="1">
        <v>-83.0976</v>
      </c>
      <c r="F1108" s="1" t="s">
        <v>1925</v>
      </c>
      <c r="G1108" s="22">
        <v>1617.1017585456675</v>
      </c>
      <c r="H1108" s="20">
        <f ca="1">NOW() - TIME(5,30,0) + (VLOOKUP(MasterTable[[#This Row],[TimeZone]], $O$3:$P$8, 2, FALSE) / 24)</f>
        <v>45990.573544791667</v>
      </c>
      <c r="I1108" s="1" t="s">
        <v>1944</v>
      </c>
      <c r="J1108" s="1">
        <v>235.2</v>
      </c>
      <c r="K1108" s="11"/>
      <c r="L1108" s="14"/>
    </row>
    <row r="1109" spans="1:12" x14ac:dyDescent="0.25">
      <c r="A1109" s="1" t="s">
        <v>130</v>
      </c>
      <c r="B1109" s="1" t="s">
        <v>131</v>
      </c>
      <c r="C1109" s="1" t="s">
        <v>1693</v>
      </c>
      <c r="D1109" s="1">
        <v>37.7393</v>
      </c>
      <c r="E1109" s="1">
        <v>-83.493200000000002</v>
      </c>
      <c r="F1109" s="1" t="s">
        <v>1925</v>
      </c>
      <c r="G1109" s="22">
        <v>1592.9909542196651</v>
      </c>
      <c r="H1109" s="20">
        <f ca="1">NOW() - TIME(5,30,0) + (VLOOKUP(MasterTable[[#This Row],[TimeZone]], $O$3:$P$8, 2, FALSE) / 24)</f>
        <v>45990.573544791667</v>
      </c>
      <c r="I1109" s="1" t="s">
        <v>1944</v>
      </c>
      <c r="J1109" s="1">
        <v>222.86</v>
      </c>
      <c r="K1109" s="11"/>
      <c r="L1109" s="14"/>
    </row>
    <row r="1110" spans="1:12" x14ac:dyDescent="0.25">
      <c r="A1110" s="1" t="s">
        <v>130</v>
      </c>
      <c r="B1110" s="1" t="s">
        <v>131</v>
      </c>
      <c r="C1110" s="1" t="s">
        <v>72</v>
      </c>
      <c r="D1110" s="1">
        <v>36.554000000000002</v>
      </c>
      <c r="E1110" s="1">
        <v>-89.187399999999997</v>
      </c>
      <c r="F1110" s="1" t="s">
        <v>1922</v>
      </c>
      <c r="G1110" s="22">
        <v>1272.2119240906184</v>
      </c>
      <c r="H1110" s="20">
        <f ca="1">NOW() - TIME(5,30,0) + (VLOOKUP(MasterTable[[#This Row],[TimeZone]], $O$3:$P$8, 2, FALSE) / 24)</f>
        <v>45990.531878125003</v>
      </c>
      <c r="I1110" s="1" t="s">
        <v>1944</v>
      </c>
      <c r="J1110" s="1">
        <v>620.30999999999995</v>
      </c>
      <c r="K1110" s="11"/>
      <c r="L1110" s="14"/>
    </row>
    <row r="1111" spans="1:12" x14ac:dyDescent="0.25">
      <c r="A1111" s="1" t="s">
        <v>130</v>
      </c>
      <c r="B1111" s="1" t="s">
        <v>131</v>
      </c>
      <c r="C1111" s="1" t="s">
        <v>1706</v>
      </c>
      <c r="D1111" s="1">
        <v>37.941400000000002</v>
      </c>
      <c r="E1111" s="1">
        <v>-83.5989</v>
      </c>
      <c r="F1111" s="1" t="s">
        <v>1925</v>
      </c>
      <c r="G1111" s="22">
        <v>1588.6729745028454</v>
      </c>
      <c r="H1111" s="20">
        <f ca="1">NOW() - TIME(5,30,0) + (VLOOKUP(MasterTable[[#This Row],[TimeZone]], $O$3:$P$8, 2, FALSE) / 24)</f>
        <v>45990.573544791667</v>
      </c>
      <c r="I1111" s="1" t="s">
        <v>1944</v>
      </c>
      <c r="J1111" s="1">
        <v>206.03</v>
      </c>
      <c r="K1111" s="11"/>
      <c r="L1111" s="14"/>
    </row>
    <row r="1112" spans="1:12" x14ac:dyDescent="0.25">
      <c r="A1112" s="1" t="s">
        <v>130</v>
      </c>
      <c r="B1112" s="1" t="s">
        <v>131</v>
      </c>
      <c r="C1112" s="1" t="s">
        <v>271</v>
      </c>
      <c r="D1112" s="1">
        <v>36.7866</v>
      </c>
      <c r="E1112" s="1">
        <v>-85.388499999999993</v>
      </c>
      <c r="F1112" s="1" t="s">
        <v>1922</v>
      </c>
      <c r="G1112" s="22">
        <v>1483.271188453366</v>
      </c>
      <c r="H1112" s="20">
        <f ca="1">NOW() - TIME(5,30,0) + (VLOOKUP(MasterTable[[#This Row],[TimeZone]], $O$3:$P$8, 2, FALSE) / 24)</f>
        <v>45990.531878125003</v>
      </c>
      <c r="I1112" s="1" t="s">
        <v>1944</v>
      </c>
      <c r="J1112" s="1">
        <v>347</v>
      </c>
      <c r="K1112" s="11"/>
      <c r="L1112" s="14"/>
    </row>
    <row r="1113" spans="1:12" x14ac:dyDescent="0.25">
      <c r="A1113" s="1" t="s">
        <v>130</v>
      </c>
      <c r="B1113" s="1" t="s">
        <v>131</v>
      </c>
      <c r="C1113" s="1" t="s">
        <v>1761</v>
      </c>
      <c r="D1113" s="1">
        <v>36.853200000000001</v>
      </c>
      <c r="E1113" s="1">
        <v>-88.971000000000004</v>
      </c>
      <c r="F1113" s="1" t="s">
        <v>1922</v>
      </c>
      <c r="G1113" s="22">
        <v>1286.8182610594292</v>
      </c>
      <c r="H1113" s="20">
        <f ca="1">NOW() - TIME(5,30,0) + (VLOOKUP(MasterTable[[#This Row],[TimeZone]], $O$3:$P$8, 2, FALSE) / 24)</f>
        <v>45990.531878125003</v>
      </c>
      <c r="I1113" s="1" t="s">
        <v>1944</v>
      </c>
      <c r="J1113" s="1">
        <v>199.02</v>
      </c>
      <c r="K1113" s="11"/>
      <c r="L1113" s="14"/>
    </row>
    <row r="1114" spans="1:12" x14ac:dyDescent="0.25">
      <c r="A1114" s="1" t="s">
        <v>130</v>
      </c>
      <c r="B1114" s="1" t="s">
        <v>131</v>
      </c>
      <c r="C1114" s="1" t="s">
        <v>1164</v>
      </c>
      <c r="D1114" s="1">
        <v>36.678100000000001</v>
      </c>
      <c r="E1114" s="1">
        <v>-88.976100000000002</v>
      </c>
      <c r="F1114" s="1" t="s">
        <v>1922</v>
      </c>
      <c r="G1114" s="22">
        <v>1284.9268295572581</v>
      </c>
      <c r="H1114" s="20">
        <f ca="1">NOW() - TIME(5,30,0) + (VLOOKUP(MasterTable[[#This Row],[TimeZone]], $O$3:$P$8, 2, FALSE) / 24)</f>
        <v>45990.531878125003</v>
      </c>
      <c r="I1114" s="1" t="s">
        <v>1944</v>
      </c>
      <c r="J1114" s="1">
        <v>252.94</v>
      </c>
      <c r="K1114" s="11"/>
      <c r="L1114" s="14"/>
    </row>
    <row r="1115" spans="1:12" x14ac:dyDescent="0.25">
      <c r="A1115" s="1" t="s">
        <v>130</v>
      </c>
      <c r="B1115" s="1" t="s">
        <v>131</v>
      </c>
      <c r="C1115" s="1" t="s">
        <v>1780</v>
      </c>
      <c r="D1115" s="1">
        <v>37.419199999999996</v>
      </c>
      <c r="E1115" s="1">
        <v>-83.683099999999996</v>
      </c>
      <c r="F1115" s="1" t="s">
        <v>1925</v>
      </c>
      <c r="G1115" s="22">
        <v>1580.6094543598201</v>
      </c>
      <c r="H1115" s="20">
        <f ca="1">NOW() - TIME(5,30,0) + (VLOOKUP(MasterTable[[#This Row],[TimeZone]], $O$3:$P$8, 2, FALSE) / 24)</f>
        <v>45990.573544791667</v>
      </c>
      <c r="I1115" s="1" t="s">
        <v>1944</v>
      </c>
      <c r="J1115" s="1">
        <v>198.09</v>
      </c>
      <c r="K1115" s="11"/>
      <c r="L1115" s="14"/>
    </row>
    <row r="1116" spans="1:12" x14ac:dyDescent="0.25">
      <c r="A1116" s="1" t="s">
        <v>130</v>
      </c>
      <c r="B1116" s="1" t="s">
        <v>131</v>
      </c>
      <c r="C1116" s="1" t="s">
        <v>694</v>
      </c>
      <c r="D1116" s="1">
        <v>38.518799999999999</v>
      </c>
      <c r="E1116" s="1">
        <v>-84.052000000000007</v>
      </c>
      <c r="F1116" s="1" t="s">
        <v>1925</v>
      </c>
      <c r="G1116" s="22">
        <v>1569.1133098433984</v>
      </c>
      <c r="H1116" s="20">
        <f ca="1">NOW() - TIME(5,30,0) + (VLOOKUP(MasterTable[[#This Row],[TimeZone]], $O$3:$P$8, 2, FALSE) / 24)</f>
        <v>45990.573544791667</v>
      </c>
      <c r="I1116" s="1" t="s">
        <v>1944</v>
      </c>
      <c r="J1116" s="1">
        <v>100.11</v>
      </c>
      <c r="K1116" s="11"/>
      <c r="L1116" s="14"/>
    </row>
    <row r="1117" spans="1:12" x14ac:dyDescent="0.25">
      <c r="A1117" s="1" t="s">
        <v>216</v>
      </c>
      <c r="B1117" s="1" t="s">
        <v>217</v>
      </c>
      <c r="C1117" s="1" t="s">
        <v>215</v>
      </c>
      <c r="D1117" s="1">
        <v>30.5383</v>
      </c>
      <c r="E1117" s="1">
        <v>-91.095600000000005</v>
      </c>
      <c r="F1117" s="1" t="s">
        <v>1922</v>
      </c>
      <c r="G1117" s="22">
        <v>1173.932956801</v>
      </c>
      <c r="H1117" s="20">
        <f ca="1">NOW() - TIME(5,30,0) + (VLOOKUP(MasterTable[[#This Row],[TimeZone]], $O$3:$P$8, 2, FALSE) / 24)</f>
        <v>45990.531878125003</v>
      </c>
      <c r="I1117" s="1" t="s">
        <v>1944</v>
      </c>
      <c r="J1117" s="1">
        <v>470.54</v>
      </c>
      <c r="K1117" s="11" t="s">
        <v>970</v>
      </c>
      <c r="L1117" s="14" t="s">
        <v>1941</v>
      </c>
    </row>
    <row r="1118" spans="1:12" x14ac:dyDescent="0.25">
      <c r="A1118" s="1" t="s">
        <v>216</v>
      </c>
      <c r="B1118" s="1" t="s">
        <v>217</v>
      </c>
      <c r="C1118" s="1" t="s">
        <v>129</v>
      </c>
      <c r="D1118" s="1">
        <v>29.7882</v>
      </c>
      <c r="E1118" s="1">
        <v>-90.127600000000001</v>
      </c>
      <c r="F1118" s="1" t="s">
        <v>1922</v>
      </c>
      <c r="G1118" s="22">
        <v>1241.2543449949037</v>
      </c>
      <c r="H1118" s="20">
        <f ca="1">NOW() - TIME(5,30,0) + (VLOOKUP(MasterTable[[#This Row],[TimeZone]], $O$3:$P$8, 2, FALSE) / 24)</f>
        <v>45990.531878125003</v>
      </c>
      <c r="I1118" s="1" t="s">
        <v>1944</v>
      </c>
      <c r="J1118" s="1">
        <v>1123.8</v>
      </c>
    </row>
    <row r="1119" spans="1:12" x14ac:dyDescent="0.25">
      <c r="A1119" s="1" t="s">
        <v>216</v>
      </c>
      <c r="B1119" s="1" t="s">
        <v>217</v>
      </c>
      <c r="C1119" s="1" t="s">
        <v>253</v>
      </c>
      <c r="D1119" s="1">
        <v>30.0687</v>
      </c>
      <c r="E1119" s="1">
        <v>-89.928899999999999</v>
      </c>
      <c r="F1119" s="1" t="s">
        <v>1922</v>
      </c>
      <c r="G1119" s="22">
        <v>1248.6161584305555</v>
      </c>
      <c r="H1119" s="20">
        <f ca="1">NOW() - TIME(5,30,0) + (VLOOKUP(MasterTable[[#This Row],[TimeZone]], $O$3:$P$8, 2, FALSE) / 24)</f>
        <v>45990.531878125003</v>
      </c>
      <c r="I1119" s="1" t="s">
        <v>1944</v>
      </c>
      <c r="J1119" s="1">
        <v>350.21</v>
      </c>
    </row>
    <row r="1120" spans="1:12" x14ac:dyDescent="0.25">
      <c r="A1120" s="1" t="s">
        <v>216</v>
      </c>
      <c r="B1120" s="1" t="s">
        <v>217</v>
      </c>
      <c r="C1120" s="1" t="s">
        <v>317</v>
      </c>
      <c r="D1120" s="1">
        <v>30.410299999999999</v>
      </c>
      <c r="E1120" s="1">
        <v>-89.958399999999997</v>
      </c>
      <c r="F1120" s="1" t="s">
        <v>1922</v>
      </c>
      <c r="G1120" s="22">
        <v>1242.0978467466132</v>
      </c>
      <c r="H1120" s="20">
        <f ca="1">NOW() - TIME(5,30,0) + (VLOOKUP(MasterTable[[#This Row],[TimeZone]], $O$3:$P$8, 2, FALSE) / 24)</f>
        <v>45990.531878125003</v>
      </c>
      <c r="I1120" s="1" t="s">
        <v>1944</v>
      </c>
      <c r="J1120" s="1">
        <v>1124.08</v>
      </c>
    </row>
    <row r="1121" spans="1:10" x14ac:dyDescent="0.25">
      <c r="A1121" s="1" t="s">
        <v>216</v>
      </c>
      <c r="B1121" s="1" t="s">
        <v>217</v>
      </c>
      <c r="C1121" s="1" t="s">
        <v>333</v>
      </c>
      <c r="D1121" s="1">
        <v>30.206800000000001</v>
      </c>
      <c r="E1121" s="1">
        <v>-92.063900000000004</v>
      </c>
      <c r="F1121" s="1" t="s">
        <v>1922</v>
      </c>
      <c r="G1121" s="22">
        <v>1121.8688562628045</v>
      </c>
      <c r="H1121" s="20">
        <f ca="1">NOW() - TIME(5,30,0) + (VLOOKUP(MasterTable[[#This Row],[TimeZone]], $O$3:$P$8, 2, FALSE) / 24)</f>
        <v>45990.531878125003</v>
      </c>
      <c r="I1121" s="1" t="s">
        <v>1944</v>
      </c>
      <c r="J1121" s="1">
        <v>545.07000000000005</v>
      </c>
    </row>
    <row r="1122" spans="1:10" x14ac:dyDescent="0.25">
      <c r="A1122" s="1" t="s">
        <v>216</v>
      </c>
      <c r="B1122" s="1" t="s">
        <v>217</v>
      </c>
      <c r="C1122" s="1" t="s">
        <v>343</v>
      </c>
      <c r="D1122" s="1">
        <v>32.580599999999997</v>
      </c>
      <c r="E1122" s="1">
        <v>-93.882300000000001</v>
      </c>
      <c r="F1122" s="1" t="s">
        <v>1922</v>
      </c>
      <c r="G1122" s="22">
        <v>993.61021296685135</v>
      </c>
      <c r="H1122" s="20">
        <f ca="1">NOW() - TIME(5,30,0) + (VLOOKUP(MasterTable[[#This Row],[TimeZone]], $O$3:$P$8, 2, FALSE) / 24)</f>
        <v>45990.531878125003</v>
      </c>
      <c r="I1122" s="1" t="s">
        <v>1944</v>
      </c>
      <c r="J1122" s="1">
        <v>936.9</v>
      </c>
    </row>
    <row r="1123" spans="1:10" x14ac:dyDescent="0.25">
      <c r="A1123" s="1" t="s">
        <v>216</v>
      </c>
      <c r="B1123" s="1" t="s">
        <v>217</v>
      </c>
      <c r="C1123" s="1" t="s">
        <v>365</v>
      </c>
      <c r="D1123" s="1">
        <v>30.229299999999999</v>
      </c>
      <c r="E1123" s="1">
        <v>-93.358099999999993</v>
      </c>
      <c r="F1123" s="1" t="s">
        <v>1922</v>
      </c>
      <c r="G1123" s="22">
        <v>1045.9650811904457</v>
      </c>
      <c r="H1123" s="20">
        <f ca="1">NOW() - TIME(5,30,0) + (VLOOKUP(MasterTable[[#This Row],[TimeZone]], $O$3:$P$8, 2, FALSE) / 24)</f>
        <v>45990.531878125003</v>
      </c>
      <c r="I1123" s="1" t="s">
        <v>1944</v>
      </c>
      <c r="J1123" s="1">
        <v>1094.3399999999999</v>
      </c>
    </row>
    <row r="1124" spans="1:10" x14ac:dyDescent="0.25">
      <c r="A1124" s="1" t="s">
        <v>216</v>
      </c>
      <c r="B1124" s="1" t="s">
        <v>217</v>
      </c>
      <c r="C1124" s="1" t="s">
        <v>458</v>
      </c>
      <c r="D1124" s="1">
        <v>32.478400000000001</v>
      </c>
      <c r="E1124" s="1">
        <v>-92.154899999999998</v>
      </c>
      <c r="F1124" s="1" t="s">
        <v>1922</v>
      </c>
      <c r="G1124" s="22">
        <v>1094.4880383900938</v>
      </c>
      <c r="H1124" s="20">
        <f ca="1">NOW() - TIME(5,30,0) + (VLOOKUP(MasterTable[[#This Row],[TimeZone]], $O$3:$P$8, 2, FALSE) / 24)</f>
        <v>45990.531878125003</v>
      </c>
      <c r="I1124" s="1" t="s">
        <v>1944</v>
      </c>
      <c r="J1124" s="1">
        <v>739.63</v>
      </c>
    </row>
    <row r="1125" spans="1:10" x14ac:dyDescent="0.25">
      <c r="A1125" s="1" t="s">
        <v>216</v>
      </c>
      <c r="B1125" s="1" t="s">
        <v>217</v>
      </c>
      <c r="C1125" s="1" t="s">
        <v>384</v>
      </c>
      <c r="D1125" s="1">
        <v>30.440100000000001</v>
      </c>
      <c r="E1125" s="1">
        <v>-90.727900000000005</v>
      </c>
      <c r="F1125" s="1" t="s">
        <v>1922</v>
      </c>
      <c r="G1125" s="22">
        <v>1196.7183245513636</v>
      </c>
      <c r="H1125" s="20">
        <f ca="1">NOW() - TIME(5,30,0) + (VLOOKUP(MasterTable[[#This Row],[TimeZone]], $O$3:$P$8, 2, FALSE) / 24)</f>
        <v>45990.531878125003</v>
      </c>
      <c r="I1125" s="1" t="s">
        <v>1944</v>
      </c>
      <c r="J1125" s="1">
        <v>1045.43</v>
      </c>
    </row>
    <row r="1126" spans="1:10" x14ac:dyDescent="0.25">
      <c r="A1126" s="1" t="s">
        <v>216</v>
      </c>
      <c r="B1126" s="1" t="s">
        <v>217</v>
      </c>
      <c r="C1126" s="1" t="s">
        <v>496</v>
      </c>
      <c r="D1126" s="1">
        <v>30.6266</v>
      </c>
      <c r="E1126" s="1">
        <v>-90.405699999999996</v>
      </c>
      <c r="F1126" s="1" t="s">
        <v>1922</v>
      </c>
      <c r="G1126" s="22">
        <v>1213.1307913630094</v>
      </c>
      <c r="H1126" s="20">
        <f ca="1">NOW() - TIME(5,30,0) + (VLOOKUP(MasterTable[[#This Row],[TimeZone]], $O$3:$P$8, 2, FALSE) / 24)</f>
        <v>45990.531878125003</v>
      </c>
      <c r="I1126" s="1" t="s">
        <v>1944</v>
      </c>
      <c r="J1126" s="1">
        <v>823.12</v>
      </c>
    </row>
    <row r="1127" spans="1:10" x14ac:dyDescent="0.25">
      <c r="A1127" s="1" t="s">
        <v>216</v>
      </c>
      <c r="B1127" s="1" t="s">
        <v>217</v>
      </c>
      <c r="C1127" s="1" t="s">
        <v>509</v>
      </c>
      <c r="D1127" s="1">
        <v>32.678400000000003</v>
      </c>
      <c r="E1127" s="1">
        <v>-93.604900000000001</v>
      </c>
      <c r="F1127" s="1" t="s">
        <v>1922</v>
      </c>
      <c r="G1127" s="22">
        <v>1009.3724795990879</v>
      </c>
      <c r="H1127" s="20">
        <f ca="1">NOW() - TIME(5,30,0) + (VLOOKUP(MasterTable[[#This Row],[TimeZone]], $O$3:$P$8, 2, FALSE) / 24)</f>
        <v>45990.531878125003</v>
      </c>
      <c r="I1127" s="1" t="s">
        <v>1944</v>
      </c>
      <c r="J1127" s="1">
        <v>866.93</v>
      </c>
    </row>
    <row r="1128" spans="1:10" x14ac:dyDescent="0.25">
      <c r="A1128" s="1" t="s">
        <v>216</v>
      </c>
      <c r="B1128" s="1" t="s">
        <v>217</v>
      </c>
      <c r="C1128" s="1" t="s">
        <v>510</v>
      </c>
      <c r="D1128" s="1">
        <v>30.203600000000002</v>
      </c>
      <c r="E1128" s="1">
        <v>-90.911299999999997</v>
      </c>
      <c r="F1128" s="1" t="s">
        <v>1922</v>
      </c>
      <c r="G1128" s="22">
        <v>1189.2580050318027</v>
      </c>
      <c r="H1128" s="20">
        <f ca="1">NOW() - TIME(5,30,0) + (VLOOKUP(MasterTable[[#This Row],[TimeZone]], $O$3:$P$8, 2, FALSE) / 24)</f>
        <v>45990.531878125003</v>
      </c>
      <c r="I1128" s="1" t="s">
        <v>1944</v>
      </c>
      <c r="J1128" s="1">
        <v>302.88</v>
      </c>
    </row>
    <row r="1129" spans="1:10" x14ac:dyDescent="0.25">
      <c r="A1129" s="1" t="s">
        <v>216</v>
      </c>
      <c r="B1129" s="1" t="s">
        <v>217</v>
      </c>
      <c r="C1129" s="1" t="s">
        <v>511</v>
      </c>
      <c r="D1129" s="1">
        <v>31.198599999999999</v>
      </c>
      <c r="E1129" s="1">
        <v>-92.533199999999994</v>
      </c>
      <c r="F1129" s="1" t="s">
        <v>1922</v>
      </c>
      <c r="G1129" s="22">
        <v>1082.1939983767049</v>
      </c>
      <c r="H1129" s="20">
        <f ca="1">NOW() - TIME(5,30,0) + (VLOOKUP(MasterTable[[#This Row],[TimeZone]], $O$3:$P$8, 2, FALSE) / 24)</f>
        <v>45990.531878125003</v>
      </c>
      <c r="I1129" s="1" t="s">
        <v>1944</v>
      </c>
      <c r="J1129" s="1">
        <v>1361.96</v>
      </c>
    </row>
    <row r="1130" spans="1:10" x14ac:dyDescent="0.25">
      <c r="A1130" s="1" t="s">
        <v>216</v>
      </c>
      <c r="B1130" s="1" t="s">
        <v>217</v>
      </c>
      <c r="C1130" s="1" t="s">
        <v>565</v>
      </c>
      <c r="D1130" s="1">
        <v>29.4148</v>
      </c>
      <c r="E1130" s="1">
        <v>-90.866299999999995</v>
      </c>
      <c r="F1130" s="1" t="s">
        <v>1922</v>
      </c>
      <c r="G1130" s="22">
        <v>1204.252131213264</v>
      </c>
      <c r="H1130" s="20">
        <f ca="1">NOW() - TIME(5,30,0) + (VLOOKUP(MasterTable[[#This Row],[TimeZone]], $O$3:$P$8, 2, FALSE) / 24)</f>
        <v>45990.531878125003</v>
      </c>
      <c r="I1130" s="1" t="s">
        <v>1944</v>
      </c>
      <c r="J1130" s="1">
        <v>2079.9</v>
      </c>
    </row>
    <row r="1131" spans="1:10" x14ac:dyDescent="0.25">
      <c r="A1131" s="1" t="s">
        <v>216</v>
      </c>
      <c r="B1131" s="1" t="s">
        <v>217</v>
      </c>
      <c r="C1131" s="1" t="s">
        <v>608</v>
      </c>
      <c r="D1131" s="1">
        <v>29.566199999999998</v>
      </c>
      <c r="E1131" s="1">
        <v>-90.425600000000003</v>
      </c>
      <c r="F1131" s="1" t="s">
        <v>1922</v>
      </c>
      <c r="G1131" s="22">
        <v>1227.4205098763614</v>
      </c>
      <c r="H1131" s="20">
        <f ca="1">NOW() - TIME(5,30,0) + (VLOOKUP(MasterTable[[#This Row],[TimeZone]], $O$3:$P$8, 2, FALSE) / 24)</f>
        <v>45990.531878125003</v>
      </c>
      <c r="I1131" s="1" t="s">
        <v>1944</v>
      </c>
      <c r="J1131" s="1">
        <v>1472.19</v>
      </c>
    </row>
    <row r="1132" spans="1:10" x14ac:dyDescent="0.25">
      <c r="A1132" s="1" t="s">
        <v>216</v>
      </c>
      <c r="B1132" s="1" t="s">
        <v>217</v>
      </c>
      <c r="C1132" s="1" t="s">
        <v>662</v>
      </c>
      <c r="D1132" s="1">
        <v>30.5989</v>
      </c>
      <c r="E1132" s="1">
        <v>-92.005799999999994</v>
      </c>
      <c r="F1132" s="1" t="s">
        <v>1922</v>
      </c>
      <c r="G1132" s="22">
        <v>1119.9490007162449</v>
      </c>
      <c r="H1132" s="20">
        <f ca="1">NOW() - TIME(5,30,0) + (VLOOKUP(MasterTable[[#This Row],[TimeZone]], $O$3:$P$8, 2, FALSE) / 24)</f>
        <v>45990.531878125003</v>
      </c>
      <c r="I1132" s="1" t="s">
        <v>1944</v>
      </c>
      <c r="J1132" s="1">
        <v>938.83</v>
      </c>
    </row>
    <row r="1133" spans="1:10" x14ac:dyDescent="0.25">
      <c r="A1133" s="1" t="s">
        <v>216</v>
      </c>
      <c r="B1133" s="1" t="s">
        <v>217</v>
      </c>
      <c r="C1133" s="1" t="s">
        <v>715</v>
      </c>
      <c r="D1133" s="1">
        <v>29.896699999999999</v>
      </c>
      <c r="E1133" s="1">
        <v>-91.730800000000002</v>
      </c>
      <c r="F1133" s="1" t="s">
        <v>1922</v>
      </c>
      <c r="G1133" s="22">
        <v>1145.9480687720898</v>
      </c>
      <c r="H1133" s="20">
        <f ca="1">NOW() - TIME(5,30,0) + (VLOOKUP(MasterTable[[#This Row],[TimeZone]], $O$3:$P$8, 2, FALSE) / 24)</f>
        <v>45990.531878125003</v>
      </c>
      <c r="I1133" s="1" t="s">
        <v>1944</v>
      </c>
      <c r="J1133" s="1">
        <v>1030.8599999999999</v>
      </c>
    </row>
    <row r="1134" spans="1:10" x14ac:dyDescent="0.25">
      <c r="A1134" s="1" t="s">
        <v>216</v>
      </c>
      <c r="B1134" s="1" t="s">
        <v>217</v>
      </c>
      <c r="C1134" s="1" t="s">
        <v>800</v>
      </c>
      <c r="D1134" s="1">
        <v>30.290600000000001</v>
      </c>
      <c r="E1134" s="1">
        <v>-92.412000000000006</v>
      </c>
      <c r="F1134" s="1" t="s">
        <v>1922</v>
      </c>
      <c r="G1134" s="22">
        <v>1100.344534440605</v>
      </c>
      <c r="H1134" s="20">
        <f ca="1">NOW() - TIME(5,30,0) + (VLOOKUP(MasterTable[[#This Row],[TimeZone]], $O$3:$P$8, 2, FALSE) / 24)</f>
        <v>45990.531878125003</v>
      </c>
      <c r="I1134" s="1" t="s">
        <v>1944</v>
      </c>
      <c r="J1134" s="1">
        <v>657.62</v>
      </c>
    </row>
    <row r="1135" spans="1:10" x14ac:dyDescent="0.25">
      <c r="A1135" s="1" t="s">
        <v>216</v>
      </c>
      <c r="B1135" s="1" t="s">
        <v>217</v>
      </c>
      <c r="C1135" s="1" t="s">
        <v>698</v>
      </c>
      <c r="D1135" s="1">
        <v>29.846499999999999</v>
      </c>
      <c r="E1135" s="1">
        <v>-92.324200000000005</v>
      </c>
      <c r="F1135" s="1" t="s">
        <v>1922</v>
      </c>
      <c r="G1135" s="22">
        <v>1112.1029189608525</v>
      </c>
      <c r="H1135" s="20">
        <f ca="1">NOW() - TIME(5,30,0) + (VLOOKUP(MasterTable[[#This Row],[TimeZone]], $O$3:$P$8, 2, FALSE) / 24)</f>
        <v>45990.531878125003</v>
      </c>
      <c r="I1135" s="1" t="s">
        <v>1944</v>
      </c>
      <c r="J1135" s="1">
        <v>902.14</v>
      </c>
    </row>
    <row r="1136" spans="1:10" x14ac:dyDescent="0.25">
      <c r="A1136" s="1" t="s">
        <v>216</v>
      </c>
      <c r="B1136" s="1" t="s">
        <v>217</v>
      </c>
      <c r="C1136" s="1" t="s">
        <v>237</v>
      </c>
      <c r="D1136" s="1">
        <v>29.9055</v>
      </c>
      <c r="E1136" s="1">
        <v>-90.358199999999997</v>
      </c>
      <c r="F1136" s="1" t="s">
        <v>1922</v>
      </c>
      <c r="G1136" s="22">
        <v>1225.9712061989969</v>
      </c>
      <c r="H1136" s="20">
        <f ca="1">NOW() - TIME(5,30,0) + (VLOOKUP(MasterTable[[#This Row],[TimeZone]], $O$3:$P$8, 2, FALSE) / 24)</f>
        <v>45990.531878125003</v>
      </c>
      <c r="I1136" s="1" t="s">
        <v>1944</v>
      </c>
      <c r="J1136" s="1">
        <v>410.16</v>
      </c>
    </row>
    <row r="1137" spans="1:10" x14ac:dyDescent="0.25">
      <c r="A1137" s="1" t="s">
        <v>216</v>
      </c>
      <c r="B1137" s="1" t="s">
        <v>217</v>
      </c>
      <c r="C1137" s="1" t="s">
        <v>831</v>
      </c>
      <c r="D1137" s="1">
        <v>30.129100000000001</v>
      </c>
      <c r="E1137" s="1">
        <v>-91.6083</v>
      </c>
      <c r="F1137" s="1" t="s">
        <v>1922</v>
      </c>
      <c r="G1137" s="22">
        <v>1149.6067055693372</v>
      </c>
      <c r="H1137" s="20">
        <f ca="1">NOW() - TIME(5,30,0) + (VLOOKUP(MasterTable[[#This Row],[TimeZone]], $O$3:$P$8, 2, FALSE) / 24)</f>
        <v>45990.531878125003</v>
      </c>
      <c r="I1137" s="1" t="s">
        <v>1944</v>
      </c>
      <c r="J1137" s="1">
        <v>816.46</v>
      </c>
    </row>
    <row r="1138" spans="1:10" x14ac:dyDescent="0.25">
      <c r="A1138" s="1" t="s">
        <v>216</v>
      </c>
      <c r="B1138" s="1" t="s">
        <v>217</v>
      </c>
      <c r="C1138" s="1" t="s">
        <v>854</v>
      </c>
      <c r="D1138" s="1">
        <v>29.720700000000001</v>
      </c>
      <c r="E1138" s="1">
        <v>-91.448599999999999</v>
      </c>
      <c r="F1138" s="1" t="s">
        <v>1922</v>
      </c>
      <c r="G1138" s="22">
        <v>1165.2005883111533</v>
      </c>
      <c r="H1138" s="20">
        <f ca="1">NOW() - TIME(5,30,0) + (VLOOKUP(MasterTable[[#This Row],[TimeZone]], $O$3:$P$8, 2, FALSE) / 24)</f>
        <v>45990.531878125003</v>
      </c>
      <c r="I1138" s="1" t="s">
        <v>1944</v>
      </c>
      <c r="J1138" s="1">
        <v>1118.83</v>
      </c>
    </row>
    <row r="1139" spans="1:10" x14ac:dyDescent="0.25">
      <c r="A1139" s="1" t="s">
        <v>216</v>
      </c>
      <c r="B1139" s="1" t="s">
        <v>217</v>
      </c>
      <c r="C1139" s="1" t="s">
        <v>632</v>
      </c>
      <c r="D1139" s="1">
        <v>32.601599999999998</v>
      </c>
      <c r="E1139" s="1">
        <v>-92.664900000000003</v>
      </c>
      <c r="F1139" s="1" t="s">
        <v>1922</v>
      </c>
      <c r="G1139" s="22">
        <v>1064.2779775596152</v>
      </c>
      <c r="H1139" s="20">
        <f ca="1">NOW() - TIME(5,30,0) + (VLOOKUP(MasterTable[[#This Row],[TimeZone]], $O$3:$P$8, 2, FALSE) / 24)</f>
        <v>45990.531878125003</v>
      </c>
      <c r="I1139" s="1" t="s">
        <v>1944</v>
      </c>
      <c r="J1139" s="1">
        <v>572.16999999999996</v>
      </c>
    </row>
    <row r="1140" spans="1:10" x14ac:dyDescent="0.25">
      <c r="A1140" s="1" t="s">
        <v>216</v>
      </c>
      <c r="B1140" s="1" t="s">
        <v>217</v>
      </c>
      <c r="C1140" s="1" t="s">
        <v>860</v>
      </c>
      <c r="D1140" s="1">
        <v>31.1083</v>
      </c>
      <c r="E1140" s="1">
        <v>-93.184299999999993</v>
      </c>
      <c r="F1140" s="1" t="s">
        <v>1922</v>
      </c>
      <c r="G1140" s="22">
        <v>1045.083202260811</v>
      </c>
      <c r="H1140" s="20">
        <f ca="1">NOW() - TIME(5,30,0) + (VLOOKUP(MasterTable[[#This Row],[TimeZone]], $O$3:$P$8, 2, FALSE) / 24)</f>
        <v>45990.531878125003</v>
      </c>
      <c r="I1140" s="1" t="s">
        <v>1944</v>
      </c>
      <c r="J1140" s="1">
        <v>1341.51</v>
      </c>
    </row>
    <row r="1141" spans="1:10" x14ac:dyDescent="0.25">
      <c r="A1141" s="1" t="s">
        <v>216</v>
      </c>
      <c r="B1141" s="1" t="s">
        <v>217</v>
      </c>
      <c r="C1141" s="1" t="s">
        <v>28</v>
      </c>
      <c r="D1141" s="1">
        <v>30.853300000000001</v>
      </c>
      <c r="E1141" s="1">
        <v>-90.040499999999994</v>
      </c>
      <c r="F1141" s="1" t="s">
        <v>1922</v>
      </c>
      <c r="G1141" s="22">
        <v>1231.7043938596721</v>
      </c>
      <c r="H1141" s="20">
        <f ca="1">NOW() - TIME(5,30,0) + (VLOOKUP(MasterTable[[#This Row],[TimeZone]], $O$3:$P$8, 2, FALSE) / 24)</f>
        <v>45990.531878125003</v>
      </c>
      <c r="I1141" s="1" t="s">
        <v>1944</v>
      </c>
      <c r="J1141" s="1">
        <v>1088.54</v>
      </c>
    </row>
    <row r="1142" spans="1:10" x14ac:dyDescent="0.25">
      <c r="A1142" s="1" t="s">
        <v>216</v>
      </c>
      <c r="B1142" s="1" t="s">
        <v>217</v>
      </c>
      <c r="C1142" s="1" t="s">
        <v>901</v>
      </c>
      <c r="D1142" s="1">
        <v>29.8691</v>
      </c>
      <c r="E1142" s="1">
        <v>-89.554900000000004</v>
      </c>
      <c r="F1142" s="1" t="s">
        <v>1922</v>
      </c>
      <c r="G1142" s="22">
        <v>1273.4600684728255</v>
      </c>
      <c r="H1142" s="20">
        <f ca="1">NOW() - TIME(5,30,0) + (VLOOKUP(MasterTable[[#This Row],[TimeZone]], $O$3:$P$8, 2, FALSE) / 24)</f>
        <v>45990.531878125003</v>
      </c>
      <c r="I1142" s="1" t="s">
        <v>1944</v>
      </c>
      <c r="J1142" s="1">
        <v>1793.75</v>
      </c>
    </row>
    <row r="1143" spans="1:10" x14ac:dyDescent="0.25">
      <c r="A1143" s="1" t="s">
        <v>216</v>
      </c>
      <c r="B1143" s="1" t="s">
        <v>217</v>
      </c>
      <c r="C1143" s="1" t="s">
        <v>936</v>
      </c>
      <c r="D1143" s="1">
        <v>30.1264</v>
      </c>
      <c r="E1143" s="1">
        <v>-90.471000000000004</v>
      </c>
      <c r="F1143" s="1" t="s">
        <v>1922</v>
      </c>
      <c r="G1143" s="22">
        <v>1216.0960667713307</v>
      </c>
      <c r="H1143" s="20">
        <f ca="1">NOW() - TIME(5,30,0) + (VLOOKUP(MasterTable[[#This Row],[TimeZone]], $O$3:$P$8, 2, FALSE) / 24)</f>
        <v>45990.531878125003</v>
      </c>
      <c r="I1143" s="1" t="s">
        <v>1944</v>
      </c>
      <c r="J1143" s="1">
        <v>347.84</v>
      </c>
    </row>
    <row r="1144" spans="1:10" x14ac:dyDescent="0.25">
      <c r="A1144" s="1" t="s">
        <v>216</v>
      </c>
      <c r="B1144" s="1" t="s">
        <v>217</v>
      </c>
      <c r="C1144" s="1" t="s">
        <v>963</v>
      </c>
      <c r="D1144" s="1">
        <v>31.0763</v>
      </c>
      <c r="E1144" s="1">
        <v>-92.001400000000004</v>
      </c>
      <c r="F1144" s="1" t="s">
        <v>1922</v>
      </c>
      <c r="G1144" s="22">
        <v>1114.5686867780614</v>
      </c>
      <c r="H1144" s="20">
        <f ca="1">NOW() - TIME(5,30,0) + (VLOOKUP(MasterTable[[#This Row],[TimeZone]], $O$3:$P$8, 2, FALSE) / 24)</f>
        <v>45990.531878125003</v>
      </c>
      <c r="I1144" s="1" t="s">
        <v>1944</v>
      </c>
      <c r="J1144" s="1">
        <v>865.67</v>
      </c>
    </row>
    <row r="1145" spans="1:10" x14ac:dyDescent="0.25">
      <c r="A1145" s="1" t="s">
        <v>216</v>
      </c>
      <c r="B1145" s="1" t="s">
        <v>217</v>
      </c>
      <c r="C1145" s="1" t="s">
        <v>988</v>
      </c>
      <c r="D1145" s="1">
        <v>31.723400000000002</v>
      </c>
      <c r="E1145" s="1">
        <v>-93.096199999999996</v>
      </c>
      <c r="F1145" s="1" t="s">
        <v>1922</v>
      </c>
      <c r="G1145" s="22">
        <v>1044.5040868290407</v>
      </c>
      <c r="H1145" s="20">
        <f ca="1">NOW() - TIME(5,30,0) + (VLOOKUP(MasterTable[[#This Row],[TimeZone]], $O$3:$P$8, 2, FALSE) / 24)</f>
        <v>45990.531878125003</v>
      </c>
      <c r="I1145" s="1" t="s">
        <v>1944</v>
      </c>
      <c r="J1145" s="1">
        <v>1299.3</v>
      </c>
    </row>
    <row r="1146" spans="1:10" x14ac:dyDescent="0.25">
      <c r="A1146" s="1" t="s">
        <v>216</v>
      </c>
      <c r="B1146" s="1" t="s">
        <v>217</v>
      </c>
      <c r="C1146" s="1" t="s">
        <v>998</v>
      </c>
      <c r="D1146" s="1">
        <v>30.648599999999998</v>
      </c>
      <c r="E1146" s="1">
        <v>-93.343199999999996</v>
      </c>
      <c r="F1146" s="1" t="s">
        <v>1922</v>
      </c>
      <c r="G1146" s="22">
        <v>1041.1512313512683</v>
      </c>
      <c r="H1146" s="20">
        <f ca="1">NOW() - TIME(5,30,0) + (VLOOKUP(MasterTable[[#This Row],[TimeZone]], $O$3:$P$8, 2, FALSE) / 24)</f>
        <v>45990.531878125003</v>
      </c>
      <c r="I1146" s="1" t="s">
        <v>1944</v>
      </c>
      <c r="J1146" s="1">
        <v>1165.99</v>
      </c>
    </row>
    <row r="1147" spans="1:10" x14ac:dyDescent="0.25">
      <c r="A1147" s="1" t="s">
        <v>216</v>
      </c>
      <c r="B1147" s="1" t="s">
        <v>217</v>
      </c>
      <c r="C1147" s="1" t="s">
        <v>955</v>
      </c>
      <c r="D1147" s="1">
        <v>32.713500000000003</v>
      </c>
      <c r="E1147" s="1">
        <v>-93.334999999999994</v>
      </c>
      <c r="F1147" s="1" t="s">
        <v>1922</v>
      </c>
      <c r="G1147" s="22">
        <v>1024.9251755066202</v>
      </c>
      <c r="H1147" s="20">
        <f ca="1">NOW() - TIME(5,30,0) + (VLOOKUP(MasterTable[[#This Row],[TimeZone]], $O$3:$P$8, 2, FALSE) / 24)</f>
        <v>45990.531878125003</v>
      </c>
      <c r="I1147" s="1" t="s">
        <v>1944</v>
      </c>
      <c r="J1147" s="1">
        <v>210.26</v>
      </c>
    </row>
    <row r="1148" spans="1:10" x14ac:dyDescent="0.25">
      <c r="A1148" s="1" t="s">
        <v>216</v>
      </c>
      <c r="B1148" s="1" t="s">
        <v>217</v>
      </c>
      <c r="C1148" s="1" t="s">
        <v>1045</v>
      </c>
      <c r="D1148" s="1">
        <v>30.728899999999999</v>
      </c>
      <c r="E1148" s="1">
        <v>-92.406000000000006</v>
      </c>
      <c r="F1148" s="1" t="s">
        <v>1922</v>
      </c>
      <c r="G1148" s="22">
        <v>1094.9292192084449</v>
      </c>
      <c r="H1148" s="20">
        <f ca="1">NOW() - TIME(5,30,0) + (VLOOKUP(MasterTable[[#This Row],[TimeZone]], $O$3:$P$8, 2, FALSE) / 24)</f>
        <v>45990.531878125003</v>
      </c>
      <c r="I1148" s="1" t="s">
        <v>1944</v>
      </c>
      <c r="J1148" s="1">
        <v>679.61</v>
      </c>
    </row>
    <row r="1149" spans="1:10" x14ac:dyDescent="0.25">
      <c r="A1149" s="1" t="s">
        <v>216</v>
      </c>
      <c r="B1149" s="1" t="s">
        <v>217</v>
      </c>
      <c r="C1149" s="1" t="s">
        <v>1046</v>
      </c>
      <c r="D1149" s="1">
        <v>30.267700000000001</v>
      </c>
      <c r="E1149" s="1">
        <v>-92.814099999999996</v>
      </c>
      <c r="F1149" s="1" t="s">
        <v>1922</v>
      </c>
      <c r="G1149" s="22">
        <v>1077.1806868183353</v>
      </c>
      <c r="H1149" s="20">
        <f ca="1">NOW() - TIME(5,30,0) + (VLOOKUP(MasterTable[[#This Row],[TimeZone]], $O$3:$P$8, 2, FALSE) / 24)</f>
        <v>45990.531878125003</v>
      </c>
      <c r="I1149" s="1" t="s">
        <v>1944</v>
      </c>
      <c r="J1149" s="1">
        <v>658.58</v>
      </c>
    </row>
    <row r="1150" spans="1:10" x14ac:dyDescent="0.25">
      <c r="A1150" s="1" t="s">
        <v>216</v>
      </c>
      <c r="B1150" s="1" t="s">
        <v>217</v>
      </c>
      <c r="C1150" s="1" t="s">
        <v>1080</v>
      </c>
      <c r="D1150" s="1">
        <v>30.258600000000001</v>
      </c>
      <c r="E1150" s="1">
        <v>-91.349500000000006</v>
      </c>
      <c r="F1150" s="1" t="s">
        <v>1922</v>
      </c>
      <c r="G1150" s="22">
        <v>1162.873248597964</v>
      </c>
      <c r="H1150" s="20">
        <f ca="1">NOW() - TIME(5,30,0) + (VLOOKUP(MasterTable[[#This Row],[TimeZone]], $O$3:$P$8, 2, FALSE) / 24)</f>
        <v>45990.531878125003</v>
      </c>
      <c r="I1150" s="1" t="s">
        <v>1944</v>
      </c>
      <c r="J1150" s="1">
        <v>652.84</v>
      </c>
    </row>
    <row r="1151" spans="1:10" x14ac:dyDescent="0.25">
      <c r="A1151" s="1" t="s">
        <v>216</v>
      </c>
      <c r="B1151" s="1" t="s">
        <v>217</v>
      </c>
      <c r="C1151" s="1" t="s">
        <v>1115</v>
      </c>
      <c r="D1151" s="1">
        <v>30.4636</v>
      </c>
      <c r="E1151" s="1">
        <v>-91.312700000000007</v>
      </c>
      <c r="F1151" s="1" t="s">
        <v>1922</v>
      </c>
      <c r="G1151" s="22">
        <v>1162.2230612760545</v>
      </c>
      <c r="H1151" s="20">
        <f ca="1">NOW() - TIME(5,30,0) + (VLOOKUP(MasterTable[[#This Row],[TimeZone]], $O$3:$P$8, 2, FALSE) / 24)</f>
        <v>45990.531878125003</v>
      </c>
      <c r="I1151" s="1" t="s">
        <v>1944</v>
      </c>
      <c r="J1151" s="1">
        <v>203.62</v>
      </c>
    </row>
    <row r="1152" spans="1:10" x14ac:dyDescent="0.25">
      <c r="A1152" s="1" t="s">
        <v>216</v>
      </c>
      <c r="B1152" s="1" t="s">
        <v>217</v>
      </c>
      <c r="C1152" s="1" t="s">
        <v>1129</v>
      </c>
      <c r="D1152" s="1">
        <v>32.055399999999999</v>
      </c>
      <c r="E1152" s="1">
        <v>-93.737300000000005</v>
      </c>
      <c r="F1152" s="1" t="s">
        <v>1922</v>
      </c>
      <c r="G1152" s="22">
        <v>1004.7201106456838</v>
      </c>
      <c r="H1152" s="20">
        <f ca="1">NOW() - TIME(5,30,0) + (VLOOKUP(MasterTable[[#This Row],[TimeZone]], $O$3:$P$8, 2, FALSE) / 24)</f>
        <v>45990.531878125003</v>
      </c>
      <c r="I1152" s="1" t="s">
        <v>1944</v>
      </c>
      <c r="J1152" s="1">
        <v>894.49</v>
      </c>
    </row>
    <row r="1153" spans="1:10" x14ac:dyDescent="0.25">
      <c r="A1153" s="1" t="s">
        <v>216</v>
      </c>
      <c r="B1153" s="1" t="s">
        <v>217</v>
      </c>
      <c r="C1153" s="1" t="s">
        <v>1173</v>
      </c>
      <c r="D1153" s="1">
        <v>32.8202</v>
      </c>
      <c r="E1153" s="1">
        <v>-91.8018</v>
      </c>
      <c r="F1153" s="1" t="s">
        <v>1922</v>
      </c>
      <c r="G1153" s="22">
        <v>1113.5078891682674</v>
      </c>
      <c r="H1153" s="20">
        <f ca="1">NOW() - TIME(5,30,0) + (VLOOKUP(MasterTable[[#This Row],[TimeZone]], $O$3:$P$8, 2, FALSE) / 24)</f>
        <v>45990.531878125003</v>
      </c>
      <c r="I1153" s="1" t="s">
        <v>1944</v>
      </c>
      <c r="J1153" s="1">
        <v>805.2</v>
      </c>
    </row>
    <row r="1154" spans="1:10" x14ac:dyDescent="0.25">
      <c r="A1154" s="1" t="s">
        <v>216</v>
      </c>
      <c r="B1154" s="1" t="s">
        <v>217</v>
      </c>
      <c r="C1154" s="1" t="s">
        <v>1206</v>
      </c>
      <c r="D1154" s="1">
        <v>29.4406</v>
      </c>
      <c r="E1154" s="1">
        <v>-89.61</v>
      </c>
      <c r="F1154" s="1" t="s">
        <v>1922</v>
      </c>
      <c r="G1154" s="22">
        <v>1277.1156257499495</v>
      </c>
      <c r="H1154" s="20">
        <f ca="1">NOW() - TIME(5,30,0) + (VLOOKUP(MasterTable[[#This Row],[TimeZone]], $O$3:$P$8, 2, FALSE) / 24)</f>
        <v>45990.531878125003</v>
      </c>
      <c r="I1154" s="1" t="s">
        <v>1944</v>
      </c>
      <c r="J1154" s="1">
        <v>2428.54</v>
      </c>
    </row>
    <row r="1155" spans="1:10" x14ac:dyDescent="0.25">
      <c r="A1155" s="1" t="s">
        <v>216</v>
      </c>
      <c r="B1155" s="1" t="s">
        <v>217</v>
      </c>
      <c r="C1155" s="1" t="s">
        <v>246</v>
      </c>
      <c r="D1155" s="1">
        <v>30.652899999999999</v>
      </c>
      <c r="E1155" s="1">
        <v>-92.828000000000003</v>
      </c>
      <c r="F1155" s="1" t="s">
        <v>1922</v>
      </c>
      <c r="G1155" s="22">
        <v>1071.2072026869018</v>
      </c>
      <c r="H1155" s="20">
        <f ca="1">NOW() - TIME(5,30,0) + (VLOOKUP(MasterTable[[#This Row],[TimeZone]], $O$3:$P$8, 2, FALSE) / 24)</f>
        <v>45990.531878125003</v>
      </c>
      <c r="I1155" s="1" t="s">
        <v>1944</v>
      </c>
      <c r="J1155" s="1">
        <v>660.1</v>
      </c>
    </row>
    <row r="1156" spans="1:10" x14ac:dyDescent="0.25">
      <c r="A1156" s="1" t="s">
        <v>216</v>
      </c>
      <c r="B1156" s="1" t="s">
        <v>217</v>
      </c>
      <c r="C1156" s="1" t="s">
        <v>590</v>
      </c>
      <c r="D1156" s="1">
        <v>31.599699999999999</v>
      </c>
      <c r="E1156" s="1">
        <v>-92.5595</v>
      </c>
      <c r="F1156" s="1" t="s">
        <v>1922</v>
      </c>
      <c r="G1156" s="22">
        <v>1076.8662431586699</v>
      </c>
      <c r="H1156" s="20">
        <f ca="1">NOW() - TIME(5,30,0) + (VLOOKUP(MasterTable[[#This Row],[TimeZone]], $O$3:$P$8, 2, FALSE) / 24)</f>
        <v>45990.531878125003</v>
      </c>
      <c r="I1156" s="1" t="s">
        <v>1944</v>
      </c>
      <c r="J1156" s="1">
        <v>633.01</v>
      </c>
    </row>
    <row r="1157" spans="1:10" x14ac:dyDescent="0.25">
      <c r="A1157" s="1" t="s">
        <v>216</v>
      </c>
      <c r="B1157" s="1" t="s">
        <v>217</v>
      </c>
      <c r="C1157" s="1" t="s">
        <v>1221</v>
      </c>
      <c r="D1157" s="1">
        <v>31.564</v>
      </c>
      <c r="E1157" s="1">
        <v>-93.554699999999997</v>
      </c>
      <c r="F1157" s="1" t="s">
        <v>1922</v>
      </c>
      <c r="G1157" s="22">
        <v>1019.0470070957942</v>
      </c>
      <c r="H1157" s="20">
        <f ca="1">NOW() - TIME(5,30,0) + (VLOOKUP(MasterTable[[#This Row],[TimeZone]], $O$3:$P$8, 2, FALSE) / 24)</f>
        <v>45990.531878125003</v>
      </c>
      <c r="I1157" s="1" t="s">
        <v>1944</v>
      </c>
      <c r="J1157" s="1">
        <v>1011.51</v>
      </c>
    </row>
    <row r="1158" spans="1:10" x14ac:dyDescent="0.25">
      <c r="A1158" s="1" t="s">
        <v>216</v>
      </c>
      <c r="B1158" s="1" t="s">
        <v>217</v>
      </c>
      <c r="C1158" s="1" t="s">
        <v>177</v>
      </c>
      <c r="D1158" s="1">
        <v>32.831800000000001</v>
      </c>
      <c r="E1158" s="1">
        <v>-92.374799999999993</v>
      </c>
      <c r="F1158" s="1" t="s">
        <v>1922</v>
      </c>
      <c r="G1158" s="22">
        <v>1080.2398128082202</v>
      </c>
      <c r="H1158" s="20">
        <f ca="1">NOW() - TIME(5,30,0) + (VLOOKUP(MasterTable[[#This Row],[TimeZone]], $O$3:$P$8, 2, FALSE) / 24)</f>
        <v>45990.531878125003</v>
      </c>
      <c r="I1158" s="1" t="s">
        <v>1944</v>
      </c>
      <c r="J1158" s="1">
        <v>1055.27</v>
      </c>
    </row>
    <row r="1159" spans="1:10" x14ac:dyDescent="0.25">
      <c r="A1159" s="1" t="s">
        <v>216</v>
      </c>
      <c r="B1159" s="1" t="s">
        <v>217</v>
      </c>
      <c r="C1159" s="1" t="s">
        <v>1258</v>
      </c>
      <c r="D1159" s="1">
        <v>29.9024</v>
      </c>
      <c r="E1159" s="1">
        <v>-91.0608</v>
      </c>
      <c r="F1159" s="1" t="s">
        <v>1922</v>
      </c>
      <c r="G1159" s="22">
        <v>1184.9803672154583</v>
      </c>
      <c r="H1159" s="20">
        <f ca="1">NOW() - TIME(5,30,0) + (VLOOKUP(MasterTable[[#This Row],[TimeZone]], $O$3:$P$8, 2, FALSE) / 24)</f>
        <v>45990.531878125003</v>
      </c>
      <c r="I1159" s="1" t="s">
        <v>1944</v>
      </c>
      <c r="J1159" s="1">
        <v>364.55</v>
      </c>
    </row>
    <row r="1160" spans="1:10" x14ac:dyDescent="0.25">
      <c r="A1160" s="1" t="s">
        <v>216</v>
      </c>
      <c r="B1160" s="1" t="s">
        <v>217</v>
      </c>
      <c r="C1160" s="1" t="s">
        <v>1267</v>
      </c>
      <c r="D1160" s="1">
        <v>30.709499999999998</v>
      </c>
      <c r="E1160" s="1">
        <v>-91.600800000000007</v>
      </c>
      <c r="F1160" s="1" t="s">
        <v>1922</v>
      </c>
      <c r="G1160" s="22">
        <v>1142.2356184285829</v>
      </c>
      <c r="H1160" s="20">
        <f ca="1">NOW() - TIME(5,30,0) + (VLOOKUP(MasterTable[[#This Row],[TimeZone]], $O$3:$P$8, 2, FALSE) / 24)</f>
        <v>45990.531878125003</v>
      </c>
      <c r="I1160" s="1" t="s">
        <v>1944</v>
      </c>
      <c r="J1160" s="1">
        <v>590.67999999999995</v>
      </c>
    </row>
    <row r="1161" spans="1:10" x14ac:dyDescent="0.25">
      <c r="A1161" s="1" t="s">
        <v>216</v>
      </c>
      <c r="B1161" s="1" t="s">
        <v>217</v>
      </c>
      <c r="C1161" s="1" t="s">
        <v>232</v>
      </c>
      <c r="D1161" s="1">
        <v>32.4178</v>
      </c>
      <c r="E1161" s="1">
        <v>-91.763499999999993</v>
      </c>
      <c r="F1161" s="1" t="s">
        <v>1922</v>
      </c>
      <c r="G1161" s="22">
        <v>1117.5603699374617</v>
      </c>
      <c r="H1161" s="20">
        <f ca="1">NOW() - TIME(5,30,0) + (VLOOKUP(MasterTable[[#This Row],[TimeZone]], $O$3:$P$8, 2, FALSE) / 24)</f>
        <v>45990.531878125003</v>
      </c>
      <c r="I1161" s="1" t="s">
        <v>1944</v>
      </c>
      <c r="J1161" s="1">
        <v>362.01</v>
      </c>
    </row>
    <row r="1162" spans="1:10" x14ac:dyDescent="0.25">
      <c r="A1162" s="1" t="s">
        <v>216</v>
      </c>
      <c r="B1162" s="1" t="s">
        <v>217</v>
      </c>
      <c r="C1162" s="1" t="s">
        <v>1285</v>
      </c>
      <c r="D1162" s="1">
        <v>30.027000000000001</v>
      </c>
      <c r="E1162" s="1">
        <v>-90.793099999999995</v>
      </c>
      <c r="F1162" s="1" t="s">
        <v>1922</v>
      </c>
      <c r="G1162" s="22">
        <v>1198.7337373937112</v>
      </c>
      <c r="H1162" s="20">
        <f ca="1">NOW() - TIME(5,30,0) + (VLOOKUP(MasterTable[[#This Row],[TimeZone]], $O$3:$P$8, 2, FALSE) / 24)</f>
        <v>45990.531878125003</v>
      </c>
      <c r="I1162" s="1" t="s">
        <v>1944</v>
      </c>
      <c r="J1162" s="1">
        <v>257.79000000000002</v>
      </c>
    </row>
    <row r="1163" spans="1:10" x14ac:dyDescent="0.25">
      <c r="A1163" s="1" t="s">
        <v>216</v>
      </c>
      <c r="B1163" s="1" t="s">
        <v>217</v>
      </c>
      <c r="C1163" s="1" t="s">
        <v>50</v>
      </c>
      <c r="D1163" s="1">
        <v>32.133299999999998</v>
      </c>
      <c r="E1163" s="1">
        <v>-91.6738</v>
      </c>
      <c r="F1163" s="1" t="s">
        <v>1922</v>
      </c>
      <c r="G1163" s="22">
        <v>1124.4841982306327</v>
      </c>
      <c r="H1163" s="20">
        <f ca="1">NOW() - TIME(5,30,0) + (VLOOKUP(MasterTable[[#This Row],[TimeZone]], $O$3:$P$8, 2, FALSE) / 24)</f>
        <v>45990.531878125003</v>
      </c>
      <c r="I1163" s="1" t="s">
        <v>1944</v>
      </c>
      <c r="J1163" s="1">
        <v>646.51</v>
      </c>
    </row>
    <row r="1164" spans="1:10" x14ac:dyDescent="0.25">
      <c r="A1164" s="1" t="s">
        <v>216</v>
      </c>
      <c r="B1164" s="1" t="s">
        <v>217</v>
      </c>
      <c r="C1164" s="1" t="s">
        <v>1290</v>
      </c>
      <c r="D1164" s="1">
        <v>30.845099999999999</v>
      </c>
      <c r="E1164" s="1">
        <v>-91.045500000000004</v>
      </c>
      <c r="F1164" s="1" t="s">
        <v>1922</v>
      </c>
      <c r="G1164" s="22">
        <v>1173.0604911350076</v>
      </c>
      <c r="H1164" s="20">
        <f ca="1">NOW() - TIME(5,30,0) + (VLOOKUP(MasterTable[[#This Row],[TimeZone]], $O$3:$P$8, 2, FALSE) / 24)</f>
        <v>45990.531878125003</v>
      </c>
      <c r="I1164" s="1" t="s">
        <v>1944</v>
      </c>
      <c r="J1164" s="1">
        <v>455.69</v>
      </c>
    </row>
    <row r="1165" spans="1:10" x14ac:dyDescent="0.25">
      <c r="A1165" s="1" t="s">
        <v>216</v>
      </c>
      <c r="B1165" s="1" t="s">
        <v>217</v>
      </c>
      <c r="C1165" s="1" t="s">
        <v>1316</v>
      </c>
      <c r="D1165" s="1">
        <v>31.445900000000002</v>
      </c>
      <c r="E1165" s="1">
        <v>-91.640100000000004</v>
      </c>
      <c r="F1165" s="1" t="s">
        <v>1922</v>
      </c>
      <c r="G1165" s="22">
        <v>1131.9422247438426</v>
      </c>
      <c r="H1165" s="20">
        <f ca="1">NOW() - TIME(5,30,0) + (VLOOKUP(MasterTable[[#This Row],[TimeZone]], $O$3:$P$8, 2, FALSE) / 24)</f>
        <v>45990.531878125003</v>
      </c>
      <c r="I1165" s="1" t="s">
        <v>1944</v>
      </c>
      <c r="J1165" s="1">
        <v>748.68</v>
      </c>
    </row>
    <row r="1166" spans="1:10" x14ac:dyDescent="0.25">
      <c r="A1166" s="1" t="s">
        <v>216</v>
      </c>
      <c r="B1166" s="1" t="s">
        <v>217</v>
      </c>
      <c r="C1166" s="1" t="s">
        <v>1391</v>
      </c>
      <c r="D1166" s="1">
        <v>30.879799999999999</v>
      </c>
      <c r="E1166" s="1">
        <v>-91.42</v>
      </c>
      <c r="F1166" s="1" t="s">
        <v>1922</v>
      </c>
      <c r="G1166" s="22">
        <v>1150.7629629182338</v>
      </c>
      <c r="H1166" s="20">
        <f ca="1">NOW() - TIME(5,30,0) + (VLOOKUP(MasterTable[[#This Row],[TimeZone]], $O$3:$P$8, 2, FALSE) / 24)</f>
        <v>45990.531878125003</v>
      </c>
      <c r="I1166" s="1" t="s">
        <v>1944</v>
      </c>
      <c r="J1166" s="1">
        <v>426.01</v>
      </c>
    </row>
    <row r="1167" spans="1:10" x14ac:dyDescent="0.25">
      <c r="A1167" s="1" t="s">
        <v>216</v>
      </c>
      <c r="B1167" s="1" t="s">
        <v>217</v>
      </c>
      <c r="C1167" s="1" t="s">
        <v>140</v>
      </c>
      <c r="D1167" s="1">
        <v>32.302100000000003</v>
      </c>
      <c r="E1167" s="1">
        <v>-92.557900000000004</v>
      </c>
      <c r="F1167" s="1" t="s">
        <v>1922</v>
      </c>
      <c r="G1167" s="22">
        <v>1071.974337495938</v>
      </c>
      <c r="H1167" s="20">
        <f ca="1">NOW() - TIME(5,30,0) + (VLOOKUP(MasterTable[[#This Row],[TimeZone]], $O$3:$P$8, 2, FALSE) / 24)</f>
        <v>45990.531878125003</v>
      </c>
      <c r="I1167" s="1" t="s">
        <v>1944</v>
      </c>
      <c r="J1167" s="1">
        <v>1126.77</v>
      </c>
    </row>
    <row r="1168" spans="1:10" x14ac:dyDescent="0.25">
      <c r="A1168" s="1" t="s">
        <v>216</v>
      </c>
      <c r="B1168" s="1" t="s">
        <v>217</v>
      </c>
      <c r="C1168" s="1" t="s">
        <v>556</v>
      </c>
      <c r="D1168" s="1">
        <v>31.6769</v>
      </c>
      <c r="E1168" s="1">
        <v>-92.160499999999999</v>
      </c>
      <c r="F1168" s="1" t="s">
        <v>1922</v>
      </c>
      <c r="G1168" s="22">
        <v>1099.507400719219</v>
      </c>
      <c r="H1168" s="20">
        <f ca="1">NOW() - TIME(5,30,0) + (VLOOKUP(MasterTable[[#This Row],[TimeZone]], $O$3:$P$8, 2, FALSE) / 24)</f>
        <v>45990.531878125003</v>
      </c>
      <c r="I1168" s="1" t="s">
        <v>1944</v>
      </c>
      <c r="J1168" s="1">
        <v>1148.04</v>
      </c>
    </row>
    <row r="1169" spans="1:10" x14ac:dyDescent="0.25">
      <c r="A1169" s="1" t="s">
        <v>216</v>
      </c>
      <c r="B1169" s="1" t="s">
        <v>217</v>
      </c>
      <c r="C1169" s="1" t="s">
        <v>1044</v>
      </c>
      <c r="D1169" s="1">
        <v>32.822699999999998</v>
      </c>
      <c r="E1169" s="1">
        <v>-92.995800000000003</v>
      </c>
      <c r="F1169" s="1" t="s">
        <v>1922</v>
      </c>
      <c r="G1169" s="22">
        <v>1044.2520725960812</v>
      </c>
      <c r="H1169" s="20">
        <f ca="1">NOW() - TIME(5,30,0) + (VLOOKUP(MasterTable[[#This Row],[TimeZone]], $O$3:$P$8, 2, FALSE) / 24)</f>
        <v>45990.531878125003</v>
      </c>
      <c r="I1169" s="1" t="s">
        <v>1944</v>
      </c>
      <c r="J1169" s="1">
        <v>767.55</v>
      </c>
    </row>
    <row r="1170" spans="1:10" x14ac:dyDescent="0.25">
      <c r="A1170" s="1" t="s">
        <v>216</v>
      </c>
      <c r="B1170" s="1" t="s">
        <v>217</v>
      </c>
      <c r="C1170" s="1" t="s">
        <v>1455</v>
      </c>
      <c r="D1170" s="1">
        <v>31.944299999999998</v>
      </c>
      <c r="E1170" s="1">
        <v>-92.636799999999994</v>
      </c>
      <c r="F1170" s="1" t="s">
        <v>1922</v>
      </c>
      <c r="G1170" s="22">
        <v>1069.6478759774625</v>
      </c>
      <c r="H1170" s="20">
        <f ca="1">NOW() - TIME(5,30,0) + (VLOOKUP(MasterTable[[#This Row],[TimeZone]], $O$3:$P$8, 2, FALSE) / 24)</f>
        <v>45990.531878125003</v>
      </c>
      <c r="I1170" s="1" t="s">
        <v>1944</v>
      </c>
      <c r="J1170" s="1">
        <v>956.91</v>
      </c>
    </row>
    <row r="1171" spans="1:10" x14ac:dyDescent="0.25">
      <c r="A1171" s="1" t="s">
        <v>216</v>
      </c>
      <c r="B1171" s="1" t="s">
        <v>217</v>
      </c>
      <c r="C1171" s="1" t="s">
        <v>1472</v>
      </c>
      <c r="D1171" s="1">
        <v>32.347299999999997</v>
      </c>
      <c r="E1171" s="1">
        <v>-93.056100000000001</v>
      </c>
      <c r="F1171" s="1" t="s">
        <v>1922</v>
      </c>
      <c r="G1171" s="22">
        <v>1042.7295228732835</v>
      </c>
      <c r="H1171" s="20">
        <f ca="1">NOW() - TIME(5,30,0) + (VLOOKUP(MasterTable[[#This Row],[TimeZone]], $O$3:$P$8, 2, FALSE) / 24)</f>
        <v>45990.531878125003</v>
      </c>
      <c r="I1171" s="1" t="s">
        <v>1944</v>
      </c>
      <c r="J1171" s="1">
        <v>821.77</v>
      </c>
    </row>
    <row r="1172" spans="1:10" x14ac:dyDescent="0.25">
      <c r="A1172" s="1" t="s">
        <v>216</v>
      </c>
      <c r="B1172" s="1" t="s">
        <v>217</v>
      </c>
      <c r="C1172" s="1" t="s">
        <v>1528</v>
      </c>
      <c r="D1172" s="1">
        <v>30.821899999999999</v>
      </c>
      <c r="E1172" s="1">
        <v>-90.710300000000004</v>
      </c>
      <c r="F1172" s="1" t="s">
        <v>1922</v>
      </c>
      <c r="G1172" s="22">
        <v>1192.9285339863065</v>
      </c>
      <c r="H1172" s="20">
        <f ca="1">NOW() - TIME(5,30,0) + (VLOOKUP(MasterTable[[#This Row],[TimeZone]], $O$3:$P$8, 2, FALSE) / 24)</f>
        <v>45990.531878125003</v>
      </c>
      <c r="I1172" s="1" t="s">
        <v>1944</v>
      </c>
      <c r="J1172" s="1">
        <v>409.46</v>
      </c>
    </row>
    <row r="1173" spans="1:10" x14ac:dyDescent="0.25">
      <c r="A1173" s="1" t="s">
        <v>216</v>
      </c>
      <c r="B1173" s="1" t="s">
        <v>217</v>
      </c>
      <c r="C1173" s="1" t="s">
        <v>244</v>
      </c>
      <c r="D1173" s="1">
        <v>32.364400000000003</v>
      </c>
      <c r="E1173" s="1">
        <v>-91.242699999999999</v>
      </c>
      <c r="F1173" s="1" t="s">
        <v>1922</v>
      </c>
      <c r="G1173" s="22">
        <v>1148.1462225523353</v>
      </c>
      <c r="H1173" s="20">
        <f ca="1">NOW() - TIME(5,30,0) + (VLOOKUP(MasterTable[[#This Row],[TimeZone]], $O$3:$P$8, 2, FALSE) / 24)</f>
        <v>45990.531878125003</v>
      </c>
      <c r="I1173" s="1" t="s">
        <v>1944</v>
      </c>
      <c r="J1173" s="1">
        <v>812.85</v>
      </c>
    </row>
    <row r="1174" spans="1:10" x14ac:dyDescent="0.25">
      <c r="A1174" s="1" t="s">
        <v>216</v>
      </c>
      <c r="B1174" s="1" t="s">
        <v>217</v>
      </c>
      <c r="C1174" s="1" t="s">
        <v>1564</v>
      </c>
      <c r="D1174" s="1">
        <v>32.788499999999999</v>
      </c>
      <c r="E1174" s="1">
        <v>-91.456800000000001</v>
      </c>
      <c r="F1174" s="1" t="s">
        <v>1922</v>
      </c>
      <c r="G1174" s="22">
        <v>1133.6357182393519</v>
      </c>
      <c r="H1174" s="20">
        <f ca="1">NOW() - TIME(5,30,0) + (VLOOKUP(MasterTable[[#This Row],[TimeZone]], $O$3:$P$8, 2, FALSE) / 24)</f>
        <v>45990.531878125003</v>
      </c>
      <c r="I1174" s="1" t="s">
        <v>1944</v>
      </c>
      <c r="J1174" s="1">
        <v>360.32</v>
      </c>
    </row>
    <row r="1175" spans="1:10" x14ac:dyDescent="0.25">
      <c r="A1175" s="1" t="s">
        <v>216</v>
      </c>
      <c r="B1175" s="1" t="s">
        <v>217</v>
      </c>
      <c r="C1175" s="1" t="s">
        <v>667</v>
      </c>
      <c r="D1175" s="1">
        <v>32.092500000000001</v>
      </c>
      <c r="E1175" s="1">
        <v>-92.116600000000005</v>
      </c>
      <c r="F1175" s="1" t="s">
        <v>1922</v>
      </c>
      <c r="G1175" s="22">
        <v>1098.9569491021155</v>
      </c>
      <c r="H1175" s="20">
        <f ca="1">NOW() - TIME(5,30,0) + (VLOOKUP(MasterTable[[#This Row],[TimeZone]], $O$3:$P$8, 2, FALSE) / 24)</f>
        <v>45990.531878125003</v>
      </c>
      <c r="I1175" s="1" t="s">
        <v>1944</v>
      </c>
      <c r="J1175" s="1">
        <v>348.18</v>
      </c>
    </row>
    <row r="1176" spans="1:10" x14ac:dyDescent="0.25">
      <c r="A1176" s="1" t="s">
        <v>216</v>
      </c>
      <c r="B1176" s="1" t="s">
        <v>217</v>
      </c>
      <c r="C1176" s="1" t="s">
        <v>1598</v>
      </c>
      <c r="D1176" s="1">
        <v>31.6662</v>
      </c>
      <c r="E1176" s="1">
        <v>-91.846999999999994</v>
      </c>
      <c r="F1176" s="1" t="s">
        <v>1922</v>
      </c>
      <c r="G1176" s="22">
        <v>1117.8965092684766</v>
      </c>
      <c r="H1176" s="20">
        <f ca="1">NOW() - TIME(5,30,0) + (VLOOKUP(MasterTable[[#This Row],[TimeZone]], $O$3:$P$8, 2, FALSE) / 24)</f>
        <v>45990.531878125003</v>
      </c>
      <c r="I1176" s="1" t="s">
        <v>1944</v>
      </c>
      <c r="J1176" s="1">
        <v>739.43</v>
      </c>
    </row>
    <row r="1177" spans="1:10" x14ac:dyDescent="0.25">
      <c r="A1177" s="1" t="s">
        <v>216</v>
      </c>
      <c r="B1177" s="1" t="s">
        <v>217</v>
      </c>
      <c r="C1177" s="1" t="s">
        <v>1509</v>
      </c>
      <c r="D1177" s="1">
        <v>32.0931</v>
      </c>
      <c r="E1177" s="1">
        <v>-93.339799999999997</v>
      </c>
      <c r="F1177" s="1" t="s">
        <v>1922</v>
      </c>
      <c r="G1177" s="22">
        <v>1027.6603180607274</v>
      </c>
      <c r="H1177" s="20">
        <f ca="1">NOW() - TIME(5,30,0) + (VLOOKUP(MasterTable[[#This Row],[TimeZone]], $O$3:$P$8, 2, FALSE) / 24)</f>
        <v>45990.531878125003</v>
      </c>
      <c r="I1177" s="1" t="s">
        <v>1944</v>
      </c>
      <c r="J1177" s="1">
        <v>402.08</v>
      </c>
    </row>
    <row r="1178" spans="1:10" x14ac:dyDescent="0.25">
      <c r="A1178" s="1" t="s">
        <v>216</v>
      </c>
      <c r="B1178" s="1" t="s">
        <v>217</v>
      </c>
      <c r="C1178" s="1" t="s">
        <v>1660</v>
      </c>
      <c r="D1178" s="1">
        <v>32.732500000000002</v>
      </c>
      <c r="E1178" s="1">
        <v>-91.234999999999999</v>
      </c>
      <c r="F1178" s="1" t="s">
        <v>1922</v>
      </c>
      <c r="G1178" s="22">
        <v>1146.7330596564143</v>
      </c>
      <c r="H1178" s="20">
        <f ca="1">NOW() - TIME(5,30,0) + (VLOOKUP(MasterTable[[#This Row],[TimeZone]], $O$3:$P$8, 2, FALSE) / 24)</f>
        <v>45990.531878125003</v>
      </c>
      <c r="I1178" s="1" t="s">
        <v>1944</v>
      </c>
      <c r="J1178" s="1">
        <v>442.45</v>
      </c>
    </row>
    <row r="1179" spans="1:10" x14ac:dyDescent="0.25">
      <c r="A1179" s="1" t="s">
        <v>216</v>
      </c>
      <c r="B1179" s="1" t="s">
        <v>217</v>
      </c>
      <c r="C1179" s="1" t="s">
        <v>230</v>
      </c>
      <c r="D1179" s="1">
        <v>29.875399999999999</v>
      </c>
      <c r="E1179" s="1">
        <v>-93.193700000000007</v>
      </c>
      <c r="F1179" s="1" t="s">
        <v>1922</v>
      </c>
      <c r="G1179" s="22">
        <v>1060.9314242766307</v>
      </c>
      <c r="H1179" s="20">
        <f ca="1">NOW() - TIME(5,30,0) + (VLOOKUP(MasterTable[[#This Row],[TimeZone]], $O$3:$P$8, 2, FALSE) / 24)</f>
        <v>45990.531878125003</v>
      </c>
      <c r="I1179" s="1" t="s">
        <v>1944</v>
      </c>
      <c r="J1179" s="1">
        <v>1931.6</v>
      </c>
    </row>
    <row r="1180" spans="1:10" x14ac:dyDescent="0.25">
      <c r="A1180" s="1" t="s">
        <v>216</v>
      </c>
      <c r="B1180" s="1" t="s">
        <v>217</v>
      </c>
      <c r="C1180" s="1" t="s">
        <v>1782</v>
      </c>
      <c r="D1180" s="1">
        <v>32.001899999999999</v>
      </c>
      <c r="E1180" s="1">
        <v>-91.340100000000007</v>
      </c>
      <c r="F1180" s="1" t="s">
        <v>1922</v>
      </c>
      <c r="G1180" s="22">
        <v>1144.8331019777113</v>
      </c>
      <c r="H1180" s="20">
        <f ca="1">NOW() - TIME(5,30,0) + (VLOOKUP(MasterTable[[#This Row],[TimeZone]], $O$3:$P$8, 2, FALSE) / 24)</f>
        <v>45990.531878125003</v>
      </c>
      <c r="I1180" s="1" t="s">
        <v>1944</v>
      </c>
      <c r="J1180" s="1">
        <v>641.20000000000005</v>
      </c>
    </row>
    <row r="1181" spans="1:10" x14ac:dyDescent="0.25">
      <c r="A1181" s="1" t="s">
        <v>39</v>
      </c>
      <c r="B1181" s="1" t="s">
        <v>40</v>
      </c>
      <c r="C1181" s="1" t="s">
        <v>38</v>
      </c>
      <c r="D1181" s="1">
        <v>42.485599999999998</v>
      </c>
      <c r="E1181" s="1">
        <v>-71.391800000000003</v>
      </c>
      <c r="F1181" s="1" t="s">
        <v>1925</v>
      </c>
      <c r="G1181" s="22">
        <v>2261.1843813689047</v>
      </c>
      <c r="H1181" s="20">
        <f ca="1">NOW() - TIME(5,30,0) + (VLOOKUP(MasterTable[[#This Row],[TimeZone]], $O$3:$P$8, 2, FALSE) / 24)</f>
        <v>45990.573544791667</v>
      </c>
      <c r="I1181" s="1" t="s">
        <v>1944</v>
      </c>
      <c r="J1181" s="1">
        <v>439.07</v>
      </c>
    </row>
    <row r="1182" spans="1:10" x14ac:dyDescent="0.25">
      <c r="A1182" s="1" t="s">
        <v>39</v>
      </c>
      <c r="B1182" s="1" t="s">
        <v>40</v>
      </c>
      <c r="C1182" s="1" t="s">
        <v>114</v>
      </c>
      <c r="D1182" s="1">
        <v>42.351399999999998</v>
      </c>
      <c r="E1182" s="1">
        <v>-71.907700000000006</v>
      </c>
      <c r="F1182" s="1" t="s">
        <v>1925</v>
      </c>
      <c r="G1182" s="22">
        <v>2234.1439329451437</v>
      </c>
      <c r="H1182" s="20">
        <f ca="1">NOW() - TIME(5,30,0) + (VLOOKUP(MasterTable[[#This Row],[TimeZone]], $O$3:$P$8, 2, FALSE) / 24)</f>
        <v>45990.573544791667</v>
      </c>
      <c r="I1182" s="1" t="s">
        <v>1944</v>
      </c>
      <c r="J1182" s="1">
        <v>694.73</v>
      </c>
    </row>
    <row r="1183" spans="1:10" x14ac:dyDescent="0.25">
      <c r="A1183" s="1" t="s">
        <v>39</v>
      </c>
      <c r="B1183" s="1" t="s">
        <v>40</v>
      </c>
      <c r="C1183" s="1" t="s">
        <v>116</v>
      </c>
      <c r="D1183" s="1">
        <v>42.673200000000001</v>
      </c>
      <c r="E1183" s="1">
        <v>-70.952399999999997</v>
      </c>
      <c r="F1183" s="1" t="s">
        <v>1925</v>
      </c>
      <c r="G1183" s="22">
        <v>2284.5877591666867</v>
      </c>
      <c r="H1183" s="20">
        <f ca="1">NOW() - TIME(5,30,0) + (VLOOKUP(MasterTable[[#This Row],[TimeZone]], $O$3:$P$8, 2, FALSE) / 24)</f>
        <v>45990.573544791667</v>
      </c>
      <c r="I1183" s="1" t="s">
        <v>1944</v>
      </c>
      <c r="J1183" s="1">
        <v>828.53</v>
      </c>
    </row>
    <row r="1184" spans="1:10" x14ac:dyDescent="0.25">
      <c r="A1184" s="1" t="s">
        <v>39</v>
      </c>
      <c r="B1184" s="1" t="s">
        <v>40</v>
      </c>
      <c r="C1184" s="1" t="s">
        <v>45</v>
      </c>
      <c r="D1184" s="1">
        <v>42.332900000000002</v>
      </c>
      <c r="E1184" s="1">
        <v>-71.073499999999996</v>
      </c>
      <c r="F1184" s="1" t="s">
        <v>1925</v>
      </c>
      <c r="G1184" s="22">
        <v>2276.4841516570041</v>
      </c>
      <c r="H1184" s="20">
        <f ca="1">NOW() - TIME(5,30,0) + (VLOOKUP(MasterTable[[#This Row],[TimeZone]], $O$3:$P$8, 2, FALSE) / 24)</f>
        <v>45990.573544791667</v>
      </c>
      <c r="I1184" s="1" t="s">
        <v>1944</v>
      </c>
      <c r="J1184" s="1">
        <v>120.19</v>
      </c>
    </row>
    <row r="1185" spans="1:10" x14ac:dyDescent="0.25">
      <c r="A1185" s="1" t="s">
        <v>39</v>
      </c>
      <c r="B1185" s="1" t="s">
        <v>40</v>
      </c>
      <c r="C1185" s="1" t="s">
        <v>139</v>
      </c>
      <c r="D1185" s="1">
        <v>42.160299999999999</v>
      </c>
      <c r="E1185" s="1">
        <v>-71.211799999999997</v>
      </c>
      <c r="F1185" s="1" t="s">
        <v>1925</v>
      </c>
      <c r="G1185" s="22">
        <v>2268.500815642104</v>
      </c>
      <c r="H1185" s="20">
        <f ca="1">NOW() - TIME(5,30,0) + (VLOOKUP(MasterTable[[#This Row],[TimeZone]], $O$3:$P$8, 2, FALSE) / 24)</f>
        <v>45990.573544791667</v>
      </c>
      <c r="I1185" s="1" t="s">
        <v>1944</v>
      </c>
      <c r="J1185" s="1">
        <v>443.94</v>
      </c>
    </row>
    <row r="1186" spans="1:10" x14ac:dyDescent="0.25">
      <c r="A1186" s="1" t="s">
        <v>39</v>
      </c>
      <c r="B1186" s="1" t="s">
        <v>40</v>
      </c>
      <c r="C1186" s="1" t="s">
        <v>173</v>
      </c>
      <c r="D1186" s="1">
        <v>41.797199999999997</v>
      </c>
      <c r="E1186" s="1">
        <v>-71.114500000000007</v>
      </c>
      <c r="F1186" s="1" t="s">
        <v>1925</v>
      </c>
      <c r="G1186" s="22">
        <v>2271.7014794051661</v>
      </c>
      <c r="H1186" s="20">
        <f ca="1">NOW() - TIME(5,30,0) + (VLOOKUP(MasterTable[[#This Row],[TimeZone]], $O$3:$P$8, 2, FALSE) / 24)</f>
        <v>45990.573544791667</v>
      </c>
      <c r="I1186" s="1" t="s">
        <v>1944</v>
      </c>
      <c r="J1186" s="1">
        <v>691.19</v>
      </c>
    </row>
    <row r="1187" spans="1:10" x14ac:dyDescent="0.25">
      <c r="A1187" s="1" t="s">
        <v>39</v>
      </c>
      <c r="B1187" s="1" t="s">
        <v>40</v>
      </c>
      <c r="C1187" s="1" t="s">
        <v>191</v>
      </c>
      <c r="D1187" s="1">
        <v>41.951099999999997</v>
      </c>
      <c r="E1187" s="1">
        <v>-70.811499999999995</v>
      </c>
      <c r="F1187" s="1" t="s">
        <v>1925</v>
      </c>
      <c r="G1187" s="22">
        <v>2287.9562693242278</v>
      </c>
      <c r="H1187" s="20">
        <f ca="1">NOW() - TIME(5,30,0) + (VLOOKUP(MasterTable[[#This Row],[TimeZone]], $O$3:$P$8, 2, FALSE) / 24)</f>
        <v>45990.573544791667</v>
      </c>
      <c r="I1187" s="1" t="s">
        <v>1944</v>
      </c>
      <c r="J1187" s="1">
        <v>863.96</v>
      </c>
    </row>
    <row r="1188" spans="1:10" x14ac:dyDescent="0.25">
      <c r="A1188" s="1" t="s">
        <v>39</v>
      </c>
      <c r="B1188" s="1" t="s">
        <v>40</v>
      </c>
      <c r="C1188" s="1" t="s">
        <v>212</v>
      </c>
      <c r="D1188" s="1">
        <v>42.135100000000001</v>
      </c>
      <c r="E1188" s="1">
        <v>-72.631600000000006</v>
      </c>
      <c r="F1188" s="1" t="s">
        <v>1925</v>
      </c>
      <c r="G1188" s="22">
        <v>2195.8840337460792</v>
      </c>
      <c r="H1188" s="20">
        <f ca="1">NOW() - TIME(5,30,0) + (VLOOKUP(MasterTable[[#This Row],[TimeZone]], $O$3:$P$8, 2, FALSE) / 24)</f>
        <v>45990.573544791667</v>
      </c>
      <c r="I1188" s="1" t="s">
        <v>1944</v>
      </c>
      <c r="J1188" s="1">
        <v>634.12</v>
      </c>
    </row>
    <row r="1189" spans="1:10" x14ac:dyDescent="0.25">
      <c r="A1189" s="1" t="s">
        <v>39</v>
      </c>
      <c r="B1189" s="1" t="s">
        <v>40</v>
      </c>
      <c r="C1189" s="1" t="s">
        <v>347</v>
      </c>
      <c r="D1189" s="1">
        <v>41.724400000000003</v>
      </c>
      <c r="E1189" s="1">
        <v>-70.290300000000002</v>
      </c>
      <c r="F1189" s="1" t="s">
        <v>1925</v>
      </c>
      <c r="G1189" s="22">
        <v>2313.8087128478342</v>
      </c>
      <c r="H1189" s="20">
        <f ca="1">NOW() - TIME(5,30,0) + (VLOOKUP(MasterTable[[#This Row],[TimeZone]], $O$3:$P$8, 2, FALSE) / 24)</f>
        <v>45990.573544791667</v>
      </c>
      <c r="I1189" s="1" t="s">
        <v>1944</v>
      </c>
      <c r="J1189" s="1">
        <v>1305.6199999999999</v>
      </c>
    </row>
    <row r="1190" spans="1:10" x14ac:dyDescent="0.25">
      <c r="A1190" s="1" t="s">
        <v>39</v>
      </c>
      <c r="B1190" s="1" t="s">
        <v>40</v>
      </c>
      <c r="C1190" s="1" t="s">
        <v>466</v>
      </c>
      <c r="D1190" s="1">
        <v>42.340200000000003</v>
      </c>
      <c r="E1190" s="1">
        <v>-72.663799999999995</v>
      </c>
      <c r="F1190" s="1" t="s">
        <v>1925</v>
      </c>
      <c r="G1190" s="22">
        <v>2195.6349112323423</v>
      </c>
      <c r="H1190" s="20">
        <f ca="1">NOW() - TIME(5,30,0) + (VLOOKUP(MasterTable[[#This Row],[TimeZone]], $O$3:$P$8, 2, FALSE) / 24)</f>
        <v>45990.573544791667</v>
      </c>
      <c r="I1190" s="1" t="s">
        <v>1944</v>
      </c>
      <c r="J1190" s="1">
        <v>545.44000000000005</v>
      </c>
    </row>
    <row r="1191" spans="1:10" x14ac:dyDescent="0.25">
      <c r="A1191" s="1" t="s">
        <v>39</v>
      </c>
      <c r="B1191" s="1" t="s">
        <v>40</v>
      </c>
      <c r="C1191" s="1" t="s">
        <v>513</v>
      </c>
      <c r="D1191" s="1">
        <v>42.370699999999999</v>
      </c>
      <c r="E1191" s="1">
        <v>-73.206299999999999</v>
      </c>
      <c r="F1191" s="1" t="s">
        <v>1925</v>
      </c>
      <c r="G1191" s="22">
        <v>2168.3102652441157</v>
      </c>
      <c r="H1191" s="20">
        <f ca="1">NOW() - TIME(5,30,0) + (VLOOKUP(MasterTable[[#This Row],[TimeZone]], $O$3:$P$8, 2, FALSE) / 24)</f>
        <v>45990.573544791667</v>
      </c>
      <c r="I1191" s="1" t="s">
        <v>1944</v>
      </c>
      <c r="J1191" s="1">
        <v>946.27</v>
      </c>
    </row>
    <row r="1192" spans="1:10" x14ac:dyDescent="0.25">
      <c r="A1192" s="1" t="s">
        <v>39</v>
      </c>
      <c r="B1192" s="1" t="s">
        <v>40</v>
      </c>
      <c r="C1192" s="1" t="s">
        <v>50</v>
      </c>
      <c r="D1192" s="1">
        <v>42.583100000000002</v>
      </c>
      <c r="E1192" s="1">
        <v>-72.591800000000006</v>
      </c>
      <c r="F1192" s="1" t="s">
        <v>1925</v>
      </c>
      <c r="G1192" s="22">
        <v>2201.0317401874663</v>
      </c>
      <c r="H1192" s="20">
        <f ca="1">NOW() - TIME(5,30,0) + (VLOOKUP(MasterTable[[#This Row],[TimeZone]], $O$3:$P$8, 2, FALSE) / 24)</f>
        <v>45990.573544791667</v>
      </c>
      <c r="I1192" s="1" t="s">
        <v>1944</v>
      </c>
      <c r="J1192" s="1">
        <v>646.51</v>
      </c>
    </row>
    <row r="1193" spans="1:10" x14ac:dyDescent="0.25">
      <c r="A1193" s="1" t="s">
        <v>39</v>
      </c>
      <c r="B1193" s="1" t="s">
        <v>40</v>
      </c>
      <c r="C1193" s="1" t="s">
        <v>1256</v>
      </c>
      <c r="D1193" s="1">
        <v>41.396099999999997</v>
      </c>
      <c r="E1193" s="1">
        <v>-70.650000000000006</v>
      </c>
      <c r="F1193" s="1" t="s">
        <v>1925</v>
      </c>
      <c r="G1193" s="22">
        <v>2294.0769082889851</v>
      </c>
      <c r="H1193" s="20">
        <f ca="1">NOW() - TIME(5,30,0) + (VLOOKUP(MasterTable[[#This Row],[TimeZone]], $O$3:$P$8, 2, FALSE) / 24)</f>
        <v>45990.573544791667</v>
      </c>
      <c r="I1193" s="1" t="s">
        <v>1944</v>
      </c>
      <c r="J1193" s="1">
        <v>490.95</v>
      </c>
    </row>
    <row r="1194" spans="1:10" x14ac:dyDescent="0.25">
      <c r="A1194" s="1" t="s">
        <v>39</v>
      </c>
      <c r="B1194" s="1" t="s">
        <v>40</v>
      </c>
      <c r="C1194" s="1" t="s">
        <v>1422</v>
      </c>
      <c r="D1194" s="1">
        <v>41.283099999999997</v>
      </c>
      <c r="E1194" s="1">
        <v>-70.069199999999995</v>
      </c>
      <c r="F1194" s="1" t="s">
        <v>1925</v>
      </c>
      <c r="G1194" s="22">
        <v>2323.8365005893138</v>
      </c>
      <c r="H1194" s="20">
        <f ca="1">NOW() - TIME(5,30,0) + (VLOOKUP(MasterTable[[#This Row],[TimeZone]], $O$3:$P$8, 2, FALSE) / 24)</f>
        <v>45990.573544791667</v>
      </c>
      <c r="I1194" s="1" t="s">
        <v>1944</v>
      </c>
      <c r="J1194" s="1">
        <v>303.64</v>
      </c>
    </row>
    <row r="1195" spans="1:10" x14ac:dyDescent="0.25">
      <c r="A1195" s="1" t="s">
        <v>76</v>
      </c>
      <c r="B1195" s="1" t="s">
        <v>77</v>
      </c>
      <c r="C1195" s="1" t="s">
        <v>75</v>
      </c>
      <c r="D1195" s="1">
        <v>39.136299999999999</v>
      </c>
      <c r="E1195" s="1">
        <v>-77.2042</v>
      </c>
      <c r="F1195" s="1" t="s">
        <v>1925</v>
      </c>
      <c r="G1195" s="22">
        <v>1940.0613186081562</v>
      </c>
      <c r="H1195" s="20">
        <f ca="1">NOW() - TIME(5,30,0) + (VLOOKUP(MasterTable[[#This Row],[TimeZone]], $O$3:$P$8, 2, FALSE) / 24)</f>
        <v>45990.573544791667</v>
      </c>
      <c r="I1195" s="1" t="s">
        <v>1944</v>
      </c>
      <c r="J1195" s="1">
        <v>799.76</v>
      </c>
    </row>
    <row r="1196" spans="1:10" x14ac:dyDescent="0.25">
      <c r="A1196" s="1" t="s">
        <v>76</v>
      </c>
      <c r="B1196" s="1" t="s">
        <v>77</v>
      </c>
      <c r="C1196" s="1" t="s">
        <v>96</v>
      </c>
      <c r="D1196" s="1">
        <v>38.829500000000003</v>
      </c>
      <c r="E1196" s="1">
        <v>-76.847300000000004</v>
      </c>
      <c r="F1196" s="1" t="s">
        <v>1925</v>
      </c>
      <c r="G1196" s="22">
        <v>1957.9761126604662</v>
      </c>
      <c r="H1196" s="20">
        <f ca="1">NOW() - TIME(5,30,0) + (VLOOKUP(MasterTable[[#This Row],[TimeZone]], $O$3:$P$8, 2, FALSE) / 24)</f>
        <v>45990.573544791667</v>
      </c>
      <c r="I1196" s="1" t="s">
        <v>1944</v>
      </c>
      <c r="J1196" s="1">
        <v>498.45</v>
      </c>
    </row>
    <row r="1197" spans="1:10" x14ac:dyDescent="0.25">
      <c r="A1197" s="1" t="s">
        <v>76</v>
      </c>
      <c r="B1197" s="1" t="s">
        <v>77</v>
      </c>
      <c r="C1197" s="1" t="s">
        <v>117</v>
      </c>
      <c r="D1197" s="1">
        <v>39.462899999999998</v>
      </c>
      <c r="E1197" s="1">
        <v>-76.639499999999998</v>
      </c>
      <c r="F1197" s="1" t="s">
        <v>1925</v>
      </c>
      <c r="G1197" s="22">
        <v>1971.6922341738039</v>
      </c>
      <c r="H1197" s="20">
        <f ca="1">NOW() - TIME(5,30,0) + (VLOOKUP(MasterTable[[#This Row],[TimeZone]], $O$3:$P$8, 2, FALSE) / 24)</f>
        <v>45990.573544791667</v>
      </c>
      <c r="I1197" s="1" t="s">
        <v>1944</v>
      </c>
      <c r="J1197" s="1">
        <v>682.03</v>
      </c>
    </row>
    <row r="1198" spans="1:10" x14ac:dyDescent="0.25">
      <c r="A1198" s="1" t="s">
        <v>76</v>
      </c>
      <c r="B1198" s="1" t="s">
        <v>77</v>
      </c>
      <c r="C1198" s="1" t="s">
        <v>168</v>
      </c>
      <c r="D1198" s="1">
        <v>39.006500000000003</v>
      </c>
      <c r="E1198" s="1">
        <v>-76.605099999999993</v>
      </c>
      <c r="F1198" s="1" t="s">
        <v>1925</v>
      </c>
      <c r="G1198" s="22">
        <v>1971.6140321761829</v>
      </c>
      <c r="H1198" s="20">
        <f ca="1">NOW() - TIME(5,30,0) + (VLOOKUP(MasterTable[[#This Row],[TimeZone]], $O$3:$P$8, 2, FALSE) / 24)</f>
        <v>45990.573544791667</v>
      </c>
      <c r="I1198" s="1" t="s">
        <v>1944</v>
      </c>
      <c r="J1198" s="1">
        <v>587.9</v>
      </c>
    </row>
    <row r="1199" spans="1:10" x14ac:dyDescent="0.25">
      <c r="A1199" s="1" t="s">
        <v>76</v>
      </c>
      <c r="B1199" s="1" t="s">
        <v>77</v>
      </c>
      <c r="C1199" s="1" t="s">
        <v>117</v>
      </c>
      <c r="D1199" s="1">
        <v>39.305100000000003</v>
      </c>
      <c r="E1199" s="1">
        <v>-76.614400000000003</v>
      </c>
      <c r="F1199" s="1" t="s">
        <v>1925</v>
      </c>
      <c r="G1199" s="22">
        <v>1972.314742827599</v>
      </c>
      <c r="H1199" s="20">
        <f ca="1">NOW() - TIME(5,30,0) + (VLOOKUP(MasterTable[[#This Row],[TimeZone]], $O$3:$P$8, 2, FALSE) / 24)</f>
        <v>45990.573544791667</v>
      </c>
      <c r="I1199" s="1" t="s">
        <v>1944</v>
      </c>
      <c r="J1199" s="1">
        <v>682.03</v>
      </c>
    </row>
    <row r="1200" spans="1:10" x14ac:dyDescent="0.25">
      <c r="A1200" s="1" t="s">
        <v>76</v>
      </c>
      <c r="B1200" s="1" t="s">
        <v>77</v>
      </c>
      <c r="C1200" s="1" t="s">
        <v>273</v>
      </c>
      <c r="D1200" s="1">
        <v>39.250700000000002</v>
      </c>
      <c r="E1200" s="1">
        <v>-76.931200000000004</v>
      </c>
      <c r="F1200" s="1" t="s">
        <v>1925</v>
      </c>
      <c r="G1200" s="22">
        <v>1955.1640392226429</v>
      </c>
      <c r="H1200" s="20">
        <f ca="1">NOW() - TIME(5,30,0) + (VLOOKUP(MasterTable[[#This Row],[TimeZone]], $O$3:$P$8, 2, FALSE) / 24)</f>
        <v>45990.573544791667</v>
      </c>
      <c r="I1200" s="1" t="s">
        <v>1944</v>
      </c>
      <c r="J1200" s="1">
        <v>595.20000000000005</v>
      </c>
    </row>
    <row r="1201" spans="1:10" x14ac:dyDescent="0.25">
      <c r="A1201" s="1" t="s">
        <v>76</v>
      </c>
      <c r="B1201" s="1" t="s">
        <v>77</v>
      </c>
      <c r="C1201" s="1" t="s">
        <v>309</v>
      </c>
      <c r="D1201" s="1">
        <v>39.472200000000001</v>
      </c>
      <c r="E1201" s="1">
        <v>-77.397999999999996</v>
      </c>
      <c r="F1201" s="1" t="s">
        <v>1925</v>
      </c>
      <c r="G1201" s="22">
        <v>1931.3881856862697</v>
      </c>
      <c r="H1201" s="20">
        <f ca="1">NOW() - TIME(5,30,0) + (VLOOKUP(MasterTable[[#This Row],[TimeZone]], $O$3:$P$8, 2, FALSE) / 24)</f>
        <v>45990.573544791667</v>
      </c>
      <c r="I1201" s="1" t="s">
        <v>1944</v>
      </c>
      <c r="J1201" s="1">
        <v>667.34</v>
      </c>
    </row>
    <row r="1202" spans="1:10" x14ac:dyDescent="0.25">
      <c r="A1202" s="1" t="s">
        <v>76</v>
      </c>
      <c r="B1202" s="1" t="s">
        <v>77</v>
      </c>
      <c r="C1202" s="1" t="s">
        <v>322</v>
      </c>
      <c r="D1202" s="1">
        <v>39.561100000000003</v>
      </c>
      <c r="E1202" s="1">
        <v>-76.317099999999996</v>
      </c>
      <c r="F1202" s="1" t="s">
        <v>1925</v>
      </c>
      <c r="G1202" s="22">
        <v>1989.2991391157327</v>
      </c>
      <c r="H1202" s="20">
        <f ca="1">NOW() - TIME(5,30,0) + (VLOOKUP(MasterTable[[#This Row],[TimeZone]], $O$3:$P$8, 2, FALSE) / 24)</f>
        <v>45990.573544791667</v>
      </c>
      <c r="I1202" s="1" t="s">
        <v>1944</v>
      </c>
      <c r="J1202" s="1">
        <v>526.72</v>
      </c>
    </row>
    <row r="1203" spans="1:10" x14ac:dyDescent="0.25">
      <c r="A1203" s="1" t="s">
        <v>76</v>
      </c>
      <c r="B1203" s="1" t="s">
        <v>77</v>
      </c>
      <c r="C1203" s="1" t="s">
        <v>418</v>
      </c>
      <c r="D1203" s="1">
        <v>39.562899999999999</v>
      </c>
      <c r="E1203" s="1">
        <v>-77.022499999999994</v>
      </c>
      <c r="F1203" s="1" t="s">
        <v>1925</v>
      </c>
      <c r="G1203" s="22">
        <v>1951.8287391119886</v>
      </c>
      <c r="H1203" s="20">
        <f ca="1">NOW() - TIME(5,30,0) + (VLOOKUP(MasterTable[[#This Row],[TimeZone]], $O$3:$P$8, 2, FALSE) / 24)</f>
        <v>45990.573544791667</v>
      </c>
      <c r="I1203" s="1" t="s">
        <v>1944</v>
      </c>
      <c r="J1203" s="1">
        <v>638.80999999999995</v>
      </c>
    </row>
    <row r="1204" spans="1:10" x14ac:dyDescent="0.25">
      <c r="A1204" s="1" t="s">
        <v>76</v>
      </c>
      <c r="B1204" s="1" t="s">
        <v>77</v>
      </c>
      <c r="C1204" s="1" t="s">
        <v>432</v>
      </c>
      <c r="D1204" s="1">
        <v>38.507300000000001</v>
      </c>
      <c r="E1204" s="1">
        <v>-76.992199999999997</v>
      </c>
      <c r="F1204" s="1" t="s">
        <v>1925</v>
      </c>
      <c r="G1204" s="22">
        <v>1949.1390585331235</v>
      </c>
      <c r="H1204" s="20">
        <f ca="1">NOW() - TIME(5,30,0) + (VLOOKUP(MasterTable[[#This Row],[TimeZone]], $O$3:$P$8, 2, FALSE) / 24)</f>
        <v>45990.573544791667</v>
      </c>
      <c r="I1204" s="1" t="s">
        <v>1944</v>
      </c>
      <c r="J1204" s="1">
        <v>643.22</v>
      </c>
    </row>
    <row r="1205" spans="1:10" x14ac:dyDescent="0.25">
      <c r="A1205" s="1" t="s">
        <v>76</v>
      </c>
      <c r="B1205" s="1" t="s">
        <v>77</v>
      </c>
      <c r="C1205" s="1" t="s">
        <v>28</v>
      </c>
      <c r="D1205" s="1">
        <v>39.6036</v>
      </c>
      <c r="E1205" s="1">
        <v>-77.813999999999993</v>
      </c>
      <c r="F1205" s="1" t="s">
        <v>1925</v>
      </c>
      <c r="G1205" s="22">
        <v>1910.0530162311275</v>
      </c>
      <c r="H1205" s="20">
        <f ca="1">NOW() - TIME(5,30,0) + (VLOOKUP(MasterTable[[#This Row],[TimeZone]], $O$3:$P$8, 2, FALSE) / 24)</f>
        <v>45990.573544791667</v>
      </c>
      <c r="I1205" s="1" t="s">
        <v>1944</v>
      </c>
      <c r="J1205" s="1">
        <v>1088.54</v>
      </c>
    </row>
    <row r="1206" spans="1:10" x14ac:dyDescent="0.25">
      <c r="A1206" s="1" t="s">
        <v>76</v>
      </c>
      <c r="B1206" s="1" t="s">
        <v>77</v>
      </c>
      <c r="C1206" s="1" t="s">
        <v>540</v>
      </c>
      <c r="D1206" s="1">
        <v>38.302399999999999</v>
      </c>
      <c r="E1206" s="1">
        <v>-76.605800000000002</v>
      </c>
      <c r="F1206" s="1" t="s">
        <v>1925</v>
      </c>
      <c r="G1206" s="22">
        <v>1969.5348961302604</v>
      </c>
      <c r="H1206" s="20">
        <f ca="1">NOW() - TIME(5,30,0) + (VLOOKUP(MasterTable[[#This Row],[TimeZone]], $O$3:$P$8, 2, FALSE) / 24)</f>
        <v>45990.573544791667</v>
      </c>
      <c r="I1206" s="1" t="s">
        <v>1944</v>
      </c>
      <c r="J1206" s="1">
        <v>764.5</v>
      </c>
    </row>
    <row r="1207" spans="1:10" x14ac:dyDescent="0.25">
      <c r="A1207" s="1" t="s">
        <v>76</v>
      </c>
      <c r="B1207" s="1" t="s">
        <v>77</v>
      </c>
      <c r="C1207" s="1" t="s">
        <v>574</v>
      </c>
      <c r="D1207" s="1">
        <v>39.571199999999997</v>
      </c>
      <c r="E1207" s="1">
        <v>-75.940700000000007</v>
      </c>
      <c r="F1207" s="1" t="s">
        <v>1925</v>
      </c>
      <c r="G1207" s="22">
        <v>2009.351611363825</v>
      </c>
      <c r="H1207" s="20">
        <f ca="1">NOW() - TIME(5,30,0) + (VLOOKUP(MasterTable[[#This Row],[TimeZone]], $O$3:$P$8, 2, FALSE) / 24)</f>
        <v>45990.573544791667</v>
      </c>
      <c r="I1207" s="1" t="s">
        <v>1944</v>
      </c>
      <c r="J1207" s="1">
        <v>417.88</v>
      </c>
    </row>
    <row r="1208" spans="1:10" x14ac:dyDescent="0.25">
      <c r="A1208" s="1" t="s">
        <v>76</v>
      </c>
      <c r="B1208" s="1" t="s">
        <v>77</v>
      </c>
      <c r="C1208" s="1" t="s">
        <v>575</v>
      </c>
      <c r="D1208" s="1">
        <v>38.3733</v>
      </c>
      <c r="E1208" s="1">
        <v>-75.620800000000003</v>
      </c>
      <c r="F1208" s="1" t="s">
        <v>1925</v>
      </c>
      <c r="G1208" s="22">
        <v>2023.0293669859816</v>
      </c>
      <c r="H1208" s="20">
        <f ca="1">NOW() - TIME(5,30,0) + (VLOOKUP(MasterTable[[#This Row],[TimeZone]], $O$3:$P$8, 2, FALSE) / 24)</f>
        <v>45990.573544791667</v>
      </c>
      <c r="I1208" s="1" t="s">
        <v>1944</v>
      </c>
      <c r="J1208" s="1">
        <v>399.79</v>
      </c>
    </row>
    <row r="1209" spans="1:10" x14ac:dyDescent="0.25">
      <c r="A1209" s="1" t="s">
        <v>76</v>
      </c>
      <c r="B1209" s="1" t="s">
        <v>77</v>
      </c>
      <c r="C1209" s="1" t="s">
        <v>618</v>
      </c>
      <c r="D1209" s="1">
        <v>38.543399999999998</v>
      </c>
      <c r="E1209" s="1">
        <v>-76.568700000000007</v>
      </c>
      <c r="F1209" s="1" t="s">
        <v>1925</v>
      </c>
      <c r="G1209" s="22">
        <v>1972.1135982960348</v>
      </c>
      <c r="H1209" s="20">
        <f ca="1">NOW() - TIME(5,30,0) + (VLOOKUP(MasterTable[[#This Row],[TimeZone]], $O$3:$P$8, 2, FALSE) / 24)</f>
        <v>45990.573544791667</v>
      </c>
      <c r="I1209" s="1" t="s">
        <v>1944</v>
      </c>
      <c r="J1209" s="1">
        <v>345.09</v>
      </c>
    </row>
    <row r="1210" spans="1:10" x14ac:dyDescent="0.25">
      <c r="A1210" s="1" t="s">
        <v>76</v>
      </c>
      <c r="B1210" s="1" t="s">
        <v>77</v>
      </c>
      <c r="C1210" s="1" t="s">
        <v>723</v>
      </c>
      <c r="D1210" s="1">
        <v>39.621400000000001</v>
      </c>
      <c r="E1210" s="1">
        <v>-78.697599999999994</v>
      </c>
      <c r="F1210" s="1" t="s">
        <v>1925</v>
      </c>
      <c r="G1210" s="22">
        <v>1863.3445697841514</v>
      </c>
      <c r="H1210" s="20">
        <f ca="1">NOW() - TIME(5,30,0) + (VLOOKUP(MasterTable[[#This Row],[TimeZone]], $O$3:$P$8, 2, FALSE) / 24)</f>
        <v>45990.573544791667</v>
      </c>
      <c r="I1210" s="1" t="s">
        <v>1944</v>
      </c>
      <c r="J1210" s="1">
        <v>429.82</v>
      </c>
    </row>
    <row r="1211" spans="1:10" x14ac:dyDescent="0.25">
      <c r="A1211" s="1" t="s">
        <v>76</v>
      </c>
      <c r="B1211" s="1" t="s">
        <v>77</v>
      </c>
      <c r="C1211" s="1" t="s">
        <v>114</v>
      </c>
      <c r="D1211" s="1">
        <v>38.212800000000001</v>
      </c>
      <c r="E1211" s="1">
        <v>-75.334000000000003</v>
      </c>
      <c r="F1211" s="1" t="s">
        <v>1925</v>
      </c>
      <c r="G1211" s="22">
        <v>2038.3863583015616</v>
      </c>
      <c r="H1211" s="20">
        <f ca="1">NOW() - TIME(5,30,0) + (VLOOKUP(MasterTable[[#This Row],[TimeZone]], $O$3:$P$8, 2, FALSE) / 24)</f>
        <v>45990.573544791667</v>
      </c>
      <c r="I1211" s="1" t="s">
        <v>1944</v>
      </c>
      <c r="J1211" s="1">
        <v>694.73</v>
      </c>
    </row>
    <row r="1212" spans="1:10" x14ac:dyDescent="0.25">
      <c r="A1212" s="1" t="s">
        <v>76</v>
      </c>
      <c r="B1212" s="1" t="s">
        <v>77</v>
      </c>
      <c r="C1212" s="1" t="s">
        <v>836</v>
      </c>
      <c r="D1212" s="1">
        <v>39.067999999999998</v>
      </c>
      <c r="E1212" s="1">
        <v>-76.02</v>
      </c>
      <c r="F1212" s="1" t="s">
        <v>1925</v>
      </c>
      <c r="G1212" s="22">
        <v>2003.1915611585546</v>
      </c>
      <c r="H1212" s="20">
        <f ca="1">NOW() - TIME(5,30,0) + (VLOOKUP(MasterTable[[#This Row],[TimeZone]], $O$3:$P$8, 2, FALSE) / 24)</f>
        <v>45990.573544791667</v>
      </c>
      <c r="I1212" s="1" t="s">
        <v>1944</v>
      </c>
      <c r="J1212" s="1">
        <v>509.79</v>
      </c>
    </row>
    <row r="1213" spans="1:10" x14ac:dyDescent="0.25">
      <c r="A1213" s="1" t="s">
        <v>76</v>
      </c>
      <c r="B1213" s="1" t="s">
        <v>77</v>
      </c>
      <c r="C1213" s="1" t="s">
        <v>978</v>
      </c>
      <c r="D1213" s="1">
        <v>38.7714</v>
      </c>
      <c r="E1213" s="1">
        <v>-76.097099999999998</v>
      </c>
      <c r="F1213" s="1" t="s">
        <v>1925</v>
      </c>
      <c r="G1213" s="22">
        <v>1998.1523587189406</v>
      </c>
      <c r="H1213" s="20">
        <f ca="1">NOW() - TIME(5,30,0) + (VLOOKUP(MasterTable[[#This Row],[TimeZone]], $O$3:$P$8, 2, FALSE) / 24)</f>
        <v>45990.573544791667</v>
      </c>
      <c r="I1213" s="1" t="s">
        <v>1944</v>
      </c>
      <c r="J1213" s="1">
        <v>394.74</v>
      </c>
    </row>
    <row r="1214" spans="1:10" x14ac:dyDescent="0.25">
      <c r="A1214" s="1" t="s">
        <v>76</v>
      </c>
      <c r="B1214" s="1" t="s">
        <v>77</v>
      </c>
      <c r="C1214" s="1" t="s">
        <v>1033</v>
      </c>
      <c r="D1214" s="1">
        <v>38.871699999999997</v>
      </c>
      <c r="E1214" s="1">
        <v>-75.831599999999995</v>
      </c>
      <c r="F1214" s="1" t="s">
        <v>1925</v>
      </c>
      <c r="G1214" s="22">
        <v>2012.7086693716283</v>
      </c>
      <c r="H1214" s="20">
        <f ca="1">NOW() - TIME(5,30,0) + (VLOOKUP(MasterTable[[#This Row],[TimeZone]], $O$3:$P$8, 2, FALSE) / 24)</f>
        <v>45990.573544791667</v>
      </c>
      <c r="I1214" s="1" t="s">
        <v>1944</v>
      </c>
      <c r="J1214" s="1">
        <v>326.06</v>
      </c>
    </row>
    <row r="1215" spans="1:10" x14ac:dyDescent="0.25">
      <c r="A1215" s="1" t="s">
        <v>76</v>
      </c>
      <c r="B1215" s="1" t="s">
        <v>77</v>
      </c>
      <c r="C1215" s="1" t="s">
        <v>441</v>
      </c>
      <c r="D1215" s="1">
        <v>38.482900000000001</v>
      </c>
      <c r="E1215" s="1">
        <v>-76.012500000000003</v>
      </c>
      <c r="F1215" s="1" t="s">
        <v>1925</v>
      </c>
      <c r="G1215" s="22">
        <v>2002.027118689434</v>
      </c>
      <c r="H1215" s="20">
        <f ca="1">NOW() - TIME(5,30,0) + (VLOOKUP(MasterTable[[#This Row],[TimeZone]], $O$3:$P$8, 2, FALSE) / 24)</f>
        <v>45990.573544791667</v>
      </c>
      <c r="I1215" s="1" t="s">
        <v>1944</v>
      </c>
      <c r="J1215" s="1">
        <v>982.92</v>
      </c>
    </row>
    <row r="1216" spans="1:10" x14ac:dyDescent="0.25">
      <c r="A1216" s="1" t="s">
        <v>76</v>
      </c>
      <c r="B1216" s="1" t="s">
        <v>77</v>
      </c>
      <c r="C1216" s="1" t="s">
        <v>1094</v>
      </c>
      <c r="D1216" s="1">
        <v>39.5289</v>
      </c>
      <c r="E1216" s="1">
        <v>-79.272900000000007</v>
      </c>
      <c r="F1216" s="1" t="s">
        <v>1925</v>
      </c>
      <c r="G1216" s="22">
        <v>1832.2086604215615</v>
      </c>
      <c r="H1216" s="20">
        <f ca="1">NOW() - TIME(5,30,0) + (VLOOKUP(MasterTable[[#This Row],[TimeZone]], $O$3:$P$8, 2, FALSE) / 24)</f>
        <v>45990.573544791667</v>
      </c>
      <c r="I1216" s="1" t="s">
        <v>1944</v>
      </c>
      <c r="J1216" s="1">
        <v>655.9</v>
      </c>
    </row>
    <row r="1217" spans="1:10" x14ac:dyDescent="0.25">
      <c r="A1217" s="1" t="s">
        <v>76</v>
      </c>
      <c r="B1217" s="1" t="s">
        <v>77</v>
      </c>
      <c r="C1217" s="1" t="s">
        <v>267</v>
      </c>
      <c r="D1217" s="1">
        <v>38.1158</v>
      </c>
      <c r="E1217" s="1">
        <v>-75.751800000000003</v>
      </c>
      <c r="F1217" s="1" t="s">
        <v>1925</v>
      </c>
      <c r="G1217" s="22">
        <v>2015.5952355603897</v>
      </c>
      <c r="H1217" s="20">
        <f ca="1">NOW() - TIME(5,30,0) + (VLOOKUP(MasterTable[[#This Row],[TimeZone]], $O$3:$P$8, 2, FALSE) / 24)</f>
        <v>45990.573544791667</v>
      </c>
      <c r="I1217" s="1" t="s">
        <v>1944</v>
      </c>
      <c r="J1217" s="1">
        <v>4095.37</v>
      </c>
    </row>
    <row r="1218" spans="1:10" x14ac:dyDescent="0.25">
      <c r="A1218" s="1" t="s">
        <v>76</v>
      </c>
      <c r="B1218" s="1" t="s">
        <v>77</v>
      </c>
      <c r="C1218" s="1" t="s">
        <v>157</v>
      </c>
      <c r="D1218" s="1">
        <v>39.255600000000001</v>
      </c>
      <c r="E1218" s="1">
        <v>-76.039000000000001</v>
      </c>
      <c r="F1218" s="1" t="s">
        <v>1925</v>
      </c>
      <c r="G1218" s="22">
        <v>2002.837307819025</v>
      </c>
      <c r="H1218" s="20">
        <f ca="1">NOW() - TIME(5,30,0) + (VLOOKUP(MasterTable[[#This Row],[TimeZone]], $O$3:$P$8, 2, FALSE) / 24)</f>
        <v>45990.573544791667</v>
      </c>
      <c r="I1218" s="1" t="s">
        <v>1944</v>
      </c>
      <c r="J1218" s="1">
        <v>800.12</v>
      </c>
    </row>
    <row r="1219" spans="1:10" x14ac:dyDescent="0.25">
      <c r="A1219" s="1" t="s">
        <v>286</v>
      </c>
      <c r="B1219" s="1" t="s">
        <v>287</v>
      </c>
      <c r="C1219" s="1" t="s">
        <v>271</v>
      </c>
      <c r="D1219" s="1">
        <v>43.846600000000002</v>
      </c>
      <c r="E1219" s="1">
        <v>-70.399600000000007</v>
      </c>
      <c r="F1219" s="1" t="s">
        <v>1925</v>
      </c>
      <c r="G1219" s="22">
        <v>2320.2634485727604</v>
      </c>
      <c r="H1219" s="20">
        <f ca="1">NOW() - TIME(5,30,0) + (VLOOKUP(MasterTable[[#This Row],[TimeZone]], $O$3:$P$8, 2, FALSE) / 24)</f>
        <v>45990.573544791667</v>
      </c>
      <c r="I1219" s="1" t="s">
        <v>1944</v>
      </c>
      <c r="J1219" s="1">
        <v>347</v>
      </c>
    </row>
    <row r="1220" spans="1:10" x14ac:dyDescent="0.25">
      <c r="A1220" s="1" t="s">
        <v>286</v>
      </c>
      <c r="B1220" s="1" t="s">
        <v>287</v>
      </c>
      <c r="C1220" s="1" t="s">
        <v>213</v>
      </c>
      <c r="D1220" s="1">
        <v>43.478200000000001</v>
      </c>
      <c r="E1220" s="1">
        <v>-70.714399999999998</v>
      </c>
      <c r="F1220" s="1" t="s">
        <v>1925</v>
      </c>
      <c r="G1220" s="22">
        <v>2301.8814874163222</v>
      </c>
      <c r="H1220" s="20">
        <f ca="1">NOW() - TIME(5,30,0) + (VLOOKUP(MasterTable[[#This Row],[TimeZone]], $O$3:$P$8, 2, FALSE) / 24)</f>
        <v>45990.573544791667</v>
      </c>
      <c r="I1220" s="1" t="s">
        <v>1944</v>
      </c>
      <c r="J1220" s="1">
        <v>1271.3399999999999</v>
      </c>
    </row>
    <row r="1221" spans="1:10" x14ac:dyDescent="0.25">
      <c r="A1221" s="1" t="s">
        <v>286</v>
      </c>
      <c r="B1221" s="1" t="s">
        <v>287</v>
      </c>
      <c r="C1221" s="1" t="s">
        <v>471</v>
      </c>
      <c r="D1221" s="1">
        <v>45.400599999999997</v>
      </c>
      <c r="E1221" s="1">
        <v>-68.649500000000003</v>
      </c>
      <c r="F1221" s="1" t="s">
        <v>1925</v>
      </c>
      <c r="G1221" s="22">
        <v>2418.3475354038937</v>
      </c>
      <c r="H1221" s="20">
        <f ca="1">NOW() - TIME(5,30,0) + (VLOOKUP(MasterTable[[#This Row],[TimeZone]], $O$3:$P$8, 2, FALSE) / 24)</f>
        <v>45990.573544791667</v>
      </c>
      <c r="I1221" s="1" t="s">
        <v>1944</v>
      </c>
      <c r="J1221" s="1">
        <v>3556.14</v>
      </c>
    </row>
    <row r="1222" spans="1:10" x14ac:dyDescent="0.25">
      <c r="A1222" s="1" t="s">
        <v>286</v>
      </c>
      <c r="B1222" s="1" t="s">
        <v>287</v>
      </c>
      <c r="C1222" s="1" t="s">
        <v>518</v>
      </c>
      <c r="D1222" s="1">
        <v>44.409100000000002</v>
      </c>
      <c r="E1222" s="1">
        <v>-69.767300000000006</v>
      </c>
      <c r="F1222" s="1" t="s">
        <v>1925</v>
      </c>
      <c r="G1222" s="22">
        <v>2355.811802867338</v>
      </c>
      <c r="H1222" s="20">
        <f ca="1">NOW() - TIME(5,30,0) + (VLOOKUP(MasterTable[[#This Row],[TimeZone]], $O$3:$P$8, 2, FALSE) / 24)</f>
        <v>45990.573544791667</v>
      </c>
      <c r="I1222" s="1" t="s">
        <v>1944</v>
      </c>
      <c r="J1222" s="1">
        <v>951.18</v>
      </c>
    </row>
    <row r="1223" spans="1:10" x14ac:dyDescent="0.25">
      <c r="A1223" s="1" t="s">
        <v>286</v>
      </c>
      <c r="B1223" s="1" t="s">
        <v>287</v>
      </c>
      <c r="C1223" s="1" t="s">
        <v>545</v>
      </c>
      <c r="D1223" s="1">
        <v>44.165799999999997</v>
      </c>
      <c r="E1223" s="1">
        <v>-70.206500000000005</v>
      </c>
      <c r="F1223" s="1" t="s">
        <v>1925</v>
      </c>
      <c r="G1223" s="22">
        <v>2332.2891318807892</v>
      </c>
      <c r="H1223" s="20">
        <f ca="1">NOW() - TIME(5,30,0) + (VLOOKUP(MasterTable[[#This Row],[TimeZone]], $O$3:$P$8, 2, FALSE) / 24)</f>
        <v>45990.573544791667</v>
      </c>
      <c r="I1223" s="1" t="s">
        <v>1944</v>
      </c>
      <c r="J1223" s="1">
        <v>497.23</v>
      </c>
    </row>
    <row r="1224" spans="1:10" x14ac:dyDescent="0.25">
      <c r="A1224" s="1" t="s">
        <v>286</v>
      </c>
      <c r="B1224" s="1" t="s">
        <v>287</v>
      </c>
      <c r="C1224" s="1" t="s">
        <v>727</v>
      </c>
      <c r="D1224" s="1">
        <v>46.658900000000003</v>
      </c>
      <c r="E1224" s="1">
        <v>-68.5989</v>
      </c>
      <c r="F1224" s="1" t="s">
        <v>1925</v>
      </c>
      <c r="G1224" s="22">
        <v>2432.8650018026156</v>
      </c>
      <c r="H1224" s="20">
        <f ca="1">NOW() - TIME(5,30,0) + (VLOOKUP(MasterTable[[#This Row],[TimeZone]], $O$3:$P$8, 2, FALSE) / 24)</f>
        <v>45990.573544791667</v>
      </c>
      <c r="I1224" s="1" t="s">
        <v>1944</v>
      </c>
      <c r="J1224" s="1">
        <v>6828.79</v>
      </c>
    </row>
    <row r="1225" spans="1:10" x14ac:dyDescent="0.25">
      <c r="A1225" s="1" t="s">
        <v>286</v>
      </c>
      <c r="B1225" s="1" t="s">
        <v>287</v>
      </c>
      <c r="C1225" s="1" t="s">
        <v>791</v>
      </c>
      <c r="D1225" s="1">
        <v>44.499899999999997</v>
      </c>
      <c r="E1225" s="1">
        <v>-70.756600000000006</v>
      </c>
      <c r="F1225" s="1" t="s">
        <v>1925</v>
      </c>
      <c r="G1225" s="22">
        <v>2308.1710805150715</v>
      </c>
      <c r="H1225" s="20">
        <f ca="1">NOW() - TIME(5,30,0) + (VLOOKUP(MasterTable[[#This Row],[TimeZone]], $O$3:$P$8, 2, FALSE) / 24)</f>
        <v>45990.573544791667</v>
      </c>
      <c r="I1225" s="1" t="s">
        <v>1944</v>
      </c>
      <c r="J1225" s="1">
        <v>2175.2600000000002</v>
      </c>
    </row>
    <row r="1226" spans="1:10" x14ac:dyDescent="0.25">
      <c r="A1226" s="1" t="s">
        <v>286</v>
      </c>
      <c r="B1226" s="1" t="s">
        <v>287</v>
      </c>
      <c r="C1226" s="1" t="s">
        <v>663</v>
      </c>
      <c r="D1226" s="1">
        <v>44.664700000000003</v>
      </c>
      <c r="E1226" s="1">
        <v>-68.358400000000003</v>
      </c>
      <c r="F1226" s="1" t="s">
        <v>1925</v>
      </c>
      <c r="G1226" s="22">
        <v>2426.7135511863771</v>
      </c>
      <c r="H1226" s="20">
        <f ca="1">NOW() - TIME(5,30,0) + (VLOOKUP(MasterTable[[#This Row],[TimeZone]], $O$3:$P$8, 2, FALSE) / 24)</f>
        <v>45990.573544791667</v>
      </c>
      <c r="I1226" s="1" t="s">
        <v>1944</v>
      </c>
      <c r="J1226" s="1">
        <v>478.76</v>
      </c>
    </row>
    <row r="1227" spans="1:10" x14ac:dyDescent="0.25">
      <c r="A1227" s="1" t="s">
        <v>286</v>
      </c>
      <c r="B1227" s="1" t="s">
        <v>287</v>
      </c>
      <c r="C1227" s="1" t="s">
        <v>267</v>
      </c>
      <c r="D1227" s="1">
        <v>45.5139</v>
      </c>
      <c r="E1227" s="1">
        <v>-69.9589</v>
      </c>
      <c r="F1227" s="1" t="s">
        <v>1925</v>
      </c>
      <c r="G1227" s="22">
        <v>2356.5281571637101</v>
      </c>
      <c r="H1227" s="20">
        <f ca="1">NOW() - TIME(5,30,0) + (VLOOKUP(MasterTable[[#This Row],[TimeZone]], $O$3:$P$8, 2, FALSE) / 24)</f>
        <v>45990.573544791667</v>
      </c>
      <c r="I1227" s="1" t="s">
        <v>1944</v>
      </c>
      <c r="J1227" s="1">
        <v>4095.37</v>
      </c>
    </row>
    <row r="1228" spans="1:10" x14ac:dyDescent="0.25">
      <c r="A1228" s="1" t="s">
        <v>286</v>
      </c>
      <c r="B1228" s="1" t="s">
        <v>287</v>
      </c>
      <c r="C1228" s="1" t="s">
        <v>205</v>
      </c>
      <c r="D1228" s="1">
        <v>44.140999999999998</v>
      </c>
      <c r="E1228" s="1">
        <v>-69.168700000000001</v>
      </c>
      <c r="F1228" s="1" t="s">
        <v>1925</v>
      </c>
      <c r="G1228" s="22">
        <v>2383.2524950876555</v>
      </c>
      <c r="H1228" s="20">
        <f ca="1">NOW() - TIME(5,30,0) + (VLOOKUP(MasterTable[[#This Row],[TimeZone]], $O$3:$P$8, 2, FALSE) / 24)</f>
        <v>45990.573544791667</v>
      </c>
      <c r="I1228" s="1" t="s">
        <v>1944</v>
      </c>
      <c r="J1228" s="1">
        <v>719.7</v>
      </c>
    </row>
    <row r="1229" spans="1:10" x14ac:dyDescent="0.25">
      <c r="A1229" s="1" t="s">
        <v>286</v>
      </c>
      <c r="B1229" s="1" t="s">
        <v>287</v>
      </c>
      <c r="C1229" s="1" t="s">
        <v>954</v>
      </c>
      <c r="D1229" s="1">
        <v>44.502600000000001</v>
      </c>
      <c r="E1229" s="1">
        <v>-69.145300000000006</v>
      </c>
      <c r="F1229" s="1" t="s">
        <v>1925</v>
      </c>
      <c r="G1229" s="22">
        <v>2387.0212731911115</v>
      </c>
      <c r="H1229" s="20">
        <f ca="1">NOW() - TIME(5,30,0) + (VLOOKUP(MasterTable[[#This Row],[TimeZone]], $O$3:$P$8, 2, FALSE) / 24)</f>
        <v>45990.573544791667</v>
      </c>
      <c r="I1229" s="1" t="s">
        <v>1944</v>
      </c>
      <c r="J1229" s="1">
        <v>852.74</v>
      </c>
    </row>
    <row r="1230" spans="1:10" x14ac:dyDescent="0.25">
      <c r="A1230" s="1" t="s">
        <v>286</v>
      </c>
      <c r="B1230" s="1" t="s">
        <v>287</v>
      </c>
      <c r="C1230" s="1" t="s">
        <v>987</v>
      </c>
      <c r="D1230" s="1">
        <v>43.959800000000001</v>
      </c>
      <c r="E1230" s="1">
        <v>-69.854600000000005</v>
      </c>
      <c r="F1230" s="1" t="s">
        <v>1925</v>
      </c>
      <c r="G1230" s="22">
        <v>2348.0814950766166</v>
      </c>
      <c r="H1230" s="20">
        <f ca="1">NOW() - TIME(5,30,0) + (VLOOKUP(MasterTable[[#This Row],[TimeZone]], $O$3:$P$8, 2, FALSE) / 24)</f>
        <v>45990.573544791667</v>
      </c>
      <c r="I1230" s="1" t="s">
        <v>1944</v>
      </c>
      <c r="J1230" s="1">
        <v>370.19</v>
      </c>
    </row>
    <row r="1231" spans="1:10" x14ac:dyDescent="0.25">
      <c r="A1231" s="1" t="s">
        <v>286</v>
      </c>
      <c r="B1231" s="1" t="s">
        <v>287</v>
      </c>
      <c r="C1231" s="1" t="s">
        <v>632</v>
      </c>
      <c r="D1231" s="1">
        <v>44.066499999999998</v>
      </c>
      <c r="E1231" s="1">
        <v>-69.543400000000005</v>
      </c>
      <c r="F1231" s="1" t="s">
        <v>1925</v>
      </c>
      <c r="G1231" s="22">
        <v>2364.2323785226426</v>
      </c>
      <c r="H1231" s="20">
        <f ca="1">NOW() - TIME(5,30,0) + (VLOOKUP(MasterTable[[#This Row],[TimeZone]], $O$3:$P$8, 2, FALSE) / 24)</f>
        <v>45990.573544791667</v>
      </c>
      <c r="I1231" s="1" t="s">
        <v>1944</v>
      </c>
      <c r="J1231" s="1">
        <v>572.16999999999996</v>
      </c>
    </row>
    <row r="1232" spans="1:10" x14ac:dyDescent="0.25">
      <c r="A1232" s="1" t="s">
        <v>286</v>
      </c>
      <c r="B1232" s="1" t="s">
        <v>287</v>
      </c>
      <c r="C1232" s="1" t="s">
        <v>28</v>
      </c>
      <c r="D1232" s="1">
        <v>45.030700000000003</v>
      </c>
      <c r="E1232" s="1">
        <v>-67.628699999999995</v>
      </c>
      <c r="F1232" s="1" t="s">
        <v>1925</v>
      </c>
      <c r="G1232" s="22">
        <v>2464.8426308292378</v>
      </c>
      <c r="H1232" s="20">
        <f ca="1">NOW() - TIME(5,30,0) + (VLOOKUP(MasterTable[[#This Row],[TimeZone]], $O$3:$P$8, 2, FALSE) / 24)</f>
        <v>45990.573544791667</v>
      </c>
      <c r="I1232" s="1" t="s">
        <v>1944</v>
      </c>
      <c r="J1232" s="1">
        <v>1088.54</v>
      </c>
    </row>
    <row r="1233" spans="1:12" x14ac:dyDescent="0.25">
      <c r="A1233" s="1" t="s">
        <v>286</v>
      </c>
      <c r="B1233" s="1" t="s">
        <v>287</v>
      </c>
      <c r="C1233" s="1" t="s">
        <v>50</v>
      </c>
      <c r="D1233" s="1">
        <v>44.973999999999997</v>
      </c>
      <c r="E1233" s="1">
        <v>-70.444000000000003</v>
      </c>
      <c r="F1233" s="1" t="s">
        <v>1925</v>
      </c>
      <c r="G1233" s="22">
        <v>2327.8294735857889</v>
      </c>
      <c r="H1233" s="20">
        <f ca="1">NOW() - TIME(5,30,0) + (VLOOKUP(MasterTable[[#This Row],[TimeZone]], $O$3:$P$8, 2, FALSE) / 24)</f>
        <v>45990.573544791667</v>
      </c>
      <c r="I1233" s="1" t="s">
        <v>1944</v>
      </c>
      <c r="J1233" s="1">
        <v>646.51</v>
      </c>
    </row>
    <row r="1234" spans="1:12" x14ac:dyDescent="0.25">
      <c r="A1234" s="1" t="s">
        <v>286</v>
      </c>
      <c r="B1234" s="1" t="s">
        <v>287</v>
      </c>
      <c r="C1234" s="1" t="s">
        <v>1342</v>
      </c>
      <c r="D1234" s="1">
        <v>45.837299999999999</v>
      </c>
      <c r="E1234" s="1">
        <v>-69.284599999999998</v>
      </c>
      <c r="F1234" s="1" t="s">
        <v>1925</v>
      </c>
      <c r="G1234" s="22">
        <v>2391.9870689355703</v>
      </c>
      <c r="H1234" s="20">
        <f ca="1">NOW() - TIME(5,30,0) + (VLOOKUP(MasterTable[[#This Row],[TimeZone]], $O$3:$P$8, 2, FALSE) / 24)</f>
        <v>45990.573544791667</v>
      </c>
      <c r="I1234" s="1" t="s">
        <v>1944</v>
      </c>
      <c r="J1234" s="1">
        <v>4377.3599999999997</v>
      </c>
    </row>
    <row r="1235" spans="1:12" x14ac:dyDescent="0.25">
      <c r="A1235" s="1" t="s">
        <v>35</v>
      </c>
      <c r="B1235" s="1" t="s">
        <v>36</v>
      </c>
      <c r="C1235" s="1" t="s">
        <v>34</v>
      </c>
      <c r="D1235" s="1">
        <v>42.282200000000003</v>
      </c>
      <c r="E1235" s="1">
        <v>-83.283000000000001</v>
      </c>
      <c r="F1235" s="1" t="s">
        <v>1925</v>
      </c>
      <c r="G1235" s="22">
        <v>1661.9098335800081</v>
      </c>
      <c r="H1235" s="20">
        <f ca="1">NOW() - TIME(5,30,0) + (VLOOKUP(MasterTable[[#This Row],[TimeZone]], $O$3:$P$8, 2, FALSE) / 24)</f>
        <v>45990.573544791667</v>
      </c>
      <c r="I1235" s="1" t="s">
        <v>1944</v>
      </c>
      <c r="J1235" s="1">
        <v>648.79999999999995</v>
      </c>
    </row>
    <row r="1236" spans="1:12" x14ac:dyDescent="0.25">
      <c r="A1236" s="1" t="s">
        <v>35</v>
      </c>
      <c r="B1236" s="1" t="s">
        <v>36</v>
      </c>
      <c r="C1236" s="1" t="s">
        <v>54</v>
      </c>
      <c r="D1236" s="1">
        <v>42.660400000000003</v>
      </c>
      <c r="E1236" s="1">
        <v>-83.385800000000003</v>
      </c>
      <c r="F1236" s="1" t="s">
        <v>1925</v>
      </c>
      <c r="G1236" s="22">
        <v>1664.1146533254182</v>
      </c>
      <c r="H1236" s="20">
        <f ca="1">NOW() - TIME(5,30,0) + (VLOOKUP(MasterTable[[#This Row],[TimeZone]], $O$3:$P$8, 2, FALSE) / 24)</f>
        <v>45990.573544791667</v>
      </c>
      <c r="I1236" s="1" t="s">
        <v>1944</v>
      </c>
      <c r="J1236" s="1">
        <v>908</v>
      </c>
      <c r="K1236" s="10"/>
      <c r="L1236" s="10"/>
    </row>
    <row r="1237" spans="1:12" x14ac:dyDescent="0.25">
      <c r="A1237" s="1" t="s">
        <v>35</v>
      </c>
      <c r="B1237" s="1" t="s">
        <v>36</v>
      </c>
      <c r="C1237" s="1" t="s">
        <v>112</v>
      </c>
      <c r="D1237" s="1">
        <v>42.695700000000002</v>
      </c>
      <c r="E1237" s="1">
        <v>-82.932299999999998</v>
      </c>
      <c r="F1237" s="1" t="s">
        <v>1925</v>
      </c>
      <c r="G1237" s="22">
        <v>1686.9085433615032</v>
      </c>
      <c r="H1237" s="20">
        <f ca="1">NOW() - TIME(5,30,0) + (VLOOKUP(MasterTable[[#This Row],[TimeZone]], $O$3:$P$8, 2, FALSE) / 24)</f>
        <v>45990.573544791667</v>
      </c>
      <c r="I1237" s="1" t="s">
        <v>1944</v>
      </c>
      <c r="J1237" s="1">
        <v>569.78</v>
      </c>
      <c r="K1237" s="11"/>
      <c r="L1237" s="11"/>
    </row>
    <row r="1238" spans="1:12" x14ac:dyDescent="0.25">
      <c r="A1238" s="1" t="s">
        <v>35</v>
      </c>
      <c r="B1238" s="1" t="s">
        <v>36</v>
      </c>
      <c r="C1238" s="1" t="s">
        <v>157</v>
      </c>
      <c r="D1238" s="1">
        <v>43.032200000000003</v>
      </c>
      <c r="E1238" s="1">
        <v>-85.549300000000002</v>
      </c>
      <c r="F1238" s="1" t="s">
        <v>1925</v>
      </c>
      <c r="G1238" s="22">
        <v>1568.0699871991828</v>
      </c>
      <c r="H1238" s="20">
        <f ca="1">NOW() - TIME(5,30,0) + (VLOOKUP(MasterTable[[#This Row],[TimeZone]], $O$3:$P$8, 2, FALSE) / 24)</f>
        <v>45990.573544791667</v>
      </c>
      <c r="I1238" s="1" t="s">
        <v>1944</v>
      </c>
      <c r="J1238" s="1">
        <v>800.12</v>
      </c>
      <c r="K1238" s="11"/>
      <c r="L1238" s="11"/>
    </row>
    <row r="1239" spans="1:12" x14ac:dyDescent="0.25">
      <c r="A1239" s="1" t="s">
        <v>35</v>
      </c>
      <c r="B1239" s="1" t="s">
        <v>36</v>
      </c>
      <c r="C1239" s="1" t="s">
        <v>240</v>
      </c>
      <c r="D1239" s="1">
        <v>43.021700000000003</v>
      </c>
      <c r="E1239" s="1">
        <v>-83.706699999999998</v>
      </c>
      <c r="F1239" s="1" t="s">
        <v>1925</v>
      </c>
      <c r="G1239" s="22">
        <v>1655.9259252888664</v>
      </c>
      <c r="H1239" s="20">
        <f ca="1">NOW() - TIME(5,30,0) + (VLOOKUP(MasterTable[[#This Row],[TimeZone]], $O$3:$P$8, 2, FALSE) / 24)</f>
        <v>45990.573544791667</v>
      </c>
      <c r="I1239" s="1" t="s">
        <v>1944</v>
      </c>
      <c r="J1239" s="1">
        <v>649.34</v>
      </c>
      <c r="K1239" s="11"/>
      <c r="L1239" s="11"/>
    </row>
    <row r="1240" spans="1:12" x14ac:dyDescent="0.25">
      <c r="A1240" s="1" t="s">
        <v>35</v>
      </c>
      <c r="B1240" s="1" t="s">
        <v>36</v>
      </c>
      <c r="C1240" s="1" t="s">
        <v>258</v>
      </c>
      <c r="D1240" s="1">
        <v>42.2532</v>
      </c>
      <c r="E1240" s="1">
        <v>-83.838800000000006</v>
      </c>
      <c r="F1240" s="1" t="s">
        <v>1925</v>
      </c>
      <c r="G1240" s="22">
        <v>1634.0284869079753</v>
      </c>
      <c r="H1240" s="20">
        <f ca="1">NOW() - TIME(5,30,0) + (VLOOKUP(MasterTable[[#This Row],[TimeZone]], $O$3:$P$8, 2, FALSE) / 24)</f>
        <v>45990.573544791667</v>
      </c>
      <c r="I1240" s="1" t="s">
        <v>1944</v>
      </c>
      <c r="J1240" s="1">
        <v>722.53</v>
      </c>
      <c r="K1240" s="11"/>
      <c r="L1240" s="11"/>
    </row>
    <row r="1241" spans="1:12" x14ac:dyDescent="0.25">
      <c r="A1241" s="1" t="s">
        <v>35</v>
      </c>
      <c r="B1241" s="1" t="s">
        <v>36</v>
      </c>
      <c r="C1241" s="1" t="s">
        <v>292</v>
      </c>
      <c r="D1241" s="1">
        <v>42.959899999999998</v>
      </c>
      <c r="E1241" s="1">
        <v>-85.995999999999995</v>
      </c>
      <c r="F1241" s="1" t="s">
        <v>1925</v>
      </c>
      <c r="G1241" s="22">
        <v>1545.1577001533813</v>
      </c>
      <c r="H1241" s="20">
        <f ca="1">NOW() - TIME(5,30,0) + (VLOOKUP(MasterTable[[#This Row],[TimeZone]], $O$3:$P$8, 2, FALSE) / 24)</f>
        <v>45990.573544791667</v>
      </c>
      <c r="I1241" s="1" t="s">
        <v>1944</v>
      </c>
      <c r="J1241" s="1">
        <v>721.9</v>
      </c>
      <c r="K1241" s="11"/>
      <c r="L1241" s="11"/>
    </row>
    <row r="1242" spans="1:12" x14ac:dyDescent="0.25">
      <c r="A1242" s="1" t="s">
        <v>35</v>
      </c>
      <c r="B1242" s="1" t="s">
        <v>36</v>
      </c>
      <c r="C1242" s="1" t="s">
        <v>306</v>
      </c>
      <c r="D1242" s="1">
        <v>42.597099999999998</v>
      </c>
      <c r="E1242" s="1">
        <v>-84.373500000000007</v>
      </c>
      <c r="F1242" s="1" t="s">
        <v>1925</v>
      </c>
      <c r="G1242" s="22">
        <v>1614.826430723858</v>
      </c>
      <c r="H1242" s="20">
        <f ca="1">NOW() - TIME(5,30,0) + (VLOOKUP(MasterTable[[#This Row],[TimeZone]], $O$3:$P$8, 2, FALSE) / 24)</f>
        <v>45990.573544791667</v>
      </c>
      <c r="I1242" s="1" t="s">
        <v>1944</v>
      </c>
      <c r="J1242" s="1">
        <v>560.94000000000005</v>
      </c>
      <c r="K1242" s="11"/>
      <c r="L1242" s="11"/>
    </row>
    <row r="1243" spans="1:12" x14ac:dyDescent="0.25">
      <c r="A1243" s="1" t="s">
        <v>35</v>
      </c>
      <c r="B1243" s="1" t="s">
        <v>36</v>
      </c>
      <c r="C1243" s="1" t="s">
        <v>323</v>
      </c>
      <c r="D1243" s="1">
        <v>42.2455</v>
      </c>
      <c r="E1243" s="1">
        <v>-85.531199999999998</v>
      </c>
      <c r="F1243" s="1" t="s">
        <v>1925</v>
      </c>
      <c r="G1243" s="22">
        <v>1551.1689476446629</v>
      </c>
      <c r="H1243" s="20">
        <f ca="1">NOW() - TIME(5,30,0) + (VLOOKUP(MasterTable[[#This Row],[TimeZone]], $O$3:$P$8, 2, FALSE) / 24)</f>
        <v>45990.573544791667</v>
      </c>
      <c r="I1243" s="1" t="s">
        <v>1944</v>
      </c>
      <c r="J1243" s="1">
        <v>580.17999999999995</v>
      </c>
      <c r="K1243" s="11"/>
      <c r="L1243" s="15"/>
    </row>
    <row r="1244" spans="1:12" x14ac:dyDescent="0.25">
      <c r="A1244" s="1" t="s">
        <v>35</v>
      </c>
      <c r="B1244" s="1" t="s">
        <v>36</v>
      </c>
      <c r="C1244" s="1" t="s">
        <v>384</v>
      </c>
      <c r="D1244" s="1">
        <v>42.602899999999998</v>
      </c>
      <c r="E1244" s="1">
        <v>-83.911500000000004</v>
      </c>
      <c r="F1244" s="1" t="s">
        <v>1925</v>
      </c>
      <c r="G1244" s="22">
        <v>1637.3813744538147</v>
      </c>
      <c r="H1244" s="20">
        <f ca="1">NOW() - TIME(5,30,0) + (VLOOKUP(MasterTable[[#This Row],[TimeZone]], $O$3:$P$8, 2, FALSE) / 24)</f>
        <v>45990.573544791667</v>
      </c>
      <c r="I1244" s="1" t="s">
        <v>1944</v>
      </c>
      <c r="J1244" s="1">
        <v>1045.43</v>
      </c>
      <c r="K1244" s="11"/>
      <c r="L1244" s="11"/>
    </row>
    <row r="1245" spans="1:12" x14ac:dyDescent="0.25">
      <c r="A1245" s="1" t="s">
        <v>35</v>
      </c>
      <c r="B1245" s="1" t="s">
        <v>36</v>
      </c>
      <c r="C1245" s="1" t="s">
        <v>395</v>
      </c>
      <c r="D1245" s="1">
        <v>43.335000000000001</v>
      </c>
      <c r="E1245" s="1">
        <v>-84.053200000000004</v>
      </c>
      <c r="F1245" s="1" t="s">
        <v>1925</v>
      </c>
      <c r="G1245" s="22">
        <v>1646.1189388502032</v>
      </c>
      <c r="H1245" s="20">
        <f ca="1">NOW() - TIME(5,30,0) + (VLOOKUP(MasterTable[[#This Row],[TimeZone]], $O$3:$P$8, 2, FALSE) / 24)</f>
        <v>45990.573544791667</v>
      </c>
      <c r="I1245" s="1" t="s">
        <v>1944</v>
      </c>
      <c r="J1245" s="1">
        <v>815.78</v>
      </c>
      <c r="K1245" s="11"/>
      <c r="L1245" s="11"/>
    </row>
    <row r="1246" spans="1:12" x14ac:dyDescent="0.25">
      <c r="A1246" s="1" t="s">
        <v>35</v>
      </c>
      <c r="B1246" s="1" t="s">
        <v>36</v>
      </c>
      <c r="C1246" s="1" t="s">
        <v>415</v>
      </c>
      <c r="D1246" s="1">
        <v>43.291200000000003</v>
      </c>
      <c r="E1246" s="1">
        <v>-86.152000000000001</v>
      </c>
      <c r="F1246" s="1" t="s">
        <v>1925</v>
      </c>
      <c r="G1246" s="22">
        <v>1545.9644280244322</v>
      </c>
      <c r="H1246" s="20">
        <f ca="1">NOW() - TIME(5,30,0) + (VLOOKUP(MasterTable[[#This Row],[TimeZone]], $O$3:$P$8, 2, FALSE) / 24)</f>
        <v>45990.573544791667</v>
      </c>
      <c r="I1246" s="1" t="s">
        <v>1944</v>
      </c>
      <c r="J1246" s="1">
        <v>1459.3</v>
      </c>
      <c r="K1246" s="11"/>
      <c r="L1246" s="11"/>
    </row>
    <row r="1247" spans="1:12" x14ac:dyDescent="0.25">
      <c r="A1247" s="1" t="s">
        <v>35</v>
      </c>
      <c r="B1247" s="1" t="s">
        <v>36</v>
      </c>
      <c r="C1247" s="1" t="s">
        <v>140</v>
      </c>
      <c r="D1247" s="1">
        <v>42.2485</v>
      </c>
      <c r="E1247" s="1">
        <v>-84.423400000000001</v>
      </c>
      <c r="F1247" s="1" t="s">
        <v>1925</v>
      </c>
      <c r="G1247" s="22">
        <v>1605.2694981600646</v>
      </c>
      <c r="H1247" s="20">
        <f ca="1">NOW() - TIME(5,30,0) + (VLOOKUP(MasterTable[[#This Row],[TimeZone]], $O$3:$P$8, 2, FALSE) / 24)</f>
        <v>45990.573544791667</v>
      </c>
      <c r="I1247" s="1" t="s">
        <v>1944</v>
      </c>
      <c r="J1247" s="1">
        <v>1126.77</v>
      </c>
      <c r="K1247" s="11"/>
      <c r="L1247" s="11"/>
    </row>
    <row r="1248" spans="1:12" x14ac:dyDescent="0.25">
      <c r="A1248" s="1" t="s">
        <v>35</v>
      </c>
      <c r="B1248" s="1" t="s">
        <v>36</v>
      </c>
      <c r="C1248" s="1" t="s">
        <v>328</v>
      </c>
      <c r="D1248" s="1">
        <v>42.934100000000001</v>
      </c>
      <c r="E1248" s="1">
        <v>-82.680599999999998</v>
      </c>
      <c r="F1248" s="1" t="s">
        <v>1925</v>
      </c>
      <c r="G1248" s="22">
        <v>1703.759069707098</v>
      </c>
      <c r="H1248" s="20">
        <f ca="1">NOW() - TIME(5,30,0) + (VLOOKUP(MasterTable[[#This Row],[TimeZone]], $O$3:$P$8, 2, FALSE) / 24)</f>
        <v>45990.573544791667</v>
      </c>
      <c r="I1248" s="1" t="s">
        <v>1944</v>
      </c>
      <c r="J1248" s="1">
        <v>653.61</v>
      </c>
      <c r="K1248" s="11"/>
      <c r="L1248" s="11"/>
    </row>
    <row r="1249" spans="1:12" x14ac:dyDescent="0.25">
      <c r="A1249" s="1" t="s">
        <v>35</v>
      </c>
      <c r="B1249" s="1" t="s">
        <v>36</v>
      </c>
      <c r="C1249" s="1" t="s">
        <v>135</v>
      </c>
      <c r="D1249" s="1">
        <v>41.929099999999998</v>
      </c>
      <c r="E1249" s="1">
        <v>-83.539400000000001</v>
      </c>
      <c r="F1249" s="1" t="s">
        <v>1925</v>
      </c>
      <c r="G1249" s="22">
        <v>1642.7665191020692</v>
      </c>
      <c r="H1249" s="20">
        <f ca="1">NOW() - TIME(5,30,0) + (VLOOKUP(MasterTable[[#This Row],[TimeZone]], $O$3:$P$8, 2, FALSE) / 24)</f>
        <v>45990.573544791667</v>
      </c>
      <c r="I1249" s="1" t="s">
        <v>1944</v>
      </c>
      <c r="J1249" s="1">
        <v>1034.53</v>
      </c>
      <c r="K1249" s="11"/>
      <c r="L1249" s="11"/>
    </row>
    <row r="1250" spans="1:12" x14ac:dyDescent="0.25">
      <c r="A1250" s="1" t="s">
        <v>35</v>
      </c>
      <c r="B1250" s="1" t="s">
        <v>36</v>
      </c>
      <c r="C1250" s="1" t="s">
        <v>472</v>
      </c>
      <c r="D1250" s="1">
        <v>41.954700000000003</v>
      </c>
      <c r="E1250" s="1">
        <v>-86.412300000000002</v>
      </c>
      <c r="F1250" s="1" t="s">
        <v>1925</v>
      </c>
      <c r="G1250" s="22">
        <v>1501.9647414562094</v>
      </c>
      <c r="H1250" s="20">
        <f ca="1">NOW() - TIME(5,30,0) + (VLOOKUP(MasterTable[[#This Row],[TimeZone]], $O$3:$P$8, 2, FALSE) / 24)</f>
        <v>45990.573544791667</v>
      </c>
      <c r="I1250" s="1" t="s">
        <v>1944</v>
      </c>
      <c r="J1250" s="1">
        <v>457.78</v>
      </c>
      <c r="K1250" s="11"/>
      <c r="L1250" s="11"/>
    </row>
    <row r="1251" spans="1:12" x14ac:dyDescent="0.25">
      <c r="A1251" s="1" t="s">
        <v>35</v>
      </c>
      <c r="B1251" s="1" t="s">
        <v>36</v>
      </c>
      <c r="C1251" s="1" t="s">
        <v>498</v>
      </c>
      <c r="D1251" s="1">
        <v>42.246499999999997</v>
      </c>
      <c r="E1251" s="1">
        <v>-85.005600000000001</v>
      </c>
      <c r="F1251" s="1" t="s">
        <v>1925</v>
      </c>
      <c r="G1251" s="22">
        <v>1576.7800900076056</v>
      </c>
      <c r="H1251" s="20">
        <f ca="1">NOW() - TIME(5,30,0) + (VLOOKUP(MasterTable[[#This Row],[TimeZone]], $O$3:$P$8, 2, FALSE) / 24)</f>
        <v>45990.573544791667</v>
      </c>
      <c r="I1251" s="1" t="s">
        <v>1944</v>
      </c>
      <c r="J1251" s="1">
        <v>612.32000000000005</v>
      </c>
      <c r="K1251" s="11"/>
      <c r="L1251" s="11"/>
    </row>
    <row r="1252" spans="1:12" x14ac:dyDescent="0.25">
      <c r="A1252" s="1" t="s">
        <v>35</v>
      </c>
      <c r="B1252" s="1" t="s">
        <v>36</v>
      </c>
      <c r="C1252" s="1" t="s">
        <v>528</v>
      </c>
      <c r="D1252" s="1">
        <v>42.591299999999997</v>
      </c>
      <c r="E1252" s="1">
        <v>-85.888300000000001</v>
      </c>
      <c r="F1252" s="1" t="s">
        <v>1925</v>
      </c>
      <c r="G1252" s="22">
        <v>1541.6217505288193</v>
      </c>
      <c r="H1252" s="20">
        <f ca="1">NOW() - TIME(5,30,0) + (VLOOKUP(MasterTable[[#This Row],[TimeZone]], $O$3:$P$8, 2, FALSE) / 24)</f>
        <v>45990.573544791667</v>
      </c>
      <c r="I1252" s="1" t="s">
        <v>1944</v>
      </c>
      <c r="J1252" s="1">
        <v>1833.3</v>
      </c>
      <c r="K1252" s="11"/>
      <c r="L1252" s="11"/>
    </row>
    <row r="1253" spans="1:12" x14ac:dyDescent="0.25">
      <c r="A1253" s="1" t="s">
        <v>35</v>
      </c>
      <c r="B1253" s="1" t="s">
        <v>36</v>
      </c>
      <c r="C1253" s="1" t="s">
        <v>557</v>
      </c>
      <c r="D1253" s="1">
        <v>42.5961</v>
      </c>
      <c r="E1253" s="1">
        <v>-84.838300000000004</v>
      </c>
      <c r="F1253" s="1" t="s">
        <v>1925</v>
      </c>
      <c r="G1253" s="22">
        <v>1592.3000858858013</v>
      </c>
      <c r="H1253" s="20">
        <f ca="1">NOW() - TIME(5,30,0) + (VLOOKUP(MasterTable[[#This Row],[TimeZone]], $O$3:$P$8, 2, FALSE) / 24)</f>
        <v>45990.573544791667</v>
      </c>
      <c r="I1253" s="1" t="s">
        <v>1944</v>
      </c>
      <c r="J1253" s="1">
        <v>579.02</v>
      </c>
      <c r="K1253" s="11"/>
      <c r="L1253" s="11"/>
    </row>
    <row r="1254" spans="1:12" x14ac:dyDescent="0.25">
      <c r="A1254" s="1" t="s">
        <v>35</v>
      </c>
      <c r="B1254" s="1" t="s">
        <v>36</v>
      </c>
      <c r="C1254" s="1" t="s">
        <v>403</v>
      </c>
      <c r="D1254" s="1">
        <v>43.707500000000003</v>
      </c>
      <c r="E1254" s="1">
        <v>-83.992400000000004</v>
      </c>
      <c r="F1254" s="1" t="s">
        <v>1925</v>
      </c>
      <c r="G1254" s="22">
        <v>1657.437354791799</v>
      </c>
      <c r="H1254" s="20">
        <f ca="1">NOW() - TIME(5,30,0) + (VLOOKUP(MasterTable[[#This Row],[TimeZone]], $O$3:$P$8, 2, FALSE) / 24)</f>
        <v>45990.573544791667</v>
      </c>
      <c r="I1254" s="1" t="s">
        <v>1944</v>
      </c>
      <c r="J1254" s="1">
        <v>1033.27</v>
      </c>
      <c r="K1254" s="11"/>
      <c r="L1254" s="11"/>
    </row>
    <row r="1255" spans="1:12" x14ac:dyDescent="0.25">
      <c r="A1255" s="1" t="s">
        <v>35</v>
      </c>
      <c r="B1255" s="1" t="s">
        <v>36</v>
      </c>
      <c r="C1255" s="1" t="s">
        <v>598</v>
      </c>
      <c r="D1255" s="1">
        <v>41.895099999999999</v>
      </c>
      <c r="E1255" s="1">
        <v>-84.066400000000002</v>
      </c>
      <c r="F1255" s="1" t="s">
        <v>1925</v>
      </c>
      <c r="G1255" s="22">
        <v>1616.0164497511537</v>
      </c>
      <c r="H1255" s="20">
        <f ca="1">NOW() - TIME(5,30,0) + (VLOOKUP(MasterTable[[#This Row],[TimeZone]], $O$3:$P$8, 2, FALSE) / 24)</f>
        <v>45990.573544791667</v>
      </c>
      <c r="I1255" s="1" t="s">
        <v>1944</v>
      </c>
      <c r="J1255" s="1">
        <v>761.31</v>
      </c>
      <c r="K1255" s="11"/>
      <c r="L1255" s="11"/>
    </row>
    <row r="1256" spans="1:12" x14ac:dyDescent="0.25">
      <c r="A1256" s="1" t="s">
        <v>35</v>
      </c>
      <c r="B1256" s="1" t="s">
        <v>36</v>
      </c>
      <c r="C1256" s="1" t="s">
        <v>610</v>
      </c>
      <c r="D1256" s="1">
        <v>44.668700000000001</v>
      </c>
      <c r="E1256" s="1">
        <v>-85.560500000000005</v>
      </c>
      <c r="F1256" s="1" t="s">
        <v>1925</v>
      </c>
      <c r="G1256" s="22">
        <v>1609.53680521765</v>
      </c>
      <c r="H1256" s="20">
        <f ca="1">NOW() - TIME(5,30,0) + (VLOOKUP(MasterTable[[#This Row],[TimeZone]], $O$3:$P$8, 2, FALSE) / 24)</f>
        <v>45990.573544791667</v>
      </c>
      <c r="I1256" s="1" t="s">
        <v>1944</v>
      </c>
      <c r="J1256" s="1">
        <v>601.13</v>
      </c>
      <c r="K1256" s="11"/>
      <c r="L1256" s="11"/>
    </row>
    <row r="1257" spans="1:12" x14ac:dyDescent="0.25">
      <c r="A1257" s="1" t="s">
        <v>35</v>
      </c>
      <c r="B1257" s="1" t="s">
        <v>36</v>
      </c>
      <c r="C1257" s="1" t="s">
        <v>635</v>
      </c>
      <c r="D1257" s="1">
        <v>43.0901</v>
      </c>
      <c r="E1257" s="1">
        <v>-83.221800000000002</v>
      </c>
      <c r="F1257" s="1" t="s">
        <v>1925</v>
      </c>
      <c r="G1257" s="22">
        <v>1680.6968121930313</v>
      </c>
      <c r="H1257" s="20">
        <f ca="1">NOW() - TIME(5,30,0) + (VLOOKUP(MasterTable[[#This Row],[TimeZone]], $O$3:$P$8, 2, FALSE) / 24)</f>
        <v>45990.573544791667</v>
      </c>
      <c r="I1257" s="1" t="s">
        <v>1944</v>
      </c>
      <c r="J1257" s="1">
        <v>663.08</v>
      </c>
      <c r="K1257" s="11"/>
      <c r="L1257" s="11"/>
    </row>
    <row r="1258" spans="1:12" x14ac:dyDescent="0.25">
      <c r="A1258" s="1" t="s">
        <v>35</v>
      </c>
      <c r="B1258" s="1" t="s">
        <v>36</v>
      </c>
      <c r="C1258" s="1" t="s">
        <v>425</v>
      </c>
      <c r="D1258" s="1">
        <v>43.646799999999999</v>
      </c>
      <c r="E1258" s="1">
        <v>-84.388099999999994</v>
      </c>
      <c r="F1258" s="1" t="s">
        <v>1925</v>
      </c>
      <c r="G1258" s="22">
        <v>1637.40529841035</v>
      </c>
      <c r="H1258" s="20">
        <f ca="1">NOW() - TIME(5,30,0) + (VLOOKUP(MasterTable[[#This Row],[TimeZone]], $O$3:$P$8, 2, FALSE) / 24)</f>
        <v>45990.573544791667</v>
      </c>
      <c r="I1258" s="1" t="s">
        <v>1944</v>
      </c>
      <c r="J1258" s="1">
        <v>527.89</v>
      </c>
      <c r="K1258" s="11"/>
      <c r="L1258" s="15"/>
    </row>
    <row r="1259" spans="1:12" x14ac:dyDescent="0.25">
      <c r="A1259" s="1" t="s">
        <v>35</v>
      </c>
      <c r="B1259" s="1" t="s">
        <v>36</v>
      </c>
      <c r="C1259" s="1" t="s">
        <v>675</v>
      </c>
      <c r="D1259" s="1">
        <v>42.9437</v>
      </c>
      <c r="E1259" s="1">
        <v>-84.601500000000001</v>
      </c>
      <c r="F1259" s="1" t="s">
        <v>1925</v>
      </c>
      <c r="G1259" s="22">
        <v>1611.2661753089928</v>
      </c>
      <c r="H1259" s="20">
        <f ca="1">NOW() - TIME(5,30,0) + (VLOOKUP(MasterTable[[#This Row],[TimeZone]], $O$3:$P$8, 2, FALSE) / 24)</f>
        <v>45990.573544791667</v>
      </c>
      <c r="I1259" s="1" t="s">
        <v>1944</v>
      </c>
      <c r="J1259" s="1">
        <v>503.48</v>
      </c>
      <c r="K1259" s="11"/>
      <c r="L1259" s="11"/>
    </row>
    <row r="1260" spans="1:12" x14ac:dyDescent="0.25">
      <c r="A1260" s="1" t="s">
        <v>35</v>
      </c>
      <c r="B1260" s="1" t="s">
        <v>36</v>
      </c>
      <c r="C1260" s="1" t="s">
        <v>690</v>
      </c>
      <c r="D1260" s="1">
        <v>42.251300000000001</v>
      </c>
      <c r="E1260" s="1">
        <v>-86.018799999999999</v>
      </c>
      <c r="F1260" s="1" t="s">
        <v>1925</v>
      </c>
      <c r="G1260" s="22">
        <v>1527.6424056734227</v>
      </c>
      <c r="H1260" s="20">
        <f ca="1">NOW() - TIME(5,30,0) + (VLOOKUP(MasterTable[[#This Row],[TimeZone]], $O$3:$P$8, 2, FALSE) / 24)</f>
        <v>45990.573544791667</v>
      </c>
      <c r="I1260" s="1" t="s">
        <v>1944</v>
      </c>
      <c r="J1260" s="1">
        <v>724.32</v>
      </c>
      <c r="K1260" s="11"/>
      <c r="L1260" s="11"/>
    </row>
    <row r="1261" spans="1:12" x14ac:dyDescent="0.25">
      <c r="A1261" s="1" t="s">
        <v>35</v>
      </c>
      <c r="B1261" s="1" t="s">
        <v>36</v>
      </c>
      <c r="C1261" s="1" t="s">
        <v>721</v>
      </c>
      <c r="D1261" s="1">
        <v>42.953699999999998</v>
      </c>
      <c r="E1261" s="1">
        <v>-84.146699999999996</v>
      </c>
      <c r="F1261" s="1" t="s">
        <v>1925</v>
      </c>
      <c r="G1261" s="22">
        <v>1633.3179190343833</v>
      </c>
      <c r="H1261" s="20">
        <f ca="1">NOW() - TIME(5,30,0) + (VLOOKUP(MasterTable[[#This Row],[TimeZone]], $O$3:$P$8, 2, FALSE) / 24)</f>
        <v>45990.573544791667</v>
      </c>
      <c r="I1261" s="1" t="s">
        <v>1944</v>
      </c>
      <c r="J1261" s="1">
        <v>540.73</v>
      </c>
      <c r="K1261" s="11"/>
      <c r="L1261" s="11"/>
    </row>
    <row r="1262" spans="1:12" x14ac:dyDescent="0.25">
      <c r="A1262" s="1" t="s">
        <v>35</v>
      </c>
      <c r="B1262" s="1" t="s">
        <v>36</v>
      </c>
      <c r="C1262" s="1" t="s">
        <v>728</v>
      </c>
      <c r="D1262" s="1">
        <v>43.311</v>
      </c>
      <c r="E1262" s="1">
        <v>-85.152500000000003</v>
      </c>
      <c r="F1262" s="1" t="s">
        <v>1925</v>
      </c>
      <c r="G1262" s="22">
        <v>1593.4572969805279</v>
      </c>
      <c r="H1262" s="20">
        <f ca="1">NOW() - TIME(5,30,0) + (VLOOKUP(MasterTable[[#This Row],[TimeZone]], $O$3:$P$8, 2, FALSE) / 24)</f>
        <v>45990.573544791667</v>
      </c>
      <c r="I1262" s="1" t="s">
        <v>1944</v>
      </c>
      <c r="J1262" s="1">
        <v>720.98</v>
      </c>
      <c r="K1262" s="11"/>
      <c r="L1262" s="11"/>
    </row>
    <row r="1263" spans="1:12" x14ac:dyDescent="0.25">
      <c r="A1263" s="1" t="s">
        <v>35</v>
      </c>
      <c r="B1263" s="1" t="s">
        <v>36</v>
      </c>
      <c r="C1263" s="1" t="s">
        <v>734</v>
      </c>
      <c r="D1263" s="1">
        <v>42.945099999999996</v>
      </c>
      <c r="E1263" s="1">
        <v>-85.074600000000004</v>
      </c>
      <c r="F1263" s="1" t="s">
        <v>1925</v>
      </c>
      <c r="G1263" s="22">
        <v>1588.6574340642358</v>
      </c>
      <c r="H1263" s="20">
        <f ca="1">NOW() - TIME(5,30,0) + (VLOOKUP(MasterTable[[#This Row],[TimeZone]], $O$3:$P$8, 2, FALSE) / 24)</f>
        <v>45990.573544791667</v>
      </c>
      <c r="I1263" s="1" t="s">
        <v>1944</v>
      </c>
      <c r="J1263" s="1">
        <v>580.23</v>
      </c>
      <c r="K1263" s="11"/>
      <c r="L1263" s="15"/>
    </row>
    <row r="1264" spans="1:12" x14ac:dyDescent="0.25">
      <c r="A1264" s="1" t="s">
        <v>35</v>
      </c>
      <c r="B1264" s="1" t="s">
        <v>36</v>
      </c>
      <c r="C1264" s="1" t="s">
        <v>737</v>
      </c>
      <c r="D1264" s="1">
        <v>46.4313</v>
      </c>
      <c r="E1264" s="1">
        <v>-87.641599999999997</v>
      </c>
      <c r="F1264" s="1" t="s">
        <v>1925</v>
      </c>
      <c r="G1264" s="22">
        <v>1574.916309695064</v>
      </c>
      <c r="H1264" s="20">
        <f ca="1">NOW() - TIME(5,30,0) + (VLOOKUP(MasterTable[[#This Row],[TimeZone]], $O$3:$P$8, 2, FALSE) / 24)</f>
        <v>45990.573544791667</v>
      </c>
      <c r="I1264" s="1" t="s">
        <v>1944</v>
      </c>
      <c r="J1264" s="1">
        <v>3425.17</v>
      </c>
      <c r="K1264" s="11"/>
      <c r="L1264" s="11"/>
    </row>
    <row r="1265" spans="1:12" x14ac:dyDescent="0.25">
      <c r="A1265" s="1" t="s">
        <v>35</v>
      </c>
      <c r="B1265" s="1" t="s">
        <v>36</v>
      </c>
      <c r="C1265" s="1" t="s">
        <v>753</v>
      </c>
      <c r="D1265" s="1">
        <v>43.640599999999999</v>
      </c>
      <c r="E1265" s="1">
        <v>-84.846800000000002</v>
      </c>
      <c r="F1265" s="1" t="s">
        <v>1925</v>
      </c>
      <c r="G1265" s="22">
        <v>1615.7251412451885</v>
      </c>
      <c r="H1265" s="20">
        <f ca="1">NOW() - TIME(5,30,0) + (VLOOKUP(MasterTable[[#This Row],[TimeZone]], $O$3:$P$8, 2, FALSE) / 24)</f>
        <v>45990.573544791667</v>
      </c>
      <c r="I1265" s="1" t="s">
        <v>1944</v>
      </c>
      <c r="J1265" s="1">
        <v>577.75</v>
      </c>
      <c r="K1265" s="11"/>
      <c r="L1265" s="11"/>
    </row>
    <row r="1266" spans="1:12" x14ac:dyDescent="0.25">
      <c r="A1266" s="1" t="s">
        <v>35</v>
      </c>
      <c r="B1266" s="1" t="s">
        <v>36</v>
      </c>
      <c r="C1266" s="1" t="s">
        <v>761</v>
      </c>
      <c r="D1266" s="1">
        <v>42.594999999999999</v>
      </c>
      <c r="E1266" s="1">
        <v>-85.308999999999997</v>
      </c>
      <c r="F1266" s="1" t="s">
        <v>1925</v>
      </c>
      <c r="G1266" s="22">
        <v>1569.558444410241</v>
      </c>
      <c r="H1266" s="20">
        <f ca="1">NOW() - TIME(5,30,0) + (VLOOKUP(MasterTable[[#This Row],[TimeZone]], $O$3:$P$8, 2, FALSE) / 24)</f>
        <v>45990.573544791667</v>
      </c>
      <c r="I1266" s="1" t="s">
        <v>1944</v>
      </c>
      <c r="J1266" s="1">
        <v>576.9</v>
      </c>
      <c r="K1266" s="11"/>
      <c r="L1266" s="11"/>
    </row>
    <row r="1267" spans="1:12" x14ac:dyDescent="0.25">
      <c r="A1267" s="1" t="s">
        <v>35</v>
      </c>
      <c r="B1267" s="1" t="s">
        <v>36</v>
      </c>
      <c r="C1267" s="1" t="s">
        <v>314</v>
      </c>
      <c r="D1267" s="1">
        <v>41.914400000000001</v>
      </c>
      <c r="E1267" s="1">
        <v>-85.527799999999999</v>
      </c>
      <c r="F1267" s="1" t="s">
        <v>1925</v>
      </c>
      <c r="G1267" s="22">
        <v>1544.3454240926724</v>
      </c>
      <c r="H1267" s="20">
        <f ca="1">NOW() - TIME(5,30,0) + (VLOOKUP(MasterTable[[#This Row],[TimeZone]], $O$3:$P$8, 2, FALSE) / 24)</f>
        <v>45990.573544791667</v>
      </c>
      <c r="I1267" s="1" t="s">
        <v>1944</v>
      </c>
      <c r="J1267" s="1">
        <v>460.97</v>
      </c>
      <c r="K1267" s="11"/>
      <c r="L1267" s="11"/>
    </row>
    <row r="1268" spans="1:12" x14ac:dyDescent="0.25">
      <c r="A1268" s="1" t="s">
        <v>35</v>
      </c>
      <c r="B1268" s="1" t="s">
        <v>36</v>
      </c>
      <c r="C1268" s="1" t="s">
        <v>824</v>
      </c>
      <c r="D1268" s="1">
        <v>43.464100000000002</v>
      </c>
      <c r="E1268" s="1">
        <v>-83.416700000000006</v>
      </c>
      <c r="F1268" s="1" t="s">
        <v>1925</v>
      </c>
      <c r="G1268" s="22">
        <v>1679.2523739451344</v>
      </c>
      <c r="H1268" s="20">
        <f ca="1">NOW() - TIME(5,30,0) + (VLOOKUP(MasterTable[[#This Row],[TimeZone]], $O$3:$P$8, 2, FALSE) / 24)</f>
        <v>45990.573544791667</v>
      </c>
      <c r="I1268" s="1" t="s">
        <v>1944</v>
      </c>
      <c r="J1268" s="1">
        <v>913.82</v>
      </c>
      <c r="K1268" s="11"/>
      <c r="L1268" s="11"/>
    </row>
    <row r="1269" spans="1:12" x14ac:dyDescent="0.25">
      <c r="A1269" s="1" t="s">
        <v>35</v>
      </c>
      <c r="B1269" s="1" t="s">
        <v>36</v>
      </c>
      <c r="C1269" s="1" t="s">
        <v>392</v>
      </c>
      <c r="D1269" s="1">
        <v>41.915399999999998</v>
      </c>
      <c r="E1269" s="1">
        <v>-85.993499999999997</v>
      </c>
      <c r="F1269" s="1" t="s">
        <v>1925</v>
      </c>
      <c r="G1269" s="22">
        <v>1521.5532036304253</v>
      </c>
      <c r="H1269" s="20">
        <f ca="1">NOW() - TIME(5,30,0) + (VLOOKUP(MasterTable[[#This Row],[TimeZone]], $O$3:$P$8, 2, FALSE) / 24)</f>
        <v>45990.573544791667</v>
      </c>
      <c r="I1269" s="1" t="s">
        <v>1944</v>
      </c>
      <c r="J1269" s="1">
        <v>383.73</v>
      </c>
      <c r="K1269" s="11"/>
      <c r="L1269" s="11"/>
    </row>
    <row r="1270" spans="1:12" x14ac:dyDescent="0.25">
      <c r="A1270" s="1" t="s">
        <v>35</v>
      </c>
      <c r="B1270" s="1" t="s">
        <v>36</v>
      </c>
      <c r="C1270" s="1" t="s">
        <v>841</v>
      </c>
      <c r="D1270" s="1">
        <v>43.554200000000002</v>
      </c>
      <c r="E1270" s="1">
        <v>-85.800899999999999</v>
      </c>
      <c r="F1270" s="1" t="s">
        <v>1925</v>
      </c>
      <c r="G1270" s="22">
        <v>1569.003831325756</v>
      </c>
      <c r="H1270" s="20">
        <f ca="1">NOW() - TIME(5,30,0) + (VLOOKUP(MasterTable[[#This Row],[TimeZone]], $O$3:$P$8, 2, FALSE) / 24)</f>
        <v>45990.573544791667</v>
      </c>
      <c r="I1270" s="1" t="s">
        <v>1944</v>
      </c>
      <c r="J1270" s="1">
        <v>861.39</v>
      </c>
      <c r="K1270" s="11"/>
      <c r="L1270" s="11"/>
    </row>
    <row r="1271" spans="1:12" x14ac:dyDescent="0.25">
      <c r="A1271" s="1" t="s">
        <v>35</v>
      </c>
      <c r="B1271" s="1" t="s">
        <v>36</v>
      </c>
      <c r="C1271" s="1" t="s">
        <v>884</v>
      </c>
      <c r="D1271" s="1">
        <v>41.887799999999999</v>
      </c>
      <c r="E1271" s="1">
        <v>-84.5929</v>
      </c>
      <c r="F1271" s="1" t="s">
        <v>1925</v>
      </c>
      <c r="G1271" s="22">
        <v>1589.8380425795895</v>
      </c>
      <c r="H1271" s="20">
        <f ca="1">NOW() - TIME(5,30,0) + (VLOOKUP(MasterTable[[#This Row],[TimeZone]], $O$3:$P$8, 2, FALSE) / 24)</f>
        <v>45990.573544791667</v>
      </c>
      <c r="I1271" s="1" t="s">
        <v>1944</v>
      </c>
      <c r="J1271" s="1">
        <v>607.14</v>
      </c>
      <c r="K1271" s="11"/>
      <c r="L1271" s="11"/>
    </row>
    <row r="1272" spans="1:12" x14ac:dyDescent="0.25">
      <c r="A1272" s="1" t="s">
        <v>35</v>
      </c>
      <c r="B1272" s="1" t="s">
        <v>36</v>
      </c>
      <c r="C1272" s="1" t="s">
        <v>890</v>
      </c>
      <c r="D1272" s="1">
        <v>41.9161</v>
      </c>
      <c r="E1272" s="1">
        <v>-85.058999999999997</v>
      </c>
      <c r="F1272" s="1" t="s">
        <v>1925</v>
      </c>
      <c r="G1272" s="22">
        <v>1567.4159854548952</v>
      </c>
      <c r="H1272" s="20">
        <f ca="1">NOW() - TIME(5,30,0) + (VLOOKUP(MasterTable[[#This Row],[TimeZone]], $O$3:$P$8, 2, FALSE) / 24)</f>
        <v>45990.573544791667</v>
      </c>
      <c r="I1272" s="1" t="s">
        <v>1944</v>
      </c>
      <c r="J1272" s="1">
        <v>519.49</v>
      </c>
      <c r="K1272" s="11"/>
      <c r="L1272" s="15"/>
    </row>
    <row r="1273" spans="1:12" x14ac:dyDescent="0.25">
      <c r="A1273" s="1" t="s">
        <v>35</v>
      </c>
      <c r="B1273" s="1" t="s">
        <v>36</v>
      </c>
      <c r="C1273" s="1" t="s">
        <v>934</v>
      </c>
      <c r="D1273" s="1">
        <v>43.292700000000004</v>
      </c>
      <c r="E1273" s="1">
        <v>-84.604900000000001</v>
      </c>
      <c r="F1273" s="1" t="s">
        <v>1925</v>
      </c>
      <c r="G1273" s="22">
        <v>1618.9496884324503</v>
      </c>
      <c r="H1273" s="20">
        <f ca="1">NOW() - TIME(5,30,0) + (VLOOKUP(MasterTable[[#This Row],[TimeZone]], $O$3:$P$8, 2, FALSE) / 24)</f>
        <v>45990.573544791667</v>
      </c>
      <c r="I1273" s="1" t="s">
        <v>1944</v>
      </c>
      <c r="J1273" s="1">
        <v>571.61</v>
      </c>
      <c r="K1273" s="11"/>
      <c r="L1273" s="11"/>
    </row>
    <row r="1274" spans="1:12" x14ac:dyDescent="0.25">
      <c r="A1274" s="1" t="s">
        <v>35</v>
      </c>
      <c r="B1274" s="1" t="s">
        <v>36</v>
      </c>
      <c r="C1274" s="1" t="s">
        <v>945</v>
      </c>
      <c r="D1274" s="1">
        <v>43.4236</v>
      </c>
      <c r="E1274" s="1">
        <v>-82.820300000000003</v>
      </c>
      <c r="F1274" s="1" t="s">
        <v>1925</v>
      </c>
      <c r="G1274" s="22">
        <v>1706.8650003549978</v>
      </c>
      <c r="H1274" s="20">
        <f ca="1">NOW() - TIME(5,30,0) + (VLOOKUP(MasterTable[[#This Row],[TimeZone]], $O$3:$P$8, 2, FALSE) / 24)</f>
        <v>45990.573544791667</v>
      </c>
      <c r="I1274" s="1" t="s">
        <v>1944</v>
      </c>
      <c r="J1274" s="1">
        <v>1590.22</v>
      </c>
      <c r="K1274" s="11"/>
      <c r="L1274" s="11"/>
    </row>
    <row r="1275" spans="1:12" x14ac:dyDescent="0.25">
      <c r="A1275" s="1" t="s">
        <v>35</v>
      </c>
      <c r="B1275" s="1" t="s">
        <v>36</v>
      </c>
      <c r="C1275" s="1" t="s">
        <v>946</v>
      </c>
      <c r="D1275" s="1">
        <v>43.640799999999999</v>
      </c>
      <c r="E1275" s="1">
        <v>-85.324600000000004</v>
      </c>
      <c r="F1275" s="1" t="s">
        <v>1925</v>
      </c>
      <c r="G1275" s="22">
        <v>1593.3857094027919</v>
      </c>
      <c r="H1275" s="20">
        <f ca="1">NOW() - TIME(5,30,0) + (VLOOKUP(MasterTable[[#This Row],[TimeZone]], $O$3:$P$8, 2, FALSE) / 24)</f>
        <v>45990.573544791667</v>
      </c>
      <c r="I1275" s="1" t="s">
        <v>1944</v>
      </c>
      <c r="J1275" s="1">
        <v>571.1</v>
      </c>
      <c r="K1275" s="11"/>
      <c r="L1275" s="11"/>
    </row>
    <row r="1276" spans="1:12" x14ac:dyDescent="0.25">
      <c r="A1276" s="1" t="s">
        <v>35</v>
      </c>
      <c r="B1276" s="1" t="s">
        <v>36</v>
      </c>
      <c r="C1276" s="1" t="s">
        <v>982</v>
      </c>
      <c r="D1276" s="1">
        <v>46.897599999999997</v>
      </c>
      <c r="E1276" s="1">
        <v>-88.6875</v>
      </c>
      <c r="F1276" s="1" t="s">
        <v>1925</v>
      </c>
      <c r="G1276" s="22">
        <v>1549.5758339731281</v>
      </c>
      <c r="H1276" s="20">
        <f ca="1">NOW() - TIME(5,30,0) + (VLOOKUP(MasterTable[[#This Row],[TimeZone]], $O$3:$P$8, 2, FALSE) / 24)</f>
        <v>45990.573544791667</v>
      </c>
      <c r="I1276" s="1" t="s">
        <v>1944</v>
      </c>
      <c r="J1276" s="1">
        <v>1501.56</v>
      </c>
      <c r="K1276" s="11"/>
      <c r="L1276" s="11"/>
    </row>
    <row r="1277" spans="1:12" x14ac:dyDescent="0.25">
      <c r="A1277" s="1" t="s">
        <v>35</v>
      </c>
      <c r="B1277" s="1" t="s">
        <v>36</v>
      </c>
      <c r="C1277" s="1" t="s">
        <v>991</v>
      </c>
      <c r="D1277" s="1">
        <v>45.9193</v>
      </c>
      <c r="E1277" s="1">
        <v>-86.924099999999996</v>
      </c>
      <c r="F1277" s="1" t="s">
        <v>1925</v>
      </c>
      <c r="G1277" s="22">
        <v>1587.5927021723221</v>
      </c>
      <c r="H1277" s="20">
        <f ca="1">NOW() - TIME(5,30,0) + (VLOOKUP(MasterTable[[#This Row],[TimeZone]], $O$3:$P$8, 2, FALSE) / 24)</f>
        <v>45990.573544791667</v>
      </c>
      <c r="I1277" s="1" t="s">
        <v>1944</v>
      </c>
      <c r="J1277" s="1">
        <v>1148.52</v>
      </c>
      <c r="K1277" s="11"/>
      <c r="L1277" s="11"/>
    </row>
    <row r="1278" spans="1:12" x14ac:dyDescent="0.25">
      <c r="A1278" s="1" t="s">
        <v>35</v>
      </c>
      <c r="B1278" s="1" t="s">
        <v>36</v>
      </c>
      <c r="C1278" s="1" t="s">
        <v>735</v>
      </c>
      <c r="D1278" s="1">
        <v>46.305300000000003</v>
      </c>
      <c r="E1278" s="1">
        <v>-84.578000000000003</v>
      </c>
      <c r="F1278" s="1" t="s">
        <v>1925</v>
      </c>
      <c r="G1278" s="22">
        <v>1699.8917608546385</v>
      </c>
      <c r="H1278" s="20">
        <f ca="1">NOW() - TIME(5,30,0) + (VLOOKUP(MasterTable[[#This Row],[TimeZone]], $O$3:$P$8, 2, FALSE) / 24)</f>
        <v>45990.573544791667</v>
      </c>
      <c r="I1278" s="1" t="s">
        <v>1944</v>
      </c>
      <c r="J1278" s="1">
        <v>2697.98</v>
      </c>
      <c r="K1278" s="11"/>
      <c r="L1278" s="11"/>
    </row>
    <row r="1279" spans="1:12" x14ac:dyDescent="0.25">
      <c r="A1279" s="1" t="s">
        <v>35</v>
      </c>
      <c r="B1279" s="1" t="s">
        <v>36</v>
      </c>
      <c r="C1279" s="1" t="s">
        <v>1025</v>
      </c>
      <c r="D1279" s="1">
        <v>45.520200000000003</v>
      </c>
      <c r="E1279" s="1">
        <v>-84.8904</v>
      </c>
      <c r="F1279" s="1" t="s">
        <v>1925</v>
      </c>
      <c r="G1279" s="22">
        <v>1663.3404681907625</v>
      </c>
      <c r="H1279" s="20">
        <f ca="1">NOW() - TIME(5,30,0) + (VLOOKUP(MasterTable[[#This Row],[TimeZone]], $O$3:$P$8, 2, FALSE) / 24)</f>
        <v>45990.573544791667</v>
      </c>
      <c r="I1279" s="1" t="s">
        <v>1944</v>
      </c>
      <c r="J1279" s="1">
        <v>402.38</v>
      </c>
      <c r="K1279" s="11"/>
      <c r="L1279" s="11"/>
    </row>
    <row r="1280" spans="1:12" x14ac:dyDescent="0.25">
      <c r="A1280" s="1" t="s">
        <v>35</v>
      </c>
      <c r="B1280" s="1" t="s">
        <v>36</v>
      </c>
      <c r="C1280" s="1" t="s">
        <v>1030</v>
      </c>
      <c r="D1280" s="1">
        <v>44.338299999999997</v>
      </c>
      <c r="E1280" s="1">
        <v>-85.578500000000005</v>
      </c>
      <c r="F1280" s="1" t="s">
        <v>1925</v>
      </c>
      <c r="G1280" s="22">
        <v>1599.7133271937571</v>
      </c>
      <c r="H1280" s="20">
        <f ca="1">NOW() - TIME(5,30,0) + (VLOOKUP(MasterTable[[#This Row],[TimeZone]], $O$3:$P$8, 2, FALSE) / 24)</f>
        <v>45990.573544791667</v>
      </c>
      <c r="I1280" s="1" t="s">
        <v>1944</v>
      </c>
      <c r="J1280" s="1">
        <v>575.84</v>
      </c>
      <c r="K1280" s="11"/>
      <c r="L1280" s="11"/>
    </row>
    <row r="1281" spans="1:12" x14ac:dyDescent="0.25">
      <c r="A1281" s="1" t="s">
        <v>35</v>
      </c>
      <c r="B1281" s="1" t="s">
        <v>36</v>
      </c>
      <c r="C1281" s="1" t="s">
        <v>792</v>
      </c>
      <c r="D1281" s="1">
        <v>43.833300000000001</v>
      </c>
      <c r="E1281" s="1">
        <v>-83.019000000000005</v>
      </c>
      <c r="F1281" s="1" t="s">
        <v>1925</v>
      </c>
      <c r="G1281" s="22">
        <v>1706.1845731484962</v>
      </c>
      <c r="H1281" s="20">
        <f ca="1">NOW() - TIME(5,30,0) + (VLOOKUP(MasterTable[[#This Row],[TimeZone]], $O$3:$P$8, 2, FALSE) / 24)</f>
        <v>45990.573544791667</v>
      </c>
      <c r="I1281" s="1" t="s">
        <v>1944</v>
      </c>
      <c r="J1281" s="1">
        <v>2136.4699999999998</v>
      </c>
      <c r="K1281" s="11"/>
      <c r="L1281" s="11"/>
    </row>
    <row r="1282" spans="1:12" x14ac:dyDescent="0.25">
      <c r="A1282" s="1" t="s">
        <v>35</v>
      </c>
      <c r="B1282" s="1" t="s">
        <v>36</v>
      </c>
      <c r="C1282" s="1" t="s">
        <v>1055</v>
      </c>
      <c r="D1282" s="1">
        <v>43.987900000000003</v>
      </c>
      <c r="E1282" s="1">
        <v>-84.847800000000007</v>
      </c>
      <c r="F1282" s="1" t="s">
        <v>1925</v>
      </c>
      <c r="G1282" s="22">
        <v>1624.2023701549454</v>
      </c>
      <c r="H1282" s="20">
        <f ca="1">NOW() - TIME(5,30,0) + (VLOOKUP(MasterTable[[#This Row],[TimeZone]], $O$3:$P$8, 2, FALSE) / 24)</f>
        <v>45990.573544791667</v>
      </c>
      <c r="I1282" s="1" t="s">
        <v>1944</v>
      </c>
      <c r="J1282" s="1">
        <v>575.22</v>
      </c>
      <c r="K1282" s="11"/>
      <c r="L1282" s="11"/>
    </row>
    <row r="1283" spans="1:12" x14ac:dyDescent="0.25">
      <c r="A1283" s="1" t="s">
        <v>35</v>
      </c>
      <c r="B1283" s="1" t="s">
        <v>36</v>
      </c>
      <c r="C1283" s="1" t="s">
        <v>730</v>
      </c>
      <c r="D1283" s="1">
        <v>43.995199999999997</v>
      </c>
      <c r="E1283" s="1">
        <v>-86.25</v>
      </c>
      <c r="F1283" s="1" t="s">
        <v>1925</v>
      </c>
      <c r="G1283" s="22">
        <v>1559.8162166353391</v>
      </c>
      <c r="H1283" s="20">
        <f ca="1">NOW() - TIME(5,30,0) + (VLOOKUP(MasterTable[[#This Row],[TimeZone]], $O$3:$P$8, 2, FALSE) / 24)</f>
        <v>45990.573544791667</v>
      </c>
      <c r="I1283" s="1" t="s">
        <v>1944</v>
      </c>
      <c r="J1283" s="1">
        <v>563.37</v>
      </c>
      <c r="K1283" s="11"/>
      <c r="L1283" s="11"/>
    </row>
    <row r="1284" spans="1:12" x14ac:dyDescent="0.25">
      <c r="A1284" s="1" t="s">
        <v>35</v>
      </c>
      <c r="B1284" s="1" t="s">
        <v>36</v>
      </c>
      <c r="C1284" s="1" t="s">
        <v>1092</v>
      </c>
      <c r="D1284" s="1">
        <v>45.034799999999997</v>
      </c>
      <c r="E1284" s="1">
        <v>-83.628200000000007</v>
      </c>
      <c r="F1284" s="1" t="s">
        <v>1925</v>
      </c>
      <c r="G1284" s="22">
        <v>1706.6226680018381</v>
      </c>
      <c r="H1284" s="20">
        <f ca="1">NOW() - TIME(5,30,0) + (VLOOKUP(MasterTable[[#This Row],[TimeZone]], $O$3:$P$8, 2, FALSE) / 24)</f>
        <v>45990.573544791667</v>
      </c>
      <c r="I1284" s="1" t="s">
        <v>1944</v>
      </c>
      <c r="J1284" s="1">
        <v>1695</v>
      </c>
      <c r="K1284" s="11"/>
      <c r="L1284" s="11"/>
    </row>
    <row r="1285" spans="1:12" x14ac:dyDescent="0.25">
      <c r="A1285" s="1" t="s">
        <v>35</v>
      </c>
      <c r="B1285" s="1" t="s">
        <v>36</v>
      </c>
      <c r="C1285" s="1" t="s">
        <v>1132</v>
      </c>
      <c r="D1285" s="1">
        <v>43.640999999999998</v>
      </c>
      <c r="E1285" s="1">
        <v>-86.267499999999998</v>
      </c>
      <c r="F1285" s="1" t="s">
        <v>1925</v>
      </c>
      <c r="G1285" s="22">
        <v>1549.5738580662537</v>
      </c>
      <c r="H1285" s="20">
        <f ca="1">NOW() - TIME(5,30,0) + (VLOOKUP(MasterTable[[#This Row],[TimeZone]], $O$3:$P$8, 2, FALSE) / 24)</f>
        <v>45990.573544791667</v>
      </c>
      <c r="I1285" s="1" t="s">
        <v>1944</v>
      </c>
      <c r="J1285" s="1">
        <v>1306.73</v>
      </c>
      <c r="K1285" s="11"/>
      <c r="L1285" s="11"/>
    </row>
    <row r="1286" spans="1:12" x14ac:dyDescent="0.25">
      <c r="A1286" s="1" t="s">
        <v>35</v>
      </c>
      <c r="B1286" s="1" t="s">
        <v>36</v>
      </c>
      <c r="C1286" s="1" t="s">
        <v>1142</v>
      </c>
      <c r="D1286" s="1">
        <v>45.299500000000002</v>
      </c>
      <c r="E1286" s="1">
        <v>-85.123999999999995</v>
      </c>
      <c r="F1286" s="1" t="s">
        <v>1925</v>
      </c>
      <c r="G1286" s="22">
        <v>1646.7252510306193</v>
      </c>
      <c r="H1286" s="20">
        <f ca="1">NOW() - TIME(5,30,0) + (VLOOKUP(MasterTable[[#This Row],[TimeZone]], $O$3:$P$8, 2, FALSE) / 24)</f>
        <v>45990.573544791667</v>
      </c>
      <c r="I1286" s="1" t="s">
        <v>1944</v>
      </c>
      <c r="J1286" s="1">
        <v>1390.76</v>
      </c>
      <c r="K1286" s="11"/>
      <c r="L1286" s="11"/>
    </row>
    <row r="1287" spans="1:12" x14ac:dyDescent="0.25">
      <c r="A1287" s="1" t="s">
        <v>35</v>
      </c>
      <c r="B1287" s="1" t="s">
        <v>36</v>
      </c>
      <c r="C1287" s="1" t="s">
        <v>1145</v>
      </c>
      <c r="D1287" s="1">
        <v>46.0092</v>
      </c>
      <c r="E1287" s="1">
        <v>-87.8703</v>
      </c>
      <c r="F1287" s="1" t="s">
        <v>1922</v>
      </c>
      <c r="G1287" s="22">
        <v>1550.8450031506825</v>
      </c>
      <c r="H1287" s="20">
        <f ca="1">NOW() - TIME(5,30,0) + (VLOOKUP(MasterTable[[#This Row],[TimeZone]], $O$3:$P$8, 2, FALSE) / 24)</f>
        <v>45990.531878125003</v>
      </c>
      <c r="I1287" s="1" t="s">
        <v>1944</v>
      </c>
      <c r="J1287" s="1">
        <v>403.69</v>
      </c>
      <c r="K1287" s="11"/>
      <c r="L1287" s="11"/>
    </row>
    <row r="1288" spans="1:12" x14ac:dyDescent="0.25">
      <c r="A1288" s="1" t="s">
        <v>35</v>
      </c>
      <c r="B1288" s="1" t="s">
        <v>36</v>
      </c>
      <c r="C1288" s="1" t="s">
        <v>1149</v>
      </c>
      <c r="D1288" s="1">
        <v>45.446300000000001</v>
      </c>
      <c r="E1288" s="1">
        <v>-84.499899999999997</v>
      </c>
      <c r="F1288" s="1" t="s">
        <v>1925</v>
      </c>
      <c r="G1288" s="22">
        <v>1678.5239703970778</v>
      </c>
      <c r="H1288" s="20">
        <f ca="1">NOW() - TIME(5,30,0) + (VLOOKUP(MasterTable[[#This Row],[TimeZone]], $O$3:$P$8, 2, FALSE) / 24)</f>
        <v>45990.573544791667</v>
      </c>
      <c r="I1288" s="1" t="s">
        <v>1944</v>
      </c>
      <c r="J1288" s="1">
        <v>885.23</v>
      </c>
      <c r="K1288" s="11"/>
      <c r="L1288" s="11"/>
    </row>
    <row r="1289" spans="1:12" x14ac:dyDescent="0.25">
      <c r="A1289" s="1" t="s">
        <v>35</v>
      </c>
      <c r="B1289" s="1" t="s">
        <v>36</v>
      </c>
      <c r="C1289" s="1" t="s">
        <v>1154</v>
      </c>
      <c r="D1289" s="1">
        <v>43.990699999999997</v>
      </c>
      <c r="E1289" s="1">
        <v>-84.388300000000001</v>
      </c>
      <c r="F1289" s="1" t="s">
        <v>1925</v>
      </c>
      <c r="G1289" s="22">
        <v>1645.6133939958274</v>
      </c>
      <c r="H1289" s="20">
        <f ca="1">NOW() - TIME(5,30,0) + (VLOOKUP(MasterTable[[#This Row],[TimeZone]], $O$3:$P$8, 2, FALSE) / 24)</f>
        <v>45990.573544791667</v>
      </c>
      <c r="I1289" s="1" t="s">
        <v>1944</v>
      </c>
      <c r="J1289" s="1">
        <v>516.42999999999995</v>
      </c>
      <c r="K1289" s="11"/>
      <c r="L1289" s="11"/>
    </row>
    <row r="1290" spans="1:12" x14ac:dyDescent="0.25">
      <c r="A1290" s="1" t="s">
        <v>35</v>
      </c>
      <c r="B1290" s="1" t="s">
        <v>36</v>
      </c>
      <c r="C1290" s="1" t="s">
        <v>781</v>
      </c>
      <c r="D1290" s="1">
        <v>45.0214</v>
      </c>
      <c r="E1290" s="1">
        <v>-84.599000000000004</v>
      </c>
      <c r="F1290" s="1" t="s">
        <v>1925</v>
      </c>
      <c r="G1290" s="22">
        <v>1662.4399364174737</v>
      </c>
      <c r="H1290" s="20">
        <f ca="1">NOW() - TIME(5,30,0) + (VLOOKUP(MasterTable[[#This Row],[TimeZone]], $O$3:$P$8, 2, FALSE) / 24)</f>
        <v>45990.573544791667</v>
      </c>
      <c r="I1290" s="1" t="s">
        <v>1944</v>
      </c>
      <c r="J1290" s="1">
        <v>525.98</v>
      </c>
      <c r="K1290" s="11"/>
      <c r="L1290" s="11"/>
    </row>
    <row r="1291" spans="1:12" x14ac:dyDescent="0.25">
      <c r="A1291" s="1" t="s">
        <v>35</v>
      </c>
      <c r="B1291" s="1" t="s">
        <v>36</v>
      </c>
      <c r="C1291" s="1" t="s">
        <v>1159</v>
      </c>
      <c r="D1291" s="1">
        <v>44.355899999999998</v>
      </c>
      <c r="E1291" s="1">
        <v>-83.635900000000007</v>
      </c>
      <c r="F1291" s="1" t="s">
        <v>1925</v>
      </c>
      <c r="G1291" s="22">
        <v>1689.3788202190901</v>
      </c>
      <c r="H1291" s="20">
        <f ca="1">NOW() - TIME(5,30,0) + (VLOOKUP(MasterTable[[#This Row],[TimeZone]], $O$3:$P$8, 2, FALSE) / 24)</f>
        <v>45990.573544791667</v>
      </c>
      <c r="I1291" s="1" t="s">
        <v>1944</v>
      </c>
      <c r="J1291" s="1">
        <v>1890.77</v>
      </c>
      <c r="K1291" s="11"/>
      <c r="L1291" s="11"/>
    </row>
    <row r="1292" spans="1:12" x14ac:dyDescent="0.25">
      <c r="A1292" s="1" t="s">
        <v>35</v>
      </c>
      <c r="B1292" s="1" t="s">
        <v>36</v>
      </c>
      <c r="C1292" s="1" t="s">
        <v>1163</v>
      </c>
      <c r="D1292" s="1">
        <v>44.332999999999998</v>
      </c>
      <c r="E1292" s="1">
        <v>-86.056799999999996</v>
      </c>
      <c r="F1292" s="1" t="s">
        <v>1925</v>
      </c>
      <c r="G1292" s="22">
        <v>1577.8446181576014</v>
      </c>
      <c r="H1292" s="20">
        <f ca="1">NOW() - TIME(5,30,0) + (VLOOKUP(MasterTable[[#This Row],[TimeZone]], $O$3:$P$8, 2, FALSE) / 24)</f>
        <v>45990.573544791667</v>
      </c>
      <c r="I1292" s="1" t="s">
        <v>1944</v>
      </c>
      <c r="J1292" s="1">
        <v>1280.77</v>
      </c>
      <c r="K1292" s="11"/>
      <c r="L1292" s="11"/>
    </row>
    <row r="1293" spans="1:12" x14ac:dyDescent="0.25">
      <c r="A1293" s="1" t="s">
        <v>35</v>
      </c>
      <c r="B1293" s="1" t="s">
        <v>36</v>
      </c>
      <c r="C1293" s="1" t="s">
        <v>1191</v>
      </c>
      <c r="D1293" s="1">
        <v>44.999099999999999</v>
      </c>
      <c r="E1293" s="1">
        <v>-85.140199999999993</v>
      </c>
      <c r="F1293" s="1" t="s">
        <v>1925</v>
      </c>
      <c r="G1293" s="22">
        <v>1637.5590825016106</v>
      </c>
      <c r="H1293" s="20">
        <f ca="1">NOW() - TIME(5,30,0) + (VLOOKUP(MasterTable[[#This Row],[TimeZone]], $O$3:$P$8, 2, FALSE) / 24)</f>
        <v>45990.573544791667</v>
      </c>
      <c r="I1293" s="1" t="s">
        <v>1944</v>
      </c>
      <c r="J1293" s="1">
        <v>601.9</v>
      </c>
      <c r="K1293" s="11"/>
      <c r="L1293" s="11"/>
    </row>
    <row r="1294" spans="1:12" x14ac:dyDescent="0.25">
      <c r="A1294" s="1" t="s">
        <v>35</v>
      </c>
      <c r="B1294" s="1" t="s">
        <v>36</v>
      </c>
      <c r="C1294" s="1" t="s">
        <v>1194</v>
      </c>
      <c r="D1294" s="1">
        <v>44.335599999999999</v>
      </c>
      <c r="E1294" s="1">
        <v>-84.611599999999996</v>
      </c>
      <c r="F1294" s="1" t="s">
        <v>1925</v>
      </c>
      <c r="G1294" s="22">
        <v>1643.8688366683241</v>
      </c>
      <c r="H1294" s="20">
        <f ca="1">NOW() - TIME(5,30,0) + (VLOOKUP(MasterTable[[#This Row],[TimeZone]], $O$3:$P$8, 2, FALSE) / 24)</f>
        <v>45990.573544791667</v>
      </c>
      <c r="I1294" s="1" t="s">
        <v>1944</v>
      </c>
      <c r="J1294" s="1">
        <v>579.84</v>
      </c>
      <c r="K1294" s="11"/>
      <c r="L1294" s="11"/>
    </row>
    <row r="1295" spans="1:12" x14ac:dyDescent="0.25">
      <c r="A1295" s="1" t="s">
        <v>35</v>
      </c>
      <c r="B1295" s="1" t="s">
        <v>36</v>
      </c>
      <c r="C1295" s="1" t="s">
        <v>1203</v>
      </c>
      <c r="D1295" s="1">
        <v>45.580100000000002</v>
      </c>
      <c r="E1295" s="1">
        <v>-87.556600000000003</v>
      </c>
      <c r="F1295" s="1" t="s">
        <v>1925</v>
      </c>
      <c r="G1295" s="22">
        <v>1549.6313591657693</v>
      </c>
      <c r="H1295" s="20">
        <f ca="1">NOW() - TIME(5,30,0) + (VLOOKUP(MasterTable[[#This Row],[TimeZone]], $O$3:$P$8, 2, FALSE) / 24)</f>
        <v>45990.573544791667</v>
      </c>
      <c r="I1295" s="1" t="s">
        <v>1944</v>
      </c>
      <c r="J1295" s="1">
        <v>1337.99</v>
      </c>
      <c r="K1295" s="11"/>
      <c r="L1295" s="11"/>
    </row>
    <row r="1296" spans="1:12" x14ac:dyDescent="0.25">
      <c r="A1296" s="1" t="s">
        <v>35</v>
      </c>
      <c r="B1296" s="1" t="s">
        <v>36</v>
      </c>
      <c r="C1296" s="1" t="s">
        <v>239</v>
      </c>
      <c r="D1296" s="1">
        <v>43.989800000000002</v>
      </c>
      <c r="E1296" s="1">
        <v>-85.325199999999995</v>
      </c>
      <c r="F1296" s="1" t="s">
        <v>1925</v>
      </c>
      <c r="G1296" s="22">
        <v>1602.1674076720626</v>
      </c>
      <c r="H1296" s="20">
        <f ca="1">NOW() - TIME(5,30,0) + (VLOOKUP(MasterTable[[#This Row],[TimeZone]], $O$3:$P$8, 2, FALSE) / 24)</f>
        <v>45990.573544791667</v>
      </c>
      <c r="I1296" s="1" t="s">
        <v>1944</v>
      </c>
      <c r="J1296" s="1">
        <v>1506.35</v>
      </c>
      <c r="K1296" s="11"/>
      <c r="L1296" s="11"/>
    </row>
    <row r="1297" spans="1:12" x14ac:dyDescent="0.25">
      <c r="A1297" s="1" t="s">
        <v>35</v>
      </c>
      <c r="B1297" s="1" t="s">
        <v>36</v>
      </c>
      <c r="C1297" s="1" t="s">
        <v>1215</v>
      </c>
      <c r="D1297" s="1">
        <v>44.938499999999998</v>
      </c>
      <c r="E1297" s="1">
        <v>-85.811999999999998</v>
      </c>
      <c r="F1297" s="1" t="s">
        <v>1925</v>
      </c>
      <c r="G1297" s="22">
        <v>1605.8708924471216</v>
      </c>
      <c r="H1297" s="20">
        <f ca="1">NOW() - TIME(5,30,0) + (VLOOKUP(MasterTable[[#This Row],[TimeZone]], $O$3:$P$8, 2, FALSE) / 24)</f>
        <v>45990.573544791667</v>
      </c>
      <c r="I1297" s="1" t="s">
        <v>1944</v>
      </c>
      <c r="J1297" s="1">
        <v>2532.38</v>
      </c>
      <c r="K1297" s="11"/>
      <c r="L1297" s="11"/>
    </row>
    <row r="1298" spans="1:12" x14ac:dyDescent="0.25">
      <c r="A1298" s="1" t="s">
        <v>35</v>
      </c>
      <c r="B1298" s="1" t="s">
        <v>36</v>
      </c>
      <c r="C1298" s="1" t="s">
        <v>1253</v>
      </c>
      <c r="D1298" s="1">
        <v>44.335000000000001</v>
      </c>
      <c r="E1298" s="1">
        <v>-84.126400000000004</v>
      </c>
      <c r="F1298" s="1" t="s">
        <v>1925</v>
      </c>
      <c r="G1298" s="22">
        <v>1666.1955583592783</v>
      </c>
      <c r="H1298" s="20">
        <f ca="1">NOW() - TIME(5,30,0) + (VLOOKUP(MasterTable[[#This Row],[TimeZone]], $O$3:$P$8, 2, FALSE) / 24)</f>
        <v>45990.573544791667</v>
      </c>
      <c r="I1298" s="1" t="s">
        <v>1944</v>
      </c>
      <c r="J1298" s="1">
        <v>574.63</v>
      </c>
      <c r="K1298" s="11"/>
      <c r="L1298" s="11"/>
    </row>
    <row r="1299" spans="1:12" x14ac:dyDescent="0.25">
      <c r="A1299" s="1" t="s">
        <v>35</v>
      </c>
      <c r="B1299" s="1" t="s">
        <v>36</v>
      </c>
      <c r="C1299" s="1" t="s">
        <v>1320</v>
      </c>
      <c r="D1299" s="1">
        <v>44.6387</v>
      </c>
      <c r="E1299" s="1">
        <v>-86.015500000000003</v>
      </c>
      <c r="F1299" s="1" t="s">
        <v>1925</v>
      </c>
      <c r="G1299" s="22">
        <v>1588.2449821866048</v>
      </c>
      <c r="H1299" s="20">
        <f ca="1">NOW() - TIME(5,30,0) + (VLOOKUP(MasterTable[[#This Row],[TimeZone]], $O$3:$P$8, 2, FALSE) / 24)</f>
        <v>45990.573544791667</v>
      </c>
      <c r="I1299" s="1" t="s">
        <v>1944</v>
      </c>
      <c r="J1299" s="1">
        <v>859.64</v>
      </c>
      <c r="K1299" s="11"/>
      <c r="L1299" s="11"/>
    </row>
    <row r="1300" spans="1:12" x14ac:dyDescent="0.25">
      <c r="A1300" s="1" t="s">
        <v>35</v>
      </c>
      <c r="B1300" s="1" t="s">
        <v>36</v>
      </c>
      <c r="C1300" s="1" t="s">
        <v>1322</v>
      </c>
      <c r="D1300" s="1">
        <v>44.684699999999999</v>
      </c>
      <c r="E1300" s="1">
        <v>-85.090199999999996</v>
      </c>
      <c r="F1300" s="1" t="s">
        <v>1925</v>
      </c>
      <c r="G1300" s="22">
        <v>1631.2002187665223</v>
      </c>
      <c r="H1300" s="20">
        <f ca="1">NOW() - TIME(5,30,0) + (VLOOKUP(MasterTable[[#This Row],[TimeZone]], $O$3:$P$8, 2, FALSE) / 24)</f>
        <v>45990.573544791667</v>
      </c>
      <c r="I1300" s="1" t="s">
        <v>1944</v>
      </c>
      <c r="J1300" s="1">
        <v>570.76</v>
      </c>
      <c r="K1300" s="11"/>
      <c r="L1300" s="11"/>
    </row>
    <row r="1301" spans="1:12" x14ac:dyDescent="0.25">
      <c r="A1301" s="1" t="s">
        <v>35</v>
      </c>
      <c r="B1301" s="1" t="s">
        <v>36</v>
      </c>
      <c r="C1301" s="1" t="s">
        <v>1399</v>
      </c>
      <c r="D1301" s="1">
        <v>44.337400000000002</v>
      </c>
      <c r="E1301" s="1">
        <v>-85.094700000000003</v>
      </c>
      <c r="F1301" s="1" t="s">
        <v>1925</v>
      </c>
      <c r="G1301" s="22">
        <v>1621.7674096442256</v>
      </c>
      <c r="H1301" s="20">
        <f ca="1">NOW() - TIME(5,30,0) + (VLOOKUP(MasterTable[[#This Row],[TimeZone]], $O$3:$P$8, 2, FALSE) / 24)</f>
        <v>45990.573544791667</v>
      </c>
      <c r="I1301" s="1" t="s">
        <v>1944</v>
      </c>
      <c r="J1301" s="1">
        <v>573.82000000000005</v>
      </c>
      <c r="K1301" s="11"/>
      <c r="L1301" s="11"/>
    </row>
    <row r="1302" spans="1:12" x14ac:dyDescent="0.25">
      <c r="A1302" s="1" t="s">
        <v>35</v>
      </c>
      <c r="B1302" s="1" t="s">
        <v>36</v>
      </c>
      <c r="C1302" s="1" t="s">
        <v>1400</v>
      </c>
      <c r="D1302" s="1">
        <v>44.0655</v>
      </c>
      <c r="E1302" s="1">
        <v>-83.895200000000003</v>
      </c>
      <c r="F1302" s="1" t="s">
        <v>1925</v>
      </c>
      <c r="G1302" s="22">
        <v>1670.3784125069292</v>
      </c>
      <c r="H1302" s="20">
        <f ca="1">NOW() - TIME(5,30,0) + (VLOOKUP(MasterTable[[#This Row],[TimeZone]], $O$3:$P$8, 2, FALSE) / 24)</f>
        <v>45990.573544791667</v>
      </c>
      <c r="I1302" s="1" t="s">
        <v>1944</v>
      </c>
      <c r="J1302" s="1">
        <v>680.81</v>
      </c>
      <c r="K1302" s="11"/>
      <c r="L1302" s="11"/>
    </row>
    <row r="1303" spans="1:12" x14ac:dyDescent="0.25">
      <c r="A1303" s="1" t="s">
        <v>35</v>
      </c>
      <c r="B1303" s="1" t="s">
        <v>36</v>
      </c>
      <c r="C1303" s="1" t="s">
        <v>1420</v>
      </c>
      <c r="D1303" s="1">
        <v>46.408700000000003</v>
      </c>
      <c r="E1303" s="1">
        <v>-89.694299999999998</v>
      </c>
      <c r="F1303" s="1" t="s">
        <v>1922</v>
      </c>
      <c r="G1303" s="22">
        <v>1491.1194177729722</v>
      </c>
      <c r="H1303" s="20">
        <f ca="1">NOW() - TIME(5,30,0) + (VLOOKUP(MasterTable[[#This Row],[TimeZone]], $O$3:$P$8, 2, FALSE) / 24)</f>
        <v>45990.531878125003</v>
      </c>
      <c r="I1303" s="1" t="s">
        <v>1944</v>
      </c>
      <c r="J1303" s="1">
        <v>1476.43</v>
      </c>
      <c r="K1303" s="11"/>
      <c r="L1303" s="11"/>
    </row>
    <row r="1304" spans="1:12" x14ac:dyDescent="0.25">
      <c r="A1304" s="1" t="s">
        <v>35</v>
      </c>
      <c r="B1304" s="1" t="s">
        <v>36</v>
      </c>
      <c r="C1304" s="1" t="s">
        <v>655</v>
      </c>
      <c r="D1304" s="1">
        <v>44.683700000000002</v>
      </c>
      <c r="E1304" s="1">
        <v>-84.610299999999995</v>
      </c>
      <c r="F1304" s="1" t="s">
        <v>1925</v>
      </c>
      <c r="G1304" s="22">
        <v>1652.9300858816569</v>
      </c>
      <c r="H1304" s="20">
        <f ca="1">NOW() - TIME(5,30,0) + (VLOOKUP(MasterTable[[#This Row],[TimeZone]], $O$3:$P$8, 2, FALSE) / 24)</f>
        <v>45990.573544791667</v>
      </c>
      <c r="I1304" s="1" t="s">
        <v>1944</v>
      </c>
      <c r="J1304" s="1">
        <v>604.20000000000005</v>
      </c>
      <c r="K1304" s="11"/>
      <c r="L1304" s="11"/>
    </row>
    <row r="1305" spans="1:12" x14ac:dyDescent="0.25">
      <c r="A1305" s="1" t="s">
        <v>35</v>
      </c>
      <c r="B1305" s="1" t="s">
        <v>36</v>
      </c>
      <c r="C1305" s="1" t="s">
        <v>1465</v>
      </c>
      <c r="D1305" s="1">
        <v>45.3401</v>
      </c>
      <c r="E1305" s="1">
        <v>-83.918000000000006</v>
      </c>
      <c r="F1305" s="1" t="s">
        <v>1925</v>
      </c>
      <c r="G1305" s="22">
        <v>1701.5633146671178</v>
      </c>
      <c r="H1305" s="20">
        <f ca="1">NOW() - TIME(5,30,0) + (VLOOKUP(MasterTable[[#This Row],[TimeZone]], $O$3:$P$8, 2, FALSE) / 24)</f>
        <v>45990.573544791667</v>
      </c>
      <c r="I1305" s="1" t="s">
        <v>1944</v>
      </c>
      <c r="J1305" s="1">
        <v>2572.75</v>
      </c>
      <c r="K1305" s="11"/>
      <c r="L1305" s="11"/>
    </row>
    <row r="1306" spans="1:12" x14ac:dyDescent="0.25">
      <c r="A1306" s="1" t="s">
        <v>35</v>
      </c>
      <c r="B1306" s="1" t="s">
        <v>36</v>
      </c>
      <c r="C1306" s="1" t="s">
        <v>142</v>
      </c>
      <c r="D1306" s="1">
        <v>43.990099999999998</v>
      </c>
      <c r="E1306" s="1">
        <v>-85.801599999999993</v>
      </c>
      <c r="F1306" s="1" t="s">
        <v>1925</v>
      </c>
      <c r="G1306" s="22">
        <v>1580.2357456455491</v>
      </c>
      <c r="H1306" s="20">
        <f ca="1">NOW() - TIME(5,30,0) + (VLOOKUP(MasterTable[[#This Row],[TimeZone]], $O$3:$P$8, 2, FALSE) / 24)</f>
        <v>45990.573544791667</v>
      </c>
      <c r="I1306" s="1" t="s">
        <v>1944</v>
      </c>
      <c r="J1306" s="1">
        <v>1329.48</v>
      </c>
      <c r="K1306" s="11"/>
      <c r="L1306" s="11"/>
    </row>
    <row r="1307" spans="1:12" x14ac:dyDescent="0.25">
      <c r="A1307" s="1" t="s">
        <v>35</v>
      </c>
      <c r="B1307" s="1" t="s">
        <v>36</v>
      </c>
      <c r="C1307" s="1" t="s">
        <v>776</v>
      </c>
      <c r="D1307" s="1">
        <v>46.2087</v>
      </c>
      <c r="E1307" s="1">
        <v>-88.530500000000004</v>
      </c>
      <c r="F1307" s="1" t="s">
        <v>1922</v>
      </c>
      <c r="G1307" s="22">
        <v>1530.6023286802804</v>
      </c>
      <c r="H1307" s="20">
        <f ca="1">NOW() - TIME(5,30,0) + (VLOOKUP(MasterTable[[#This Row],[TimeZone]], $O$3:$P$8, 2, FALSE) / 24)</f>
        <v>45990.531878125003</v>
      </c>
      <c r="I1307" s="1" t="s">
        <v>1944</v>
      </c>
      <c r="J1307" s="1">
        <v>1211.02</v>
      </c>
      <c r="K1307" s="11"/>
      <c r="L1307" s="11"/>
    </row>
    <row r="1308" spans="1:12" x14ac:dyDescent="0.25">
      <c r="A1308" s="1" t="s">
        <v>35</v>
      </c>
      <c r="B1308" s="1" t="s">
        <v>36</v>
      </c>
      <c r="C1308" s="1" t="s">
        <v>1526</v>
      </c>
      <c r="D1308" s="1">
        <v>46.080500000000001</v>
      </c>
      <c r="E1308" s="1">
        <v>-85.087199999999996</v>
      </c>
      <c r="F1308" s="1" t="s">
        <v>1925</v>
      </c>
      <c r="G1308" s="22">
        <v>1671.2082981244935</v>
      </c>
      <c r="H1308" s="20">
        <f ca="1">NOW() - TIME(5,30,0) + (VLOOKUP(MasterTable[[#This Row],[TimeZone]], $O$3:$P$8, 2, FALSE) / 24)</f>
        <v>45990.573544791667</v>
      </c>
      <c r="I1308" s="1" t="s">
        <v>1944</v>
      </c>
      <c r="J1308" s="1">
        <v>2100.5500000000002</v>
      </c>
      <c r="K1308" s="11"/>
      <c r="L1308" s="11"/>
    </row>
    <row r="1309" spans="1:12" x14ac:dyDescent="0.25">
      <c r="A1309" s="1" t="s">
        <v>35</v>
      </c>
      <c r="B1309" s="1" t="s">
        <v>36</v>
      </c>
      <c r="C1309" s="1" t="s">
        <v>1543</v>
      </c>
      <c r="D1309" s="1">
        <v>44.685400000000001</v>
      </c>
      <c r="E1309" s="1">
        <v>-83.593800000000002</v>
      </c>
      <c r="F1309" s="1" t="s">
        <v>1925</v>
      </c>
      <c r="G1309" s="22">
        <v>1699.3764563149623</v>
      </c>
      <c r="H1309" s="20">
        <f ca="1">NOW() - TIME(5,30,0) + (VLOOKUP(MasterTable[[#This Row],[TimeZone]], $O$3:$P$8, 2, FALSE) / 24)</f>
        <v>45990.573544791667</v>
      </c>
      <c r="I1309" s="1" t="s">
        <v>1944</v>
      </c>
      <c r="J1309" s="1">
        <v>1790.54</v>
      </c>
      <c r="K1309" s="11"/>
      <c r="L1309" s="11"/>
    </row>
    <row r="1310" spans="1:12" x14ac:dyDescent="0.25">
      <c r="A1310" s="1" t="s">
        <v>35</v>
      </c>
      <c r="B1310" s="1" t="s">
        <v>36</v>
      </c>
      <c r="C1310" s="1" t="s">
        <v>1578</v>
      </c>
      <c r="D1310" s="1">
        <v>45.0276</v>
      </c>
      <c r="E1310" s="1">
        <v>-84.127200000000002</v>
      </c>
      <c r="F1310" s="1" t="s">
        <v>1925</v>
      </c>
      <c r="G1310" s="22">
        <v>1683.8589710286033</v>
      </c>
      <c r="H1310" s="20">
        <f ca="1">NOW() - TIME(5,30,0) + (VLOOKUP(MasterTable[[#This Row],[TimeZone]], $O$3:$P$8, 2, FALSE) / 24)</f>
        <v>45990.573544791667</v>
      </c>
      <c r="I1310" s="1" t="s">
        <v>1944</v>
      </c>
      <c r="J1310" s="1">
        <v>562.44000000000005</v>
      </c>
      <c r="K1310" s="11"/>
      <c r="L1310" s="11"/>
    </row>
    <row r="1311" spans="1:12" x14ac:dyDescent="0.25">
      <c r="A1311" s="1" t="s">
        <v>35</v>
      </c>
      <c r="B1311" s="1" t="s">
        <v>36</v>
      </c>
      <c r="C1311" s="1" t="s">
        <v>1594</v>
      </c>
      <c r="D1311" s="1">
        <v>46.4086</v>
      </c>
      <c r="E1311" s="1">
        <v>-86.603999999999999</v>
      </c>
      <c r="F1311" s="1" t="s">
        <v>1925</v>
      </c>
      <c r="G1311" s="22">
        <v>1617.1603534686915</v>
      </c>
      <c r="H1311" s="20">
        <f ca="1">NOW() - TIME(5,30,0) + (VLOOKUP(MasterTable[[#This Row],[TimeZone]], $O$3:$P$8, 2, FALSE) / 24)</f>
        <v>45990.573544791667</v>
      </c>
      <c r="I1311" s="1" t="s">
        <v>1944</v>
      </c>
      <c r="J1311" s="1">
        <v>5049.08</v>
      </c>
      <c r="K1311" s="11"/>
      <c r="L1311" s="11"/>
    </row>
    <row r="1312" spans="1:12" x14ac:dyDescent="0.25">
      <c r="A1312" s="1" t="s">
        <v>35</v>
      </c>
      <c r="B1312" s="1" t="s">
        <v>36</v>
      </c>
      <c r="C1312" s="1" t="s">
        <v>1615</v>
      </c>
      <c r="D1312" s="1">
        <v>44.681800000000003</v>
      </c>
      <c r="E1312" s="1">
        <v>-84.129800000000003</v>
      </c>
      <c r="F1312" s="1" t="s">
        <v>1925</v>
      </c>
      <c r="G1312" s="22">
        <v>1674.7642776480848</v>
      </c>
      <c r="H1312" s="20">
        <f ca="1">NOW() - TIME(5,30,0) + (VLOOKUP(MasterTable[[#This Row],[TimeZone]], $O$3:$P$8, 2, FALSE) / 24)</f>
        <v>45990.573544791667</v>
      </c>
      <c r="I1312" s="1" t="s">
        <v>1944</v>
      </c>
      <c r="J1312" s="1">
        <v>571.57000000000005</v>
      </c>
      <c r="K1312" s="11"/>
      <c r="L1312" s="11"/>
    </row>
    <row r="1313" spans="1:12" x14ac:dyDescent="0.25">
      <c r="A1313" s="1" t="s">
        <v>35</v>
      </c>
      <c r="B1313" s="1" t="s">
        <v>36</v>
      </c>
      <c r="C1313" s="1" t="s">
        <v>1619</v>
      </c>
      <c r="D1313" s="1">
        <v>46.662599999999998</v>
      </c>
      <c r="E1313" s="1">
        <v>-88.365200000000002</v>
      </c>
      <c r="F1313" s="1" t="s">
        <v>1922</v>
      </c>
      <c r="G1313" s="22">
        <v>1553.7390930739248</v>
      </c>
      <c r="H1313" s="20">
        <f ca="1">NOW() - TIME(5,30,0) + (VLOOKUP(MasterTable[[#This Row],[TimeZone]], $O$3:$P$8, 2, FALSE) / 24)</f>
        <v>45990.531878125003</v>
      </c>
      <c r="I1313" s="1" t="s">
        <v>1944</v>
      </c>
      <c r="J1313" s="1">
        <v>1068.8499999999999</v>
      </c>
      <c r="K1313" s="11"/>
      <c r="L1313" s="11"/>
    </row>
    <row r="1314" spans="1:12" x14ac:dyDescent="0.25">
      <c r="A1314" s="1" t="s">
        <v>35</v>
      </c>
      <c r="B1314" s="1" t="s">
        <v>36</v>
      </c>
      <c r="C1314" s="1" t="s">
        <v>1625</v>
      </c>
      <c r="D1314" s="1">
        <v>46.196599999999997</v>
      </c>
      <c r="E1314" s="1">
        <v>-86.199600000000004</v>
      </c>
      <c r="F1314" s="1" t="s">
        <v>1925</v>
      </c>
      <c r="G1314" s="22">
        <v>1627.2596709951799</v>
      </c>
      <c r="H1314" s="20">
        <f ca="1">NOW() - TIME(5,30,0) + (VLOOKUP(MasterTable[[#This Row],[TimeZone]], $O$3:$P$8, 2, FALSE) / 24)</f>
        <v>45990.573544791667</v>
      </c>
      <c r="I1314" s="1" t="s">
        <v>1944</v>
      </c>
      <c r="J1314" s="1">
        <v>1883.69</v>
      </c>
      <c r="K1314" s="11"/>
      <c r="L1314" s="11"/>
    </row>
    <row r="1315" spans="1:12" x14ac:dyDescent="0.25">
      <c r="A1315" s="1" t="s">
        <v>35</v>
      </c>
      <c r="B1315" s="1" t="s">
        <v>36</v>
      </c>
      <c r="C1315" s="1" t="s">
        <v>1700</v>
      </c>
      <c r="D1315" s="1">
        <v>46.470599999999997</v>
      </c>
      <c r="E1315" s="1">
        <v>-85.544399999999996</v>
      </c>
      <c r="F1315" s="1" t="s">
        <v>1925</v>
      </c>
      <c r="G1315" s="22">
        <v>1663.7273448973253</v>
      </c>
      <c r="H1315" s="20">
        <f ca="1">NOW() - TIME(5,30,0) + (VLOOKUP(MasterTable[[#This Row],[TimeZone]], $O$3:$P$8, 2, FALSE) / 24)</f>
        <v>45990.573544791667</v>
      </c>
      <c r="I1315" s="1" t="s">
        <v>1944</v>
      </c>
      <c r="J1315" s="1">
        <v>1911.89</v>
      </c>
      <c r="K1315" s="11"/>
      <c r="L1315" s="11"/>
    </row>
    <row r="1316" spans="1:12" x14ac:dyDescent="0.25">
      <c r="A1316" s="1" t="s">
        <v>35</v>
      </c>
      <c r="B1316" s="1" t="s">
        <v>36</v>
      </c>
      <c r="C1316" s="1" t="s">
        <v>1716</v>
      </c>
      <c r="D1316" s="1">
        <v>46.664400000000001</v>
      </c>
      <c r="E1316" s="1">
        <v>-89.314800000000005</v>
      </c>
      <c r="F1316" s="1" t="s">
        <v>1925</v>
      </c>
      <c r="G1316" s="22">
        <v>1515.9164177134451</v>
      </c>
      <c r="H1316" s="20">
        <f ca="1">NOW() - TIME(5,30,0) + (VLOOKUP(MasterTable[[#This Row],[TimeZone]], $O$3:$P$8, 2, FALSE) / 24)</f>
        <v>45990.573544791667</v>
      </c>
      <c r="I1316" s="1" t="s">
        <v>1944</v>
      </c>
      <c r="J1316" s="1">
        <v>3741.45</v>
      </c>
      <c r="K1316" s="11"/>
      <c r="L1316" s="11"/>
    </row>
    <row r="1317" spans="1:12" x14ac:dyDescent="0.25">
      <c r="A1317" s="1" t="s">
        <v>35</v>
      </c>
      <c r="B1317" s="1" t="s">
        <v>36</v>
      </c>
      <c r="C1317" s="1" t="s">
        <v>1860</v>
      </c>
      <c r="D1317" s="1">
        <v>47.628</v>
      </c>
      <c r="E1317" s="1">
        <v>-88.434600000000003</v>
      </c>
      <c r="F1317" s="1" t="s">
        <v>1925</v>
      </c>
      <c r="G1317" s="22">
        <v>1587.2958057344197</v>
      </c>
      <c r="H1317" s="20">
        <f ca="1">NOW() - TIME(5,30,0) + (VLOOKUP(MasterTable[[#This Row],[TimeZone]], $O$3:$P$8, 2, FALSE) / 24)</f>
        <v>45990.573544791667</v>
      </c>
      <c r="I1317" s="1" t="s">
        <v>1944</v>
      </c>
      <c r="J1317" s="1">
        <v>5965.96</v>
      </c>
      <c r="K1317" s="11"/>
      <c r="L1317" s="11"/>
    </row>
    <row r="1318" spans="1:12" x14ac:dyDescent="0.25">
      <c r="A1318" s="1" t="s">
        <v>56</v>
      </c>
      <c r="B1318" s="1" t="s">
        <v>57</v>
      </c>
      <c r="C1318" s="1" t="s">
        <v>55</v>
      </c>
      <c r="D1318" s="1">
        <v>45.004600000000003</v>
      </c>
      <c r="E1318" s="1">
        <v>-93.477000000000004</v>
      </c>
      <c r="F1318" s="1" t="s">
        <v>1922</v>
      </c>
      <c r="G1318" s="22">
        <v>1286.1983492210331</v>
      </c>
      <c r="H1318" s="20">
        <f ca="1">NOW() - TIME(5,30,0) + (VLOOKUP(MasterTable[[#This Row],[TimeZone]], $O$3:$P$8, 2, FALSE) / 24)</f>
        <v>45990.531878125003</v>
      </c>
      <c r="I1318" s="1" t="s">
        <v>1944</v>
      </c>
      <c r="J1318" s="1">
        <v>606.38</v>
      </c>
      <c r="K1318" s="11"/>
      <c r="L1318" s="11"/>
    </row>
    <row r="1319" spans="1:12" x14ac:dyDescent="0.25">
      <c r="A1319" s="1" t="s">
        <v>56</v>
      </c>
      <c r="B1319" s="1" t="s">
        <v>57</v>
      </c>
      <c r="C1319" s="1" t="s">
        <v>183</v>
      </c>
      <c r="D1319" s="1">
        <v>45.017099999999999</v>
      </c>
      <c r="E1319" s="1">
        <v>-93.099599999999995</v>
      </c>
      <c r="F1319" s="1" t="s">
        <v>1922</v>
      </c>
      <c r="G1319" s="22">
        <v>1301.4397983899462</v>
      </c>
      <c r="H1319" s="20">
        <f ca="1">NOW() - TIME(5,30,0) + (VLOOKUP(MasterTable[[#This Row],[TimeZone]], $O$3:$P$8, 2, FALSE) / 24)</f>
        <v>45990.531878125003</v>
      </c>
      <c r="I1319" s="1" t="s">
        <v>1944</v>
      </c>
      <c r="J1319" s="1">
        <v>170.13</v>
      </c>
      <c r="K1319" s="11"/>
      <c r="L1319" s="11"/>
    </row>
    <row r="1320" spans="1:12" x14ac:dyDescent="0.25">
      <c r="A1320" s="1" t="s">
        <v>56</v>
      </c>
      <c r="B1320" s="1" t="s">
        <v>57</v>
      </c>
      <c r="C1320" s="1" t="s">
        <v>223</v>
      </c>
      <c r="D1320" s="1">
        <v>44.671900000000001</v>
      </c>
      <c r="E1320" s="1">
        <v>-93.065399999999997</v>
      </c>
      <c r="F1320" s="1" t="s">
        <v>1922</v>
      </c>
      <c r="G1320" s="22">
        <v>1288.6996692756957</v>
      </c>
      <c r="H1320" s="20">
        <f ca="1">NOW() - TIME(5,30,0) + (VLOOKUP(MasterTable[[#This Row],[TimeZone]], $O$3:$P$8, 2, FALSE) / 24)</f>
        <v>45990.531878125003</v>
      </c>
      <c r="I1320" s="1" t="s">
        <v>1944</v>
      </c>
      <c r="J1320" s="1">
        <v>586.33000000000004</v>
      </c>
    </row>
    <row r="1321" spans="1:12" x14ac:dyDescent="0.25">
      <c r="A1321" s="1" t="s">
        <v>56</v>
      </c>
      <c r="B1321" s="1" t="s">
        <v>57</v>
      </c>
      <c r="C1321" s="1" t="s">
        <v>259</v>
      </c>
      <c r="D1321" s="1">
        <v>45.273299999999999</v>
      </c>
      <c r="E1321" s="1">
        <v>-93.246499999999997</v>
      </c>
      <c r="F1321" s="1" t="s">
        <v>1922</v>
      </c>
      <c r="G1321" s="22">
        <v>1306.4078073804505</v>
      </c>
      <c r="H1321" s="20">
        <f ca="1">NOW() - TIME(5,30,0) + (VLOOKUP(MasterTable[[#This Row],[TimeZone]], $O$3:$P$8, 2, FALSE) / 24)</f>
        <v>45990.531878125003</v>
      </c>
      <c r="I1321" s="1" t="s">
        <v>1944</v>
      </c>
      <c r="J1321" s="1">
        <v>446.26</v>
      </c>
    </row>
    <row r="1322" spans="1:12" x14ac:dyDescent="0.25">
      <c r="A1322" s="1" t="s">
        <v>56</v>
      </c>
      <c r="B1322" s="1" t="s">
        <v>57</v>
      </c>
      <c r="C1322" s="1" t="s">
        <v>28</v>
      </c>
      <c r="D1322" s="1">
        <v>45.038800000000002</v>
      </c>
      <c r="E1322" s="1">
        <v>-92.883799999999994</v>
      </c>
      <c r="F1322" s="1" t="s">
        <v>1922</v>
      </c>
      <c r="G1322" s="22">
        <v>1310.8057123058686</v>
      </c>
      <c r="H1322" s="20">
        <f ca="1">NOW() - TIME(5,30,0) + (VLOOKUP(MasterTable[[#This Row],[TimeZone]], $O$3:$P$8, 2, FALSE) / 24)</f>
        <v>45990.531878125003</v>
      </c>
      <c r="I1322" s="1" t="s">
        <v>1944</v>
      </c>
      <c r="J1322" s="1">
        <v>1088.54</v>
      </c>
    </row>
    <row r="1323" spans="1:12" x14ac:dyDescent="0.25">
      <c r="A1323" s="1" t="s">
        <v>56</v>
      </c>
      <c r="B1323" s="1" t="s">
        <v>57</v>
      </c>
      <c r="C1323" s="1" t="s">
        <v>85</v>
      </c>
      <c r="D1323" s="1">
        <v>47.603200000000001</v>
      </c>
      <c r="E1323" s="1">
        <v>-92.470699999999994</v>
      </c>
      <c r="F1323" s="1" t="s">
        <v>1922</v>
      </c>
      <c r="G1323" s="22">
        <v>1437.0322391648385</v>
      </c>
      <c r="H1323" s="20">
        <f ca="1">NOW() - TIME(5,30,0) + (VLOOKUP(MasterTable[[#This Row],[TimeZone]], $O$3:$P$8, 2, FALSE) / 24)</f>
        <v>45990.531878125003</v>
      </c>
      <c r="I1323" s="1" t="s">
        <v>1944</v>
      </c>
      <c r="J1323" s="1">
        <v>6859.91</v>
      </c>
    </row>
    <row r="1324" spans="1:12" x14ac:dyDescent="0.25">
      <c r="A1324" s="1" t="s">
        <v>56</v>
      </c>
      <c r="B1324" s="1" t="s">
        <v>57</v>
      </c>
      <c r="C1324" s="1" t="s">
        <v>444</v>
      </c>
      <c r="D1324" s="1">
        <v>44.003799999999998</v>
      </c>
      <c r="E1324" s="1">
        <v>-92.401799999999994</v>
      </c>
      <c r="F1324" s="1" t="s">
        <v>1922</v>
      </c>
      <c r="G1324" s="22">
        <v>1289.7547943696741</v>
      </c>
      <c r="H1324" s="20">
        <f ca="1">NOW() - TIME(5,30,0) + (VLOOKUP(MasterTable[[#This Row],[TimeZone]], $O$3:$P$8, 2, FALSE) / 24)</f>
        <v>45990.531878125003</v>
      </c>
      <c r="I1324" s="1" t="s">
        <v>1944</v>
      </c>
      <c r="J1324" s="1">
        <v>654.5</v>
      </c>
    </row>
    <row r="1325" spans="1:12" x14ac:dyDescent="0.25">
      <c r="A1325" s="1" t="s">
        <v>56</v>
      </c>
      <c r="B1325" s="1" t="s">
        <v>57</v>
      </c>
      <c r="C1325" s="1" t="s">
        <v>457</v>
      </c>
      <c r="D1325" s="1">
        <v>45.552100000000003</v>
      </c>
      <c r="E1325" s="1">
        <v>-94.613100000000003</v>
      </c>
      <c r="F1325" s="1" t="s">
        <v>1922</v>
      </c>
      <c r="G1325" s="22">
        <v>1267.2519755179635</v>
      </c>
      <c r="H1325" s="20">
        <f ca="1">NOW() - TIME(5,30,0) + (VLOOKUP(MasterTable[[#This Row],[TimeZone]], $O$3:$P$8, 2, FALSE) / 24)</f>
        <v>45990.531878125003</v>
      </c>
      <c r="I1325" s="1" t="s">
        <v>1944</v>
      </c>
      <c r="J1325" s="1">
        <v>1389.93</v>
      </c>
    </row>
    <row r="1326" spans="1:12" x14ac:dyDescent="0.25">
      <c r="A1326" s="1" t="s">
        <v>56</v>
      </c>
      <c r="B1326" s="1" t="s">
        <v>57</v>
      </c>
      <c r="C1326" s="1" t="s">
        <v>419</v>
      </c>
      <c r="D1326" s="1">
        <v>44.648499999999999</v>
      </c>
      <c r="E1326" s="1">
        <v>-93.535899999999998</v>
      </c>
      <c r="F1326" s="1" t="s">
        <v>1922</v>
      </c>
      <c r="G1326" s="22">
        <v>1269.0844415416705</v>
      </c>
      <c r="H1326" s="20">
        <f ca="1">NOW() - TIME(5,30,0) + (VLOOKUP(MasterTable[[#This Row],[TimeZone]], $O$3:$P$8, 2, FALSE) / 24)</f>
        <v>45990.531878125003</v>
      </c>
      <c r="I1326" s="1" t="s">
        <v>1944</v>
      </c>
      <c r="J1326" s="1">
        <v>898.09</v>
      </c>
    </row>
    <row r="1327" spans="1:12" x14ac:dyDescent="0.25">
      <c r="A1327" s="1" t="s">
        <v>56</v>
      </c>
      <c r="B1327" s="1" t="s">
        <v>57</v>
      </c>
      <c r="C1327" s="1" t="s">
        <v>478</v>
      </c>
      <c r="D1327" s="1">
        <v>45.173999999999999</v>
      </c>
      <c r="E1327" s="1">
        <v>-93.962999999999994</v>
      </c>
      <c r="F1327" s="1" t="s">
        <v>1922</v>
      </c>
      <c r="G1327" s="22">
        <v>1274.7440016693267</v>
      </c>
      <c r="H1327" s="20">
        <f ca="1">NOW() - TIME(5,30,0) + (VLOOKUP(MasterTable[[#This Row],[TimeZone]], $O$3:$P$8, 2, FALSE) / 24)</f>
        <v>45990.531878125003</v>
      </c>
      <c r="I1327" s="1" t="s">
        <v>1944</v>
      </c>
      <c r="J1327" s="1">
        <v>582.54</v>
      </c>
    </row>
    <row r="1328" spans="1:12" x14ac:dyDescent="0.25">
      <c r="A1328" s="1" t="s">
        <v>56</v>
      </c>
      <c r="B1328" s="1" t="s">
        <v>57</v>
      </c>
      <c r="C1328" s="1" t="s">
        <v>559</v>
      </c>
      <c r="D1328" s="1">
        <v>44.820700000000002</v>
      </c>
      <c r="E1328" s="1">
        <v>-93.802599999999998</v>
      </c>
      <c r="F1328" s="1" t="s">
        <v>1922</v>
      </c>
      <c r="G1328" s="22">
        <v>1265.8226183508878</v>
      </c>
      <c r="H1328" s="20">
        <f ca="1">NOW() - TIME(5,30,0) + (VLOOKUP(MasterTable[[#This Row],[TimeZone]], $O$3:$P$8, 2, FALSE) / 24)</f>
        <v>45990.531878125003</v>
      </c>
      <c r="I1328" s="1" t="s">
        <v>1944</v>
      </c>
      <c r="J1328" s="1">
        <v>376.15</v>
      </c>
    </row>
    <row r="1329" spans="1:10" x14ac:dyDescent="0.25">
      <c r="A1329" s="1" t="s">
        <v>56</v>
      </c>
      <c r="B1329" s="1" t="s">
        <v>57</v>
      </c>
      <c r="C1329" s="1" t="s">
        <v>593</v>
      </c>
      <c r="D1329" s="1">
        <v>45.444000000000003</v>
      </c>
      <c r="E1329" s="1">
        <v>-93.774799999999999</v>
      </c>
      <c r="F1329" s="1" t="s">
        <v>1922</v>
      </c>
      <c r="G1329" s="22">
        <v>1293.5713943575945</v>
      </c>
      <c r="H1329" s="20">
        <f ca="1">NOW() - TIME(5,30,0) + (VLOOKUP(MasterTable[[#This Row],[TimeZone]], $O$3:$P$8, 2, FALSE) / 24)</f>
        <v>45990.531878125003</v>
      </c>
      <c r="I1329" s="1" t="s">
        <v>1944</v>
      </c>
      <c r="J1329" s="1">
        <v>451</v>
      </c>
    </row>
    <row r="1330" spans="1:10" x14ac:dyDescent="0.25">
      <c r="A1330" s="1" t="s">
        <v>56</v>
      </c>
      <c r="B1330" s="1" t="s">
        <v>57</v>
      </c>
      <c r="C1330" s="1" t="s">
        <v>712</v>
      </c>
      <c r="D1330" s="1">
        <v>44.034599999999998</v>
      </c>
      <c r="E1330" s="1">
        <v>-94.066999999999993</v>
      </c>
      <c r="F1330" s="1" t="s">
        <v>1922</v>
      </c>
      <c r="G1330" s="22">
        <v>1222.7839273792456</v>
      </c>
      <c r="H1330" s="20">
        <f ca="1">NOW() - TIME(5,30,0) + (VLOOKUP(MasterTable[[#This Row],[TimeZone]], $O$3:$P$8, 2, FALSE) / 24)</f>
        <v>45990.531878125003</v>
      </c>
      <c r="I1330" s="1" t="s">
        <v>1944</v>
      </c>
      <c r="J1330" s="1">
        <v>765.9</v>
      </c>
    </row>
    <row r="1331" spans="1:10" x14ac:dyDescent="0.25">
      <c r="A1331" s="1" t="s">
        <v>56</v>
      </c>
      <c r="B1331" s="1" t="s">
        <v>57</v>
      </c>
      <c r="C1331" s="1" t="s">
        <v>725</v>
      </c>
      <c r="D1331" s="1">
        <v>44.354300000000002</v>
      </c>
      <c r="E1331" s="1">
        <v>-93.296700000000001</v>
      </c>
      <c r="F1331" s="1" t="s">
        <v>1922</v>
      </c>
      <c r="G1331" s="22">
        <v>1266.6563429168541</v>
      </c>
      <c r="H1331" s="20">
        <f ca="1">NOW() - TIME(5,30,0) + (VLOOKUP(MasterTable[[#This Row],[TimeZone]], $O$3:$P$8, 2, FALSE) / 24)</f>
        <v>45990.531878125003</v>
      </c>
      <c r="I1331" s="1" t="s">
        <v>1944</v>
      </c>
      <c r="J1331" s="1">
        <v>728.3</v>
      </c>
    </row>
    <row r="1332" spans="1:10" x14ac:dyDescent="0.25">
      <c r="A1332" s="1" t="s">
        <v>56</v>
      </c>
      <c r="B1332" s="1" t="s">
        <v>57</v>
      </c>
      <c r="C1332" s="1" t="s">
        <v>729</v>
      </c>
      <c r="D1332" s="1">
        <v>46.482399999999998</v>
      </c>
      <c r="E1332" s="1">
        <v>-94.070899999999995</v>
      </c>
      <c r="F1332" s="1" t="s">
        <v>1922</v>
      </c>
      <c r="G1332" s="22">
        <v>1329.2929457606497</v>
      </c>
      <c r="H1332" s="20">
        <f ca="1">NOW() - TIME(5,30,0) + (VLOOKUP(MasterTable[[#This Row],[TimeZone]], $O$3:$P$8, 2, FALSE) / 24)</f>
        <v>45990.531878125003</v>
      </c>
      <c r="I1332" s="1" t="s">
        <v>1944</v>
      </c>
      <c r="J1332" s="1">
        <v>1156.56</v>
      </c>
    </row>
    <row r="1333" spans="1:10" x14ac:dyDescent="0.25">
      <c r="A1333" s="1" t="s">
        <v>56</v>
      </c>
      <c r="B1333" s="1" t="s">
        <v>57</v>
      </c>
      <c r="C1333" s="1" t="s">
        <v>327</v>
      </c>
      <c r="D1333" s="1">
        <v>46.892299999999999</v>
      </c>
      <c r="E1333" s="1">
        <v>-96.490600000000001</v>
      </c>
      <c r="F1333" s="1" t="s">
        <v>1922</v>
      </c>
      <c r="G1333" s="22">
        <v>1268.0208897008847</v>
      </c>
      <c r="H1333" s="20">
        <f ca="1">NOW() - TIME(5,30,0) + (VLOOKUP(MasterTable[[#This Row],[TimeZone]], $O$3:$P$8, 2, FALSE) / 24)</f>
        <v>45990.531878125003</v>
      </c>
      <c r="I1333" s="1" t="s">
        <v>1944</v>
      </c>
      <c r="J1333" s="1">
        <v>606</v>
      </c>
    </row>
    <row r="1334" spans="1:10" x14ac:dyDescent="0.25">
      <c r="A1334" s="1" t="s">
        <v>56</v>
      </c>
      <c r="B1334" s="1" t="s">
        <v>57</v>
      </c>
      <c r="C1334" s="1" t="s">
        <v>775</v>
      </c>
      <c r="D1334" s="1">
        <v>46.408799999999999</v>
      </c>
      <c r="E1334" s="1">
        <v>-95.707999999999998</v>
      </c>
      <c r="F1334" s="1" t="s">
        <v>1922</v>
      </c>
      <c r="G1334" s="22">
        <v>1269.2789212051237</v>
      </c>
      <c r="H1334" s="20">
        <f ca="1">NOW() - TIME(5,30,0) + (VLOOKUP(MasterTable[[#This Row],[TimeZone]], $O$3:$P$8, 2, FALSE) / 24)</f>
        <v>45990.531878125003</v>
      </c>
      <c r="I1334" s="1" t="s">
        <v>1944</v>
      </c>
      <c r="J1334" s="1">
        <v>2224.91</v>
      </c>
    </row>
    <row r="1335" spans="1:10" x14ac:dyDescent="0.25">
      <c r="A1335" s="1" t="s">
        <v>56</v>
      </c>
      <c r="B1335" s="1" t="s">
        <v>57</v>
      </c>
      <c r="C1335" s="1" t="s">
        <v>799</v>
      </c>
      <c r="D1335" s="1">
        <v>45.502499999999998</v>
      </c>
      <c r="E1335" s="1">
        <v>-92.908299999999997</v>
      </c>
      <c r="F1335" s="1" t="s">
        <v>1922</v>
      </c>
      <c r="G1335" s="22">
        <v>1329.068202107826</v>
      </c>
      <c r="H1335" s="20">
        <f ca="1">NOW() - TIME(5,30,0) + (VLOOKUP(MasterTable[[#This Row],[TimeZone]], $O$3:$P$8, 2, FALSE) / 24)</f>
        <v>45990.531878125003</v>
      </c>
      <c r="I1335" s="1" t="s">
        <v>1944</v>
      </c>
      <c r="J1335" s="1">
        <v>442.49</v>
      </c>
    </row>
    <row r="1336" spans="1:10" x14ac:dyDescent="0.25">
      <c r="A1336" s="1" t="s">
        <v>56</v>
      </c>
      <c r="B1336" s="1" t="s">
        <v>57</v>
      </c>
      <c r="C1336" s="1" t="s">
        <v>845</v>
      </c>
      <c r="D1336" s="1">
        <v>43.986899999999999</v>
      </c>
      <c r="E1336" s="1">
        <v>-91.779200000000003</v>
      </c>
      <c r="F1336" s="1" t="s">
        <v>1922</v>
      </c>
      <c r="G1336" s="22">
        <v>1315.2937908547751</v>
      </c>
      <c r="H1336" s="20">
        <f ca="1">NOW() - TIME(5,30,0) + (VLOOKUP(MasterTable[[#This Row],[TimeZone]], $O$3:$P$8, 2, FALSE) / 24)</f>
        <v>45990.531878125003</v>
      </c>
      <c r="I1336" s="1" t="s">
        <v>1944</v>
      </c>
      <c r="J1336" s="1">
        <v>641.59</v>
      </c>
    </row>
    <row r="1337" spans="1:10" x14ac:dyDescent="0.25">
      <c r="A1337" s="1" t="s">
        <v>56</v>
      </c>
      <c r="B1337" s="1" t="s">
        <v>57</v>
      </c>
      <c r="C1337" s="1" t="s">
        <v>859</v>
      </c>
      <c r="D1337" s="1">
        <v>44.409700000000001</v>
      </c>
      <c r="E1337" s="1">
        <v>-92.722899999999996</v>
      </c>
      <c r="F1337" s="1" t="s">
        <v>1922</v>
      </c>
      <c r="G1337" s="22">
        <v>1292.0725903334826</v>
      </c>
      <c r="H1337" s="20">
        <f ca="1">NOW() - TIME(5,30,0) + (VLOOKUP(MasterTable[[#This Row],[TimeZone]], $O$3:$P$8, 2, FALSE) / 24)</f>
        <v>45990.531878125003</v>
      </c>
      <c r="I1337" s="1" t="s">
        <v>1944</v>
      </c>
      <c r="J1337" s="1">
        <v>780.44</v>
      </c>
    </row>
    <row r="1338" spans="1:10" x14ac:dyDescent="0.25">
      <c r="A1338" s="1" t="s">
        <v>56</v>
      </c>
      <c r="B1338" s="1" t="s">
        <v>57</v>
      </c>
      <c r="C1338" s="1" t="s">
        <v>872</v>
      </c>
      <c r="D1338" s="1">
        <v>47.973799999999997</v>
      </c>
      <c r="E1338" s="1">
        <v>-94.937600000000003</v>
      </c>
      <c r="F1338" s="1" t="s">
        <v>1922</v>
      </c>
      <c r="G1338" s="22">
        <v>1372.1623015575335</v>
      </c>
      <c r="H1338" s="20">
        <f ca="1">NOW() - TIME(5,30,0) + (VLOOKUP(MasterTable[[#This Row],[TimeZone]], $O$3:$P$8, 2, FALSE) / 24)</f>
        <v>45990.531878125003</v>
      </c>
      <c r="I1338" s="1" t="s">
        <v>1944</v>
      </c>
      <c r="J1338" s="1">
        <v>3055.59</v>
      </c>
    </row>
    <row r="1339" spans="1:10" x14ac:dyDescent="0.25">
      <c r="A1339" s="1" t="s">
        <v>56</v>
      </c>
      <c r="B1339" s="1" t="s">
        <v>57</v>
      </c>
      <c r="C1339" s="1" t="s">
        <v>888</v>
      </c>
      <c r="D1339" s="1">
        <v>47.509500000000003</v>
      </c>
      <c r="E1339" s="1">
        <v>-93.631900000000002</v>
      </c>
      <c r="F1339" s="1" t="s">
        <v>1922</v>
      </c>
      <c r="G1339" s="22">
        <v>1392.4989164414567</v>
      </c>
      <c r="H1339" s="20">
        <f ca="1">NOW() - TIME(5,30,0) + (VLOOKUP(MasterTable[[#This Row],[TimeZone]], $O$3:$P$8, 2, FALSE) / 24)</f>
        <v>45990.531878125003</v>
      </c>
      <c r="I1339" s="1" t="s">
        <v>1944</v>
      </c>
      <c r="J1339" s="1">
        <v>2927.78</v>
      </c>
    </row>
    <row r="1340" spans="1:10" x14ac:dyDescent="0.25">
      <c r="A1340" s="1" t="s">
        <v>56</v>
      </c>
      <c r="B1340" s="1" t="s">
        <v>57</v>
      </c>
      <c r="C1340" s="1" t="s">
        <v>906</v>
      </c>
      <c r="D1340" s="1">
        <v>45.1524</v>
      </c>
      <c r="E1340" s="1">
        <v>-95.0047</v>
      </c>
      <c r="F1340" s="1" t="s">
        <v>1922</v>
      </c>
      <c r="G1340" s="22">
        <v>1234.7948809526861</v>
      </c>
      <c r="H1340" s="20">
        <f ca="1">NOW() - TIME(5,30,0) + (VLOOKUP(MasterTable[[#This Row],[TimeZone]], $O$3:$P$8, 2, FALSE) / 24)</f>
        <v>45990.531878125003</v>
      </c>
      <c r="I1340" s="1" t="s">
        <v>1944</v>
      </c>
      <c r="J1340" s="1">
        <v>861.97</v>
      </c>
    </row>
    <row r="1341" spans="1:10" x14ac:dyDescent="0.25">
      <c r="A1341" s="1" t="s">
        <v>56</v>
      </c>
      <c r="B1341" s="1" t="s">
        <v>57</v>
      </c>
      <c r="C1341" s="1" t="s">
        <v>928</v>
      </c>
      <c r="D1341" s="1">
        <v>45.561500000000002</v>
      </c>
      <c r="E1341" s="1">
        <v>-93.295100000000005</v>
      </c>
      <c r="F1341" s="1" t="s">
        <v>1922</v>
      </c>
      <c r="G1341" s="22">
        <v>1316.7865626127546</v>
      </c>
      <c r="H1341" s="20">
        <f ca="1">NOW() - TIME(5,30,0) + (VLOOKUP(MasterTable[[#This Row],[TimeZone]], $O$3:$P$8, 2, FALSE) / 24)</f>
        <v>45990.531878125003</v>
      </c>
      <c r="I1341" s="1" t="s">
        <v>1944</v>
      </c>
      <c r="J1341" s="1">
        <v>451.87</v>
      </c>
    </row>
    <row r="1342" spans="1:10" x14ac:dyDescent="0.25">
      <c r="A1342" s="1" t="s">
        <v>56</v>
      </c>
      <c r="B1342" s="1" t="s">
        <v>57</v>
      </c>
      <c r="C1342" s="1" t="s">
        <v>298</v>
      </c>
      <c r="D1342" s="1">
        <v>45.699100000000001</v>
      </c>
      <c r="E1342" s="1">
        <v>-93.998800000000003</v>
      </c>
      <c r="F1342" s="1" t="s">
        <v>1922</v>
      </c>
      <c r="G1342" s="22">
        <v>1296.4238139058166</v>
      </c>
      <c r="H1342" s="20">
        <f ca="1">NOW() - TIME(5,30,0) + (VLOOKUP(MasterTable[[#This Row],[TimeZone]], $O$3:$P$8, 2, FALSE) / 24)</f>
        <v>45990.531878125003</v>
      </c>
      <c r="I1342" s="1" t="s">
        <v>1944</v>
      </c>
      <c r="J1342" s="1">
        <v>880.24</v>
      </c>
    </row>
    <row r="1343" spans="1:10" x14ac:dyDescent="0.25">
      <c r="A1343" s="1" t="s">
        <v>56</v>
      </c>
      <c r="B1343" s="1" t="s">
        <v>57</v>
      </c>
      <c r="C1343" s="1" t="s">
        <v>953</v>
      </c>
      <c r="D1343" s="1">
        <v>43.671500000000002</v>
      </c>
      <c r="E1343" s="1">
        <v>-92.752499999999998</v>
      </c>
      <c r="F1343" s="1" t="s">
        <v>1922</v>
      </c>
      <c r="G1343" s="22">
        <v>1262.6264020189669</v>
      </c>
      <c r="H1343" s="20">
        <f ca="1">NOW() - TIME(5,30,0) + (VLOOKUP(MasterTable[[#This Row],[TimeZone]], $O$3:$P$8, 2, FALSE) / 24)</f>
        <v>45990.531878125003</v>
      </c>
      <c r="I1343" s="1" t="s">
        <v>1944</v>
      </c>
      <c r="J1343" s="1">
        <v>711.71</v>
      </c>
    </row>
    <row r="1344" spans="1:10" x14ac:dyDescent="0.25">
      <c r="A1344" s="1" t="s">
        <v>56</v>
      </c>
      <c r="B1344" s="1" t="s">
        <v>57</v>
      </c>
      <c r="C1344" s="1" t="s">
        <v>170</v>
      </c>
      <c r="D1344" s="1">
        <v>45.933799999999998</v>
      </c>
      <c r="E1344" s="1">
        <v>-95.453500000000005</v>
      </c>
      <c r="F1344" s="1" t="s">
        <v>1922</v>
      </c>
      <c r="G1344" s="22">
        <v>1255.012637562352</v>
      </c>
      <c r="H1344" s="20">
        <f ca="1">NOW() - TIME(5,30,0) + (VLOOKUP(MasterTable[[#This Row],[TimeZone]], $O$3:$P$8, 2, FALSE) / 24)</f>
        <v>45990.531878125003</v>
      </c>
      <c r="I1344" s="1" t="s">
        <v>1944</v>
      </c>
      <c r="J1344" s="1">
        <v>842.75</v>
      </c>
    </row>
    <row r="1345" spans="1:10" x14ac:dyDescent="0.25">
      <c r="A1345" s="1" t="s">
        <v>56</v>
      </c>
      <c r="B1345" s="1" t="s">
        <v>57</v>
      </c>
      <c r="C1345" s="1" t="s">
        <v>984</v>
      </c>
      <c r="D1345" s="1">
        <v>44.022300000000001</v>
      </c>
      <c r="E1345" s="1">
        <v>-93.226100000000002</v>
      </c>
      <c r="F1345" s="1" t="s">
        <v>1922</v>
      </c>
      <c r="G1345" s="22">
        <v>1256.3759821234835</v>
      </c>
      <c r="H1345" s="20">
        <f ca="1">NOW() - TIME(5,30,0) + (VLOOKUP(MasterTable[[#This Row],[TimeZone]], $O$3:$P$8, 2, FALSE) / 24)</f>
        <v>45990.531878125003</v>
      </c>
      <c r="I1345" s="1" t="s">
        <v>1944</v>
      </c>
      <c r="J1345" s="1">
        <v>432.16</v>
      </c>
    </row>
    <row r="1346" spans="1:10" x14ac:dyDescent="0.25">
      <c r="A1346" s="1" t="s">
        <v>56</v>
      </c>
      <c r="B1346" s="1" t="s">
        <v>57</v>
      </c>
      <c r="C1346" s="1" t="s">
        <v>992</v>
      </c>
      <c r="D1346" s="1">
        <v>44.823599999999999</v>
      </c>
      <c r="E1346" s="1">
        <v>-94.272400000000005</v>
      </c>
      <c r="F1346" s="1" t="s">
        <v>1922</v>
      </c>
      <c r="G1346" s="22">
        <v>1247.8170760525641</v>
      </c>
      <c r="H1346" s="20">
        <f ca="1">NOW() - TIME(5,30,0) + (VLOOKUP(MasterTable[[#This Row],[TimeZone]], $O$3:$P$8, 2, FALSE) / 24)</f>
        <v>45990.531878125003</v>
      </c>
      <c r="I1346" s="1" t="s">
        <v>1944</v>
      </c>
      <c r="J1346" s="1">
        <v>505.67</v>
      </c>
    </row>
    <row r="1347" spans="1:10" x14ac:dyDescent="0.25">
      <c r="A1347" s="1" t="s">
        <v>56</v>
      </c>
      <c r="B1347" s="1" t="s">
        <v>57</v>
      </c>
      <c r="C1347" s="1" t="s">
        <v>1003</v>
      </c>
      <c r="D1347" s="1">
        <v>46.592399999999998</v>
      </c>
      <c r="E1347" s="1">
        <v>-92.677000000000007</v>
      </c>
      <c r="F1347" s="1" t="s">
        <v>1922</v>
      </c>
      <c r="G1347" s="22">
        <v>1384.5343278897049</v>
      </c>
      <c r="H1347" s="20">
        <f ca="1">NOW() - TIME(5,30,0) + (VLOOKUP(MasterTable[[#This Row],[TimeZone]], $O$3:$P$8, 2, FALSE) / 24)</f>
        <v>45990.531878125003</v>
      </c>
      <c r="I1347" s="1" t="s">
        <v>1944</v>
      </c>
      <c r="J1347" s="1">
        <v>875.23</v>
      </c>
    </row>
    <row r="1348" spans="1:10" x14ac:dyDescent="0.25">
      <c r="A1348" s="1" t="s">
        <v>56</v>
      </c>
      <c r="B1348" s="1" t="s">
        <v>57</v>
      </c>
      <c r="C1348" s="1" t="s">
        <v>1015</v>
      </c>
      <c r="D1348" s="1">
        <v>46.934600000000003</v>
      </c>
      <c r="E1348" s="1">
        <v>-95.674000000000007</v>
      </c>
      <c r="F1348" s="1" t="s">
        <v>1922</v>
      </c>
      <c r="G1348" s="22">
        <v>1296.4106997038766</v>
      </c>
      <c r="H1348" s="20">
        <f ca="1">NOW() - TIME(5,30,0) + (VLOOKUP(MasterTable[[#This Row],[TimeZone]], $O$3:$P$8, 2, FALSE) / 24)</f>
        <v>45990.531878125003</v>
      </c>
      <c r="I1348" s="1" t="s">
        <v>1944</v>
      </c>
      <c r="J1348" s="1">
        <v>1445.11</v>
      </c>
    </row>
    <row r="1349" spans="1:10" x14ac:dyDescent="0.25">
      <c r="A1349" s="1" t="s">
        <v>56</v>
      </c>
      <c r="B1349" s="1" t="s">
        <v>57</v>
      </c>
      <c r="C1349" s="1" t="s">
        <v>1023</v>
      </c>
      <c r="D1349" s="1">
        <v>44.349899999999998</v>
      </c>
      <c r="E1349" s="1">
        <v>-94.247500000000002</v>
      </c>
      <c r="F1349" s="1" t="s">
        <v>1922</v>
      </c>
      <c r="G1349" s="22">
        <v>1228.6576200238135</v>
      </c>
      <c r="H1349" s="20">
        <f ca="1">NOW() - TIME(5,30,0) + (VLOOKUP(MasterTable[[#This Row],[TimeZone]], $O$3:$P$8, 2, FALSE) / 24)</f>
        <v>45990.531878125003</v>
      </c>
      <c r="I1349" s="1" t="s">
        <v>1944</v>
      </c>
      <c r="J1349" s="1">
        <v>466.95</v>
      </c>
    </row>
    <row r="1350" spans="1:10" x14ac:dyDescent="0.25">
      <c r="A1350" s="1" t="s">
        <v>56</v>
      </c>
      <c r="B1350" s="1" t="s">
        <v>57</v>
      </c>
      <c r="C1350" s="1" t="s">
        <v>1027</v>
      </c>
      <c r="D1350" s="1">
        <v>46.012599999999999</v>
      </c>
      <c r="E1350" s="1">
        <v>-94.2684</v>
      </c>
      <c r="F1350" s="1" t="s">
        <v>1922</v>
      </c>
      <c r="G1350" s="22">
        <v>1300.6896655878072</v>
      </c>
      <c r="H1350" s="20">
        <f ca="1">NOW() - TIME(5,30,0) + (VLOOKUP(MasterTable[[#This Row],[TimeZone]], $O$3:$P$8, 2, FALSE) / 24)</f>
        <v>45990.531878125003</v>
      </c>
      <c r="I1350" s="1" t="s">
        <v>1944</v>
      </c>
      <c r="J1350" s="1">
        <v>1153.32</v>
      </c>
    </row>
    <row r="1351" spans="1:10" x14ac:dyDescent="0.25">
      <c r="A1351" s="1" t="s">
        <v>56</v>
      </c>
      <c r="B1351" s="1" t="s">
        <v>57</v>
      </c>
      <c r="C1351" s="1" t="s">
        <v>134</v>
      </c>
      <c r="D1351" s="1">
        <v>47.773899999999998</v>
      </c>
      <c r="E1351" s="1">
        <v>-96.401899999999998</v>
      </c>
      <c r="F1351" s="1" t="s">
        <v>1922</v>
      </c>
      <c r="G1351" s="22">
        <v>1316.5335753622871</v>
      </c>
      <c r="H1351" s="20">
        <f ca="1">NOW() - TIME(5,30,0) + (VLOOKUP(MasterTable[[#This Row],[TimeZone]], $O$3:$P$8, 2, FALSE) / 24)</f>
        <v>45990.531878125003</v>
      </c>
      <c r="I1351" s="1" t="s">
        <v>1944</v>
      </c>
      <c r="J1351" s="1">
        <v>862.42</v>
      </c>
    </row>
    <row r="1352" spans="1:10" x14ac:dyDescent="0.25">
      <c r="A1352" s="1" t="s">
        <v>56</v>
      </c>
      <c r="B1352" s="1" t="s">
        <v>57</v>
      </c>
      <c r="C1352" s="1" t="s">
        <v>1062</v>
      </c>
      <c r="D1352" s="1">
        <v>43.6738</v>
      </c>
      <c r="E1352" s="1">
        <v>-93.348799999999997</v>
      </c>
      <c r="F1352" s="1" t="s">
        <v>1922</v>
      </c>
      <c r="G1352" s="22">
        <v>1237.7946508755826</v>
      </c>
      <c r="H1352" s="20">
        <f ca="1">NOW() - TIME(5,30,0) + (VLOOKUP(MasterTable[[#This Row],[TimeZone]], $O$3:$P$8, 2, FALSE) / 24)</f>
        <v>45990.531878125003</v>
      </c>
      <c r="I1352" s="1" t="s">
        <v>1944</v>
      </c>
      <c r="J1352" s="1">
        <v>722.63</v>
      </c>
    </row>
    <row r="1353" spans="1:10" x14ac:dyDescent="0.25">
      <c r="A1353" s="1" t="s">
        <v>56</v>
      </c>
      <c r="B1353" s="1" t="s">
        <v>57</v>
      </c>
      <c r="C1353" s="1" t="s">
        <v>392</v>
      </c>
      <c r="D1353" s="1">
        <v>46.949599999999997</v>
      </c>
      <c r="E1353" s="1">
        <v>-94.325400000000002</v>
      </c>
      <c r="F1353" s="1" t="s">
        <v>1922</v>
      </c>
      <c r="G1353" s="22">
        <v>1342.2897223461414</v>
      </c>
      <c r="H1353" s="20">
        <f ca="1">NOW() - TIME(5,30,0) + (VLOOKUP(MasterTable[[#This Row],[TimeZone]], $O$3:$P$8, 2, FALSE) / 24)</f>
        <v>45990.531878125003</v>
      </c>
      <c r="I1353" s="1" t="s">
        <v>1944</v>
      </c>
      <c r="J1353" s="1">
        <v>383.73</v>
      </c>
    </row>
    <row r="1354" spans="1:10" x14ac:dyDescent="0.25">
      <c r="A1354" s="1" t="s">
        <v>56</v>
      </c>
      <c r="B1354" s="1" t="s">
        <v>57</v>
      </c>
      <c r="C1354" s="1" t="s">
        <v>1084</v>
      </c>
      <c r="D1354" s="1">
        <v>46.120800000000003</v>
      </c>
      <c r="E1354" s="1">
        <v>-92.741299999999995</v>
      </c>
      <c r="F1354" s="1" t="s">
        <v>1922</v>
      </c>
      <c r="G1354" s="22">
        <v>1361.6794043841912</v>
      </c>
      <c r="H1354" s="20">
        <f ca="1">NOW() - TIME(5,30,0) + (VLOOKUP(MasterTable[[#This Row],[TimeZone]], $O$3:$P$8, 2, FALSE) / 24)</f>
        <v>45990.531878125003</v>
      </c>
      <c r="I1354" s="1" t="s">
        <v>1944</v>
      </c>
      <c r="J1354" s="1">
        <v>1434.57</v>
      </c>
    </row>
    <row r="1355" spans="1:10" x14ac:dyDescent="0.25">
      <c r="A1355" s="1" t="s">
        <v>56</v>
      </c>
      <c r="B1355" s="1" t="s">
        <v>57</v>
      </c>
      <c r="C1355" s="1" t="s">
        <v>1089</v>
      </c>
      <c r="D1355" s="1">
        <v>44.371499999999997</v>
      </c>
      <c r="E1355" s="1">
        <v>-93.730199999999996</v>
      </c>
      <c r="F1355" s="1" t="s">
        <v>1922</v>
      </c>
      <c r="G1355" s="22">
        <v>1250.0049870071789</v>
      </c>
      <c r="H1355" s="20">
        <f ca="1">NOW() - TIME(5,30,0) + (VLOOKUP(MasterTable[[#This Row],[TimeZone]], $O$3:$P$8, 2, FALSE) / 24)</f>
        <v>45990.531878125003</v>
      </c>
      <c r="I1355" s="1" t="s">
        <v>1944</v>
      </c>
      <c r="J1355" s="1">
        <v>473.86</v>
      </c>
    </row>
    <row r="1356" spans="1:10" x14ac:dyDescent="0.25">
      <c r="A1356" s="1" t="s">
        <v>56</v>
      </c>
      <c r="B1356" s="1" t="s">
        <v>57</v>
      </c>
      <c r="C1356" s="1" t="s">
        <v>1128</v>
      </c>
      <c r="D1356" s="1">
        <v>45.938000000000002</v>
      </c>
      <c r="E1356" s="1">
        <v>-93.630099999999999</v>
      </c>
      <c r="F1356" s="1" t="s">
        <v>1922</v>
      </c>
      <c r="G1356" s="22">
        <v>1320.6339605958963</v>
      </c>
      <c r="H1356" s="20">
        <f ca="1">NOW() - TIME(5,30,0) + (VLOOKUP(MasterTable[[#This Row],[TimeZone]], $O$3:$P$8, 2, FALSE) / 24)</f>
        <v>45990.531878125003</v>
      </c>
      <c r="I1356" s="1" t="s">
        <v>1944</v>
      </c>
      <c r="J1356" s="1">
        <v>681.77</v>
      </c>
    </row>
    <row r="1357" spans="1:10" x14ac:dyDescent="0.25">
      <c r="A1357" s="1" t="s">
        <v>56</v>
      </c>
      <c r="B1357" s="1" t="s">
        <v>57</v>
      </c>
      <c r="C1357" s="1" t="s">
        <v>316</v>
      </c>
      <c r="D1357" s="1">
        <v>44.242100000000001</v>
      </c>
      <c r="E1357" s="1">
        <v>-94.727599999999995</v>
      </c>
      <c r="F1357" s="1" t="s">
        <v>1922</v>
      </c>
      <c r="G1357" s="22">
        <v>1205.3159862458151</v>
      </c>
      <c r="H1357" s="20">
        <f ca="1">NOW() - TIME(5,30,0) + (VLOOKUP(MasterTable[[#This Row],[TimeZone]], $O$3:$P$8, 2, FALSE) / 24)</f>
        <v>45990.531878125003</v>
      </c>
      <c r="I1357" s="1" t="s">
        <v>1944</v>
      </c>
      <c r="J1357" s="1">
        <v>307.24</v>
      </c>
    </row>
    <row r="1358" spans="1:10" x14ac:dyDescent="0.25">
      <c r="A1358" s="1" t="s">
        <v>56</v>
      </c>
      <c r="B1358" s="1" t="s">
        <v>57</v>
      </c>
      <c r="C1358" s="1" t="s">
        <v>773</v>
      </c>
      <c r="D1358" s="1">
        <v>44.413499999999999</v>
      </c>
      <c r="E1358" s="1">
        <v>-95.838999999999999</v>
      </c>
      <c r="F1358" s="1" t="s">
        <v>1922</v>
      </c>
      <c r="G1358" s="22">
        <v>1170.4420260157733</v>
      </c>
      <c r="H1358" s="20">
        <f ca="1">NOW() - TIME(5,30,0) + (VLOOKUP(MasterTable[[#This Row],[TimeZone]], $O$3:$P$8, 2, FALSE) / 24)</f>
        <v>45990.531878125003</v>
      </c>
      <c r="I1358" s="1" t="s">
        <v>1944</v>
      </c>
      <c r="J1358" s="1">
        <v>587.63</v>
      </c>
    </row>
    <row r="1359" spans="1:10" x14ac:dyDescent="0.25">
      <c r="A1359" s="1" t="s">
        <v>56</v>
      </c>
      <c r="B1359" s="1" t="s">
        <v>57</v>
      </c>
      <c r="C1359" s="1" t="s">
        <v>1158</v>
      </c>
      <c r="D1359" s="1">
        <v>46.070599999999999</v>
      </c>
      <c r="E1359" s="1">
        <v>-94.897599999999997</v>
      </c>
      <c r="F1359" s="1" t="s">
        <v>1922</v>
      </c>
      <c r="G1359" s="22">
        <v>1280.9409110024512</v>
      </c>
      <c r="H1359" s="20">
        <f ca="1">NOW() - TIME(5,30,0) + (VLOOKUP(MasterTable[[#This Row],[TimeZone]], $O$3:$P$8, 2, FALSE) / 24)</f>
        <v>45990.531878125003</v>
      </c>
      <c r="I1359" s="1" t="s">
        <v>1944</v>
      </c>
      <c r="J1359" s="1">
        <v>376.97</v>
      </c>
    </row>
    <row r="1360" spans="1:10" x14ac:dyDescent="0.25">
      <c r="A1360" s="1" t="s">
        <v>56</v>
      </c>
      <c r="B1360" s="1" t="s">
        <v>57</v>
      </c>
      <c r="C1360" s="1" t="s">
        <v>1197</v>
      </c>
      <c r="D1360" s="1">
        <v>45.123100000000001</v>
      </c>
      <c r="E1360" s="1">
        <v>-94.5274</v>
      </c>
      <c r="F1360" s="1" t="s">
        <v>1922</v>
      </c>
      <c r="G1360" s="22">
        <v>1251.2221479250843</v>
      </c>
      <c r="H1360" s="20">
        <f ca="1">NOW() - TIME(5,30,0) + (VLOOKUP(MasterTable[[#This Row],[TimeZone]], $O$3:$P$8, 2, FALSE) / 24)</f>
        <v>45990.531878125003</v>
      </c>
      <c r="I1360" s="1" t="s">
        <v>1944</v>
      </c>
      <c r="J1360" s="1">
        <v>645.08000000000004</v>
      </c>
    </row>
    <row r="1361" spans="1:10" x14ac:dyDescent="0.25">
      <c r="A1361" s="1" t="s">
        <v>56</v>
      </c>
      <c r="B1361" s="1" t="s">
        <v>57</v>
      </c>
      <c r="C1361" s="1" t="s">
        <v>1223</v>
      </c>
      <c r="D1361" s="1">
        <v>43.674199999999999</v>
      </c>
      <c r="E1361" s="1">
        <v>-95.753399999999999</v>
      </c>
      <c r="F1361" s="1" t="s">
        <v>1922</v>
      </c>
      <c r="G1361" s="22">
        <v>1140.957115498421</v>
      </c>
      <c r="H1361" s="20">
        <f ca="1">NOW() - TIME(5,30,0) + (VLOOKUP(MasterTable[[#This Row],[TimeZone]], $O$3:$P$8, 2, FALSE) / 24)</f>
        <v>45990.531878125003</v>
      </c>
      <c r="I1361" s="1" t="s">
        <v>1944</v>
      </c>
      <c r="J1361" s="1">
        <v>722.33</v>
      </c>
    </row>
    <row r="1362" spans="1:10" x14ac:dyDescent="0.25">
      <c r="A1362" s="1" t="s">
        <v>56</v>
      </c>
      <c r="B1362" s="1" t="s">
        <v>57</v>
      </c>
      <c r="C1362" s="1" t="s">
        <v>1233</v>
      </c>
      <c r="D1362" s="1">
        <v>47.108600000000003</v>
      </c>
      <c r="E1362" s="1">
        <v>-94.916700000000006</v>
      </c>
      <c r="F1362" s="1" t="s">
        <v>1922</v>
      </c>
      <c r="G1362" s="22">
        <v>1329.9663075593314</v>
      </c>
      <c r="H1362" s="20">
        <f ca="1">NOW() - TIME(5,30,0) + (VLOOKUP(MasterTable[[#This Row],[TimeZone]], $O$3:$P$8, 2, FALSE) / 24)</f>
        <v>45990.531878125003</v>
      </c>
      <c r="I1362" s="1" t="s">
        <v>1944</v>
      </c>
      <c r="J1362" s="1">
        <v>999.39</v>
      </c>
    </row>
    <row r="1363" spans="1:10" x14ac:dyDescent="0.25">
      <c r="A1363" s="1" t="s">
        <v>56</v>
      </c>
      <c r="B1363" s="1" t="s">
        <v>57</v>
      </c>
      <c r="C1363" s="1" t="s">
        <v>1241</v>
      </c>
      <c r="D1363" s="1">
        <v>44.284300000000002</v>
      </c>
      <c r="E1363" s="1">
        <v>-92.2303</v>
      </c>
      <c r="F1363" s="1" t="s">
        <v>1922</v>
      </c>
      <c r="G1363" s="22">
        <v>1307.4560612645112</v>
      </c>
      <c r="H1363" s="20">
        <f ca="1">NOW() - TIME(5,30,0) + (VLOOKUP(MasterTable[[#This Row],[TimeZone]], $O$3:$P$8, 2, FALSE) / 24)</f>
        <v>45990.531878125003</v>
      </c>
      <c r="I1363" s="1" t="s">
        <v>1944</v>
      </c>
      <c r="J1363" s="1">
        <v>549.83000000000004</v>
      </c>
    </row>
    <row r="1364" spans="1:10" x14ac:dyDescent="0.25">
      <c r="A1364" s="1" t="s">
        <v>56</v>
      </c>
      <c r="B1364" s="1" t="s">
        <v>57</v>
      </c>
      <c r="C1364" s="1" t="s">
        <v>1245</v>
      </c>
      <c r="D1364" s="1">
        <v>43.673999999999999</v>
      </c>
      <c r="E1364" s="1">
        <v>-92.090199999999996</v>
      </c>
      <c r="F1364" s="1" t="s">
        <v>1922</v>
      </c>
      <c r="G1364" s="22">
        <v>1290.7623447664969</v>
      </c>
      <c r="H1364" s="20">
        <f ca="1">NOW() - TIME(5,30,0) + (VLOOKUP(MasterTable[[#This Row],[TimeZone]], $O$3:$P$8, 2, FALSE) / 24)</f>
        <v>45990.531878125003</v>
      </c>
      <c r="I1364" s="1" t="s">
        <v>1944</v>
      </c>
      <c r="J1364" s="1">
        <v>862.15</v>
      </c>
    </row>
    <row r="1365" spans="1:10" x14ac:dyDescent="0.25">
      <c r="A1365" s="1" t="s">
        <v>56</v>
      </c>
      <c r="B1365" s="1" t="s">
        <v>57</v>
      </c>
      <c r="C1365" s="1" t="s">
        <v>634</v>
      </c>
      <c r="D1365" s="1">
        <v>44.022599999999997</v>
      </c>
      <c r="E1365" s="1">
        <v>-92.862099999999998</v>
      </c>
      <c r="F1365" s="1" t="s">
        <v>1922</v>
      </c>
      <c r="G1365" s="22">
        <v>1271.3573754743247</v>
      </c>
      <c r="H1365" s="20">
        <f ca="1">NOW() - TIME(5,30,0) + (VLOOKUP(MasterTable[[#This Row],[TimeZone]], $O$3:$P$8, 2, FALSE) / 24)</f>
        <v>45990.531878125003</v>
      </c>
      <c r="I1365" s="1" t="s">
        <v>1944</v>
      </c>
      <c r="J1365" s="1">
        <v>503.17</v>
      </c>
    </row>
    <row r="1366" spans="1:10" x14ac:dyDescent="0.25">
      <c r="A1366" s="1" t="s">
        <v>56</v>
      </c>
      <c r="B1366" s="1" t="s">
        <v>57</v>
      </c>
      <c r="C1366" s="1" t="s">
        <v>452</v>
      </c>
      <c r="D1366" s="1">
        <v>43.674399999999999</v>
      </c>
      <c r="E1366" s="1">
        <v>-94.551100000000005</v>
      </c>
      <c r="F1366" s="1" t="s">
        <v>1922</v>
      </c>
      <c r="G1366" s="22">
        <v>1188.6183982581049</v>
      </c>
      <c r="H1366" s="20">
        <f ca="1">NOW() - TIME(5,30,0) + (VLOOKUP(MasterTable[[#This Row],[TimeZone]], $O$3:$P$8, 2, FALSE) / 24)</f>
        <v>45990.531878125003</v>
      </c>
      <c r="I1366" s="1" t="s">
        <v>1944</v>
      </c>
      <c r="J1366" s="1">
        <v>752.79</v>
      </c>
    </row>
    <row r="1367" spans="1:10" x14ac:dyDescent="0.25">
      <c r="A1367" s="1" t="s">
        <v>56</v>
      </c>
      <c r="B1367" s="1" t="s">
        <v>57</v>
      </c>
      <c r="C1367" s="1" t="s">
        <v>1298</v>
      </c>
      <c r="D1367" s="1">
        <v>44.022100000000002</v>
      </c>
      <c r="E1367" s="1">
        <v>-93.587299999999999</v>
      </c>
      <c r="F1367" s="1" t="s">
        <v>1922</v>
      </c>
      <c r="G1367" s="22">
        <v>1241.6377029805333</v>
      </c>
      <c r="H1367" s="20">
        <f ca="1">NOW() - TIME(5,30,0) + (VLOOKUP(MasterTable[[#This Row],[TimeZone]], $O$3:$P$8, 2, FALSE) / 24)</f>
        <v>45990.531878125003</v>
      </c>
      <c r="I1367" s="1" t="s">
        <v>1944</v>
      </c>
      <c r="J1367" s="1">
        <v>432.81</v>
      </c>
    </row>
    <row r="1368" spans="1:10" x14ac:dyDescent="0.25">
      <c r="A1368" s="1" t="s">
        <v>56</v>
      </c>
      <c r="B1368" s="1" t="s">
        <v>57</v>
      </c>
      <c r="C1368" s="1" t="s">
        <v>439</v>
      </c>
      <c r="D1368" s="1">
        <v>43.671399999999998</v>
      </c>
      <c r="E1368" s="1">
        <v>-91.492900000000006</v>
      </c>
      <c r="F1368" s="1" t="s">
        <v>1922</v>
      </c>
      <c r="G1368" s="22">
        <v>1316.2724341862888</v>
      </c>
      <c r="H1368" s="20">
        <f ca="1">NOW() - TIME(5,30,0) + (VLOOKUP(MasterTable[[#This Row],[TimeZone]], $O$3:$P$8, 2, FALSE) / 24)</f>
        <v>45990.531878125003</v>
      </c>
      <c r="I1368" s="1" t="s">
        <v>1944</v>
      </c>
      <c r="J1368" s="1">
        <v>581.65</v>
      </c>
    </row>
    <row r="1369" spans="1:10" x14ac:dyDescent="0.25">
      <c r="A1369" s="1" t="s">
        <v>56</v>
      </c>
      <c r="B1369" s="1" t="s">
        <v>57</v>
      </c>
      <c r="C1369" s="1" t="s">
        <v>1372</v>
      </c>
      <c r="D1369" s="1">
        <v>45.9452</v>
      </c>
      <c r="E1369" s="1">
        <v>-93.293400000000005</v>
      </c>
      <c r="F1369" s="1" t="s">
        <v>1922</v>
      </c>
      <c r="G1369" s="22">
        <v>1333.4373332586381</v>
      </c>
      <c r="H1369" s="20">
        <f ca="1">NOW() - TIME(5,30,0) + (VLOOKUP(MasterTable[[#This Row],[TimeZone]], $O$3:$P$8, 2, FALSE) / 24)</f>
        <v>45990.531878125003</v>
      </c>
      <c r="I1369" s="1" t="s">
        <v>1944</v>
      </c>
      <c r="J1369" s="1">
        <v>533.38</v>
      </c>
    </row>
    <row r="1370" spans="1:10" x14ac:dyDescent="0.25">
      <c r="A1370" s="1" t="s">
        <v>56</v>
      </c>
      <c r="B1370" s="1" t="s">
        <v>57</v>
      </c>
      <c r="C1370" s="1" t="s">
        <v>1380</v>
      </c>
      <c r="D1370" s="1">
        <v>46.608199999999997</v>
      </c>
      <c r="E1370" s="1">
        <v>-93.415499999999994</v>
      </c>
      <c r="F1370" s="1" t="s">
        <v>1922</v>
      </c>
      <c r="G1370" s="22">
        <v>1358.4157224958947</v>
      </c>
      <c r="H1370" s="20">
        <f ca="1">NOW() - TIME(5,30,0) + (VLOOKUP(MasterTable[[#This Row],[TimeZone]], $O$3:$P$8, 2, FALSE) / 24)</f>
        <v>45990.531878125003</v>
      </c>
      <c r="I1370" s="1" t="s">
        <v>1944</v>
      </c>
      <c r="J1370" s="1">
        <v>1995.31</v>
      </c>
    </row>
    <row r="1371" spans="1:10" x14ac:dyDescent="0.25">
      <c r="A1371" s="1" t="s">
        <v>56</v>
      </c>
      <c r="B1371" s="1" t="s">
        <v>57</v>
      </c>
      <c r="C1371" s="1" t="s">
        <v>1390</v>
      </c>
      <c r="D1371" s="1">
        <v>44.403700000000001</v>
      </c>
      <c r="E1371" s="1">
        <v>-95.253799999999998</v>
      </c>
      <c r="F1371" s="1" t="s">
        <v>1922</v>
      </c>
      <c r="G1371" s="22">
        <v>1192.0526162746278</v>
      </c>
      <c r="H1371" s="20">
        <f ca="1">NOW() - TIME(5,30,0) + (VLOOKUP(MasterTable[[#This Row],[TimeZone]], $O$3:$P$8, 2, FALSE) / 24)</f>
        <v>45990.531878125003</v>
      </c>
      <c r="I1371" s="1" t="s">
        <v>1944</v>
      </c>
      <c r="J1371" s="1">
        <v>881.24</v>
      </c>
    </row>
    <row r="1372" spans="1:10" x14ac:dyDescent="0.25">
      <c r="A1372" s="1" t="s">
        <v>56</v>
      </c>
      <c r="B1372" s="1" t="s">
        <v>57</v>
      </c>
      <c r="C1372" s="1" t="s">
        <v>1393</v>
      </c>
      <c r="D1372" s="1">
        <v>48.775100000000002</v>
      </c>
      <c r="E1372" s="1">
        <v>-95.8108</v>
      </c>
      <c r="F1372" s="1" t="s">
        <v>1922</v>
      </c>
      <c r="G1372" s="22">
        <v>1386.8928001654428</v>
      </c>
      <c r="H1372" s="20">
        <f ca="1">NOW() - TIME(5,30,0) + (VLOOKUP(MasterTable[[#This Row],[TimeZone]], $O$3:$P$8, 2, FALSE) / 24)</f>
        <v>45990.531878125003</v>
      </c>
      <c r="I1372" s="1" t="s">
        <v>1944</v>
      </c>
      <c r="J1372" s="1">
        <v>1678.33</v>
      </c>
    </row>
    <row r="1373" spans="1:10" x14ac:dyDescent="0.25">
      <c r="A1373" s="1" t="s">
        <v>56</v>
      </c>
      <c r="B1373" s="1" t="s">
        <v>57</v>
      </c>
      <c r="C1373" s="1" t="s">
        <v>1404</v>
      </c>
      <c r="D1373" s="1">
        <v>44.579500000000003</v>
      </c>
      <c r="E1373" s="1">
        <v>-94.232100000000003</v>
      </c>
      <c r="F1373" s="1" t="s">
        <v>1922</v>
      </c>
      <c r="G1373" s="22">
        <v>1238.9400588458734</v>
      </c>
      <c r="H1373" s="20">
        <f ca="1">NOW() - TIME(5,30,0) + (VLOOKUP(MasterTable[[#This Row],[TimeZone]], $O$3:$P$8, 2, FALSE) / 24)</f>
        <v>45990.531878125003</v>
      </c>
      <c r="I1373" s="1" t="s">
        <v>1944</v>
      </c>
      <c r="J1373" s="1">
        <v>600.41</v>
      </c>
    </row>
    <row r="1374" spans="1:10" x14ac:dyDescent="0.25">
      <c r="A1374" s="1" t="s">
        <v>56</v>
      </c>
      <c r="B1374" s="1" t="s">
        <v>57</v>
      </c>
      <c r="C1374" s="1" t="s">
        <v>1414</v>
      </c>
      <c r="D1374" s="1">
        <v>44.726799999999997</v>
      </c>
      <c r="E1374" s="1">
        <v>-94.947100000000006</v>
      </c>
      <c r="F1374" s="1" t="s">
        <v>1922</v>
      </c>
      <c r="G1374" s="22">
        <v>1217.9247357326358</v>
      </c>
      <c r="H1374" s="20">
        <f ca="1">NOW() - TIME(5,30,0) + (VLOOKUP(MasterTable[[#This Row],[TimeZone]], $O$3:$P$8, 2, FALSE) / 24)</f>
        <v>45990.531878125003</v>
      </c>
      <c r="I1374" s="1" t="s">
        <v>1944</v>
      </c>
      <c r="J1374" s="1">
        <v>987.22</v>
      </c>
    </row>
    <row r="1375" spans="1:10" x14ac:dyDescent="0.25">
      <c r="A1375" s="1" t="s">
        <v>56</v>
      </c>
      <c r="B1375" s="1" t="s">
        <v>57</v>
      </c>
      <c r="C1375" s="1" t="s">
        <v>1429</v>
      </c>
      <c r="D1375" s="1">
        <v>46.585799999999999</v>
      </c>
      <c r="E1375" s="1">
        <v>-94.969399999999993</v>
      </c>
      <c r="F1375" s="1" t="s">
        <v>1922</v>
      </c>
      <c r="G1375" s="22">
        <v>1302.8858726813839</v>
      </c>
      <c r="H1375" s="20">
        <f ca="1">NOW() - TIME(5,30,0) + (VLOOKUP(MasterTable[[#This Row],[TimeZone]], $O$3:$P$8, 2, FALSE) / 24)</f>
        <v>45990.531878125003</v>
      </c>
      <c r="I1375" s="1" t="s">
        <v>1944</v>
      </c>
      <c r="J1375" s="1">
        <v>543</v>
      </c>
    </row>
    <row r="1376" spans="1:10" x14ac:dyDescent="0.25">
      <c r="A1376" s="1" t="s">
        <v>56</v>
      </c>
      <c r="B1376" s="1" t="s">
        <v>57</v>
      </c>
      <c r="C1376" s="1" t="s">
        <v>1441</v>
      </c>
      <c r="D1376" s="1">
        <v>43.673900000000003</v>
      </c>
      <c r="E1376" s="1">
        <v>-93.947999999999993</v>
      </c>
      <c r="F1376" s="1" t="s">
        <v>1922</v>
      </c>
      <c r="G1376" s="22">
        <v>1213.0968540289609</v>
      </c>
      <c r="H1376" s="20">
        <f ca="1">NOW() - TIME(5,30,0) + (VLOOKUP(MasterTable[[#This Row],[TimeZone]], $O$3:$P$8, 2, FALSE) / 24)</f>
        <v>45990.531878125003</v>
      </c>
      <c r="I1376" s="1" t="s">
        <v>1944</v>
      </c>
      <c r="J1376" s="1">
        <v>721.61</v>
      </c>
    </row>
    <row r="1377" spans="1:10" x14ac:dyDescent="0.25">
      <c r="A1377" s="1" t="s">
        <v>56</v>
      </c>
      <c r="B1377" s="1" t="s">
        <v>57</v>
      </c>
      <c r="C1377" s="1" t="s">
        <v>548</v>
      </c>
      <c r="D1377" s="1">
        <v>48.066200000000002</v>
      </c>
      <c r="E1377" s="1">
        <v>-96.036699999999996</v>
      </c>
      <c r="F1377" s="1" t="s">
        <v>1922</v>
      </c>
      <c r="G1377" s="22">
        <v>1342.873747196503</v>
      </c>
      <c r="H1377" s="20">
        <f ca="1">NOW() - TIME(5,30,0) + (VLOOKUP(MasterTable[[#This Row],[TimeZone]], $O$3:$P$8, 2, FALSE) / 24)</f>
        <v>45990.531878125003</v>
      </c>
      <c r="I1377" s="1" t="s">
        <v>1944</v>
      </c>
      <c r="J1377" s="1">
        <v>618.34</v>
      </c>
    </row>
    <row r="1378" spans="1:10" x14ac:dyDescent="0.25">
      <c r="A1378" s="1" t="s">
        <v>56</v>
      </c>
      <c r="B1378" s="1" t="s">
        <v>57</v>
      </c>
      <c r="C1378" s="1" t="s">
        <v>735</v>
      </c>
      <c r="D1378" s="1">
        <v>45.022300000000001</v>
      </c>
      <c r="E1378" s="1">
        <v>-95.566699999999997</v>
      </c>
      <c r="F1378" s="1" t="s">
        <v>1922</v>
      </c>
      <c r="G1378" s="22">
        <v>1208.2677986337733</v>
      </c>
      <c r="H1378" s="20">
        <f ca="1">NOW() - TIME(5,30,0) + (VLOOKUP(MasterTable[[#This Row],[TimeZone]], $O$3:$P$8, 2, FALSE) / 24)</f>
        <v>45990.531878125003</v>
      </c>
      <c r="I1378" s="1" t="s">
        <v>1944</v>
      </c>
      <c r="J1378" s="1">
        <v>2697.98</v>
      </c>
    </row>
    <row r="1379" spans="1:10" x14ac:dyDescent="0.25">
      <c r="A1379" s="1" t="s">
        <v>56</v>
      </c>
      <c r="B1379" s="1" t="s">
        <v>57</v>
      </c>
      <c r="C1379" s="1" t="s">
        <v>1503</v>
      </c>
      <c r="D1379" s="1">
        <v>48.2453</v>
      </c>
      <c r="E1379" s="1">
        <v>-93.7834</v>
      </c>
      <c r="F1379" s="1" t="s">
        <v>1922</v>
      </c>
      <c r="G1379" s="22">
        <v>1422.7533705687761</v>
      </c>
      <c r="H1379" s="20">
        <f ca="1">NOW() - TIME(5,30,0) + (VLOOKUP(MasterTable[[#This Row],[TimeZone]], $O$3:$P$8, 2, FALSE) / 24)</f>
        <v>45990.531878125003</v>
      </c>
      <c r="I1379" s="1" t="s">
        <v>1944</v>
      </c>
      <c r="J1379" s="1">
        <v>3154.32</v>
      </c>
    </row>
    <row r="1380" spans="1:10" x14ac:dyDescent="0.25">
      <c r="A1380" s="1" t="s">
        <v>56</v>
      </c>
      <c r="B1380" s="1" t="s">
        <v>57</v>
      </c>
      <c r="C1380" s="1" t="s">
        <v>1514</v>
      </c>
      <c r="D1380" s="1">
        <v>44.007100000000001</v>
      </c>
      <c r="E1380" s="1">
        <v>-95.181200000000004</v>
      </c>
      <c r="F1380" s="1" t="s">
        <v>1922</v>
      </c>
      <c r="G1380" s="22">
        <v>1177.5947249159569</v>
      </c>
      <c r="H1380" s="20">
        <f ca="1">NOW() - TIME(5,30,0) + (VLOOKUP(MasterTable[[#This Row],[TimeZone]], $O$3:$P$8, 2, FALSE) / 24)</f>
        <v>45990.531878125003</v>
      </c>
      <c r="I1380" s="1" t="s">
        <v>1944</v>
      </c>
      <c r="J1380" s="1">
        <v>648.91</v>
      </c>
    </row>
    <row r="1381" spans="1:10" x14ac:dyDescent="0.25">
      <c r="A1381" s="1" t="s">
        <v>56</v>
      </c>
      <c r="B1381" s="1" t="s">
        <v>57</v>
      </c>
      <c r="C1381" s="1" t="s">
        <v>758</v>
      </c>
      <c r="D1381" s="1">
        <v>45.585999999999999</v>
      </c>
      <c r="E1381" s="1">
        <v>-95.444500000000005</v>
      </c>
      <c r="F1381" s="1" t="s">
        <v>1922</v>
      </c>
      <c r="G1381" s="22">
        <v>1238.8735633546987</v>
      </c>
      <c r="H1381" s="20">
        <f ca="1">NOW() - TIME(5,30,0) + (VLOOKUP(MasterTable[[#This Row],[TimeZone]], $O$3:$P$8, 2, FALSE) / 24)</f>
        <v>45990.531878125003</v>
      </c>
      <c r="I1381" s="1" t="s">
        <v>1944</v>
      </c>
      <c r="J1381" s="1">
        <v>830.79</v>
      </c>
    </row>
    <row r="1382" spans="1:10" x14ac:dyDescent="0.25">
      <c r="A1382" s="1" t="s">
        <v>56</v>
      </c>
      <c r="B1382" s="1" t="s">
        <v>57</v>
      </c>
      <c r="C1382" s="1" t="s">
        <v>1520</v>
      </c>
      <c r="D1382" s="1">
        <v>43.978400000000001</v>
      </c>
      <c r="E1382" s="1">
        <v>-94.614099999999993</v>
      </c>
      <c r="F1382" s="1" t="s">
        <v>1922</v>
      </c>
      <c r="G1382" s="22">
        <v>1198.6554845285737</v>
      </c>
      <c r="H1382" s="20">
        <f ca="1">NOW() - TIME(5,30,0) + (VLOOKUP(MasterTable[[#This Row],[TimeZone]], $O$3:$P$8, 2, FALSE) / 24)</f>
        <v>45990.531878125003</v>
      </c>
      <c r="I1382" s="1" t="s">
        <v>1944</v>
      </c>
      <c r="J1382" s="1">
        <v>439.92</v>
      </c>
    </row>
    <row r="1383" spans="1:10" x14ac:dyDescent="0.25">
      <c r="A1383" s="1" t="s">
        <v>56</v>
      </c>
      <c r="B1383" s="1" t="s">
        <v>57</v>
      </c>
      <c r="C1383" s="1" t="s">
        <v>142</v>
      </c>
      <c r="D1383" s="1">
        <v>47.641100000000002</v>
      </c>
      <c r="E1383" s="1">
        <v>-91.445800000000006</v>
      </c>
      <c r="F1383" s="1" t="s">
        <v>1922</v>
      </c>
      <c r="G1383" s="22">
        <v>1475.2231716952654</v>
      </c>
      <c r="H1383" s="20">
        <f ca="1">NOW() - TIME(5,30,0) + (VLOOKUP(MasterTable[[#This Row],[TimeZone]], $O$3:$P$8, 2, FALSE) / 24)</f>
        <v>45990.531878125003</v>
      </c>
      <c r="I1383" s="1" t="s">
        <v>1944</v>
      </c>
      <c r="J1383" s="1">
        <v>1329.48</v>
      </c>
    </row>
    <row r="1384" spans="1:10" x14ac:dyDescent="0.25">
      <c r="A1384" s="1" t="s">
        <v>56</v>
      </c>
      <c r="B1384" s="1" t="s">
        <v>57</v>
      </c>
      <c r="C1384" s="1" t="s">
        <v>140</v>
      </c>
      <c r="D1384" s="1">
        <v>43.674199999999999</v>
      </c>
      <c r="E1384" s="1">
        <v>-95.1541</v>
      </c>
      <c r="F1384" s="1" t="s">
        <v>1922</v>
      </c>
      <c r="G1384" s="22">
        <v>1164.5044577076681</v>
      </c>
      <c r="H1384" s="20">
        <f ca="1">NOW() - TIME(5,30,0) + (VLOOKUP(MasterTable[[#This Row],[TimeZone]], $O$3:$P$8, 2, FALSE) / 24)</f>
        <v>45990.531878125003</v>
      </c>
      <c r="I1384" s="1" t="s">
        <v>1944</v>
      </c>
      <c r="J1384" s="1">
        <v>1126.77</v>
      </c>
    </row>
    <row r="1385" spans="1:10" x14ac:dyDescent="0.25">
      <c r="A1385" s="1" t="s">
        <v>56</v>
      </c>
      <c r="B1385" s="1" t="s">
        <v>57</v>
      </c>
      <c r="C1385" s="1" t="s">
        <v>1560</v>
      </c>
      <c r="D1385" s="1">
        <v>45.282699999999998</v>
      </c>
      <c r="E1385" s="1">
        <v>-95.6815</v>
      </c>
      <c r="F1385" s="1" t="s">
        <v>1922</v>
      </c>
      <c r="G1385" s="22">
        <v>1216.2122880708807</v>
      </c>
      <c r="H1385" s="20">
        <f ca="1">NOW() - TIME(5,30,0) + (VLOOKUP(MasterTable[[#This Row],[TimeZone]], $O$3:$P$8, 2, FALSE) / 24)</f>
        <v>45990.531878125003</v>
      </c>
      <c r="I1385" s="1" t="s">
        <v>1944</v>
      </c>
      <c r="J1385" s="1">
        <v>752.35</v>
      </c>
    </row>
    <row r="1386" spans="1:10" x14ac:dyDescent="0.25">
      <c r="A1386" s="1" t="s">
        <v>56</v>
      </c>
      <c r="B1386" s="1" t="s">
        <v>57</v>
      </c>
      <c r="C1386" s="1" t="s">
        <v>863</v>
      </c>
      <c r="D1386" s="1">
        <v>45.586100000000002</v>
      </c>
      <c r="E1386" s="1">
        <v>-96.000299999999996</v>
      </c>
      <c r="F1386" s="1" t="s">
        <v>1922</v>
      </c>
      <c r="G1386" s="22">
        <v>1219.359024163411</v>
      </c>
      <c r="H1386" s="20">
        <f ca="1">NOW() - TIME(5,30,0) + (VLOOKUP(MasterTable[[#This Row],[TimeZone]], $O$3:$P$8, 2, FALSE) / 24)</f>
        <v>45990.531878125003</v>
      </c>
      <c r="I1386" s="1" t="s">
        <v>1944</v>
      </c>
      <c r="J1386" s="1">
        <v>727.71</v>
      </c>
    </row>
    <row r="1387" spans="1:10" x14ac:dyDescent="0.25">
      <c r="A1387" s="1" t="s">
        <v>56</v>
      </c>
      <c r="B1387" s="1" t="s">
        <v>57</v>
      </c>
      <c r="C1387" s="1" t="s">
        <v>442</v>
      </c>
      <c r="D1387" s="1">
        <v>43.674700000000001</v>
      </c>
      <c r="E1387" s="1">
        <v>-96.253200000000007</v>
      </c>
      <c r="F1387" s="1" t="s">
        <v>1922</v>
      </c>
      <c r="G1387" s="22">
        <v>1121.6738513061644</v>
      </c>
      <c r="H1387" s="20">
        <f ca="1">NOW() - TIME(5,30,0) + (VLOOKUP(MasterTable[[#This Row],[TimeZone]], $O$3:$P$8, 2, FALSE) / 24)</f>
        <v>45990.531878125003</v>
      </c>
      <c r="I1387" s="1" t="s">
        <v>1944</v>
      </c>
      <c r="J1387" s="1">
        <v>482.84</v>
      </c>
    </row>
    <row r="1388" spans="1:10" x14ac:dyDescent="0.25">
      <c r="A1388" s="1" t="s">
        <v>56</v>
      </c>
      <c r="B1388" s="1" t="s">
        <v>57</v>
      </c>
      <c r="C1388" s="1" t="s">
        <v>1571</v>
      </c>
      <c r="D1388" s="1">
        <v>44.716200000000001</v>
      </c>
      <c r="E1388" s="1">
        <v>-95.868399999999994</v>
      </c>
      <c r="F1388" s="1" t="s">
        <v>1922</v>
      </c>
      <c r="G1388" s="22">
        <v>1183.1618790377031</v>
      </c>
      <c r="H1388" s="20">
        <f ca="1">NOW() - TIME(5,30,0) + (VLOOKUP(MasterTable[[#This Row],[TimeZone]], $O$3:$P$8, 2, FALSE) / 24)</f>
        <v>45990.531878125003</v>
      </c>
      <c r="I1388" s="1" t="s">
        <v>1944</v>
      </c>
      <c r="J1388" s="1">
        <v>763.39</v>
      </c>
    </row>
    <row r="1389" spans="1:10" x14ac:dyDescent="0.25">
      <c r="A1389" s="1" t="s">
        <v>56</v>
      </c>
      <c r="B1389" s="1" t="s">
        <v>57</v>
      </c>
      <c r="C1389" s="1" t="s">
        <v>1580</v>
      </c>
      <c r="D1389" s="1">
        <v>44.023000000000003</v>
      </c>
      <c r="E1389" s="1">
        <v>-96.258600000000001</v>
      </c>
      <c r="F1389" s="1" t="s">
        <v>1922</v>
      </c>
      <c r="G1389" s="22">
        <v>1137.0709269214847</v>
      </c>
      <c r="H1389" s="20">
        <f ca="1">NOW() - TIME(5,30,0) + (VLOOKUP(MasterTable[[#This Row],[TimeZone]], $O$3:$P$8, 2, FALSE) / 24)</f>
        <v>45990.531878125003</v>
      </c>
      <c r="I1389" s="1" t="s">
        <v>1944</v>
      </c>
      <c r="J1389" s="1">
        <v>466.15</v>
      </c>
    </row>
    <row r="1390" spans="1:10" x14ac:dyDescent="0.25">
      <c r="A1390" s="1" t="s">
        <v>56</v>
      </c>
      <c r="B1390" s="1" t="s">
        <v>57</v>
      </c>
      <c r="C1390" s="1" t="s">
        <v>600</v>
      </c>
      <c r="D1390" s="1">
        <v>48.3581</v>
      </c>
      <c r="E1390" s="1">
        <v>-96.368499999999997</v>
      </c>
      <c r="F1390" s="1" t="s">
        <v>1922</v>
      </c>
      <c r="G1390" s="22">
        <v>1348.4331340573208</v>
      </c>
      <c r="H1390" s="20">
        <f ca="1">NOW() - TIME(5,30,0) + (VLOOKUP(MasterTable[[#This Row],[TimeZone]], $O$3:$P$8, 2, FALSE) / 24)</f>
        <v>45990.531878125003</v>
      </c>
      <c r="I1390" s="1" t="s">
        <v>1944</v>
      </c>
      <c r="J1390" s="1">
        <v>623.16</v>
      </c>
    </row>
    <row r="1391" spans="1:10" x14ac:dyDescent="0.25">
      <c r="A1391" s="1" t="s">
        <v>56</v>
      </c>
      <c r="B1391" s="1" t="s">
        <v>57</v>
      </c>
      <c r="C1391" s="1" t="s">
        <v>1589</v>
      </c>
      <c r="D1391" s="1">
        <v>47.5777</v>
      </c>
      <c r="E1391" s="1">
        <v>-95.379000000000005</v>
      </c>
      <c r="F1391" s="1" t="s">
        <v>1922</v>
      </c>
      <c r="G1391" s="22">
        <v>1338.1816460541777</v>
      </c>
      <c r="H1391" s="20">
        <f ca="1">NOW() - TIME(5,30,0) + (VLOOKUP(MasterTable[[#This Row],[TimeZone]], $O$3:$P$8, 2, FALSE) / 24)</f>
        <v>45990.531878125003</v>
      </c>
      <c r="I1391" s="1" t="s">
        <v>1944</v>
      </c>
      <c r="J1391" s="1">
        <v>2488.1</v>
      </c>
    </row>
    <row r="1392" spans="1:10" x14ac:dyDescent="0.25">
      <c r="A1392" s="1" t="s">
        <v>56</v>
      </c>
      <c r="B1392" s="1" t="s">
        <v>57</v>
      </c>
      <c r="C1392" s="1" t="s">
        <v>948</v>
      </c>
      <c r="D1392" s="1">
        <v>44.022100000000002</v>
      </c>
      <c r="E1392" s="1">
        <v>-95.763300000000001</v>
      </c>
      <c r="F1392" s="1" t="s">
        <v>1922</v>
      </c>
      <c r="G1392" s="22">
        <v>1155.7974214320739</v>
      </c>
      <c r="H1392" s="20">
        <f ca="1">NOW() - TIME(5,30,0) + (VLOOKUP(MasterTable[[#This Row],[TimeZone]], $O$3:$P$8, 2, FALSE) / 24)</f>
        <v>45990.531878125003</v>
      </c>
      <c r="I1392" s="1" t="s">
        <v>1944</v>
      </c>
      <c r="J1392" s="1">
        <v>346.88</v>
      </c>
    </row>
    <row r="1393" spans="1:10" x14ac:dyDescent="0.25">
      <c r="A1393" s="1" t="s">
        <v>56</v>
      </c>
      <c r="B1393" s="1" t="s">
        <v>57</v>
      </c>
      <c r="C1393" s="1" t="s">
        <v>1685</v>
      </c>
      <c r="D1393" s="1">
        <v>44.9955</v>
      </c>
      <c r="E1393" s="1">
        <v>-96.173500000000004</v>
      </c>
      <c r="F1393" s="1" t="s">
        <v>1922</v>
      </c>
      <c r="G1393" s="22">
        <v>1185.1355282457455</v>
      </c>
      <c r="H1393" s="20">
        <f ca="1">NOW() - TIME(5,30,0) + (VLOOKUP(MasterTable[[#This Row],[TimeZone]], $O$3:$P$8, 2, FALSE) / 24)</f>
        <v>45990.531878125003</v>
      </c>
      <c r="I1393" s="1" t="s">
        <v>1944</v>
      </c>
      <c r="J1393" s="1">
        <v>778.05</v>
      </c>
    </row>
    <row r="1394" spans="1:10" x14ac:dyDescent="0.25">
      <c r="A1394" s="1" t="s">
        <v>56</v>
      </c>
      <c r="B1394" s="1" t="s">
        <v>57</v>
      </c>
      <c r="C1394" s="1" t="s">
        <v>1694</v>
      </c>
      <c r="D1394" s="1">
        <v>46.356999999999999</v>
      </c>
      <c r="E1394" s="1">
        <v>-96.468299999999999</v>
      </c>
      <c r="F1394" s="1" t="s">
        <v>1922</v>
      </c>
      <c r="G1394" s="22">
        <v>1241.5249601868857</v>
      </c>
      <c r="H1394" s="20">
        <f ca="1">NOW() - TIME(5,30,0) + (VLOOKUP(MasterTable[[#This Row],[TimeZone]], $O$3:$P$8, 2, FALSE) / 24)</f>
        <v>45990.531878125003</v>
      </c>
      <c r="I1394" s="1" t="s">
        <v>1944</v>
      </c>
      <c r="J1394" s="1">
        <v>751.63</v>
      </c>
    </row>
    <row r="1395" spans="1:10" x14ac:dyDescent="0.25">
      <c r="A1395" s="1" t="s">
        <v>56</v>
      </c>
      <c r="B1395" s="1" t="s">
        <v>57</v>
      </c>
      <c r="C1395" s="1" t="s">
        <v>1695</v>
      </c>
      <c r="D1395" s="1">
        <v>47.326500000000003</v>
      </c>
      <c r="E1395" s="1">
        <v>-96.455299999999994</v>
      </c>
      <c r="F1395" s="1" t="s">
        <v>1922</v>
      </c>
      <c r="G1395" s="22">
        <v>1291.5376760915422</v>
      </c>
      <c r="H1395" s="20">
        <f ca="1">NOW() - TIME(5,30,0) + (VLOOKUP(MasterTable[[#This Row],[TimeZone]], $O$3:$P$8, 2, FALSE) / 24)</f>
        <v>45990.531878125003</v>
      </c>
      <c r="I1395" s="1" t="s">
        <v>1944</v>
      </c>
      <c r="J1395" s="1">
        <v>876.82</v>
      </c>
    </row>
    <row r="1396" spans="1:10" x14ac:dyDescent="0.25">
      <c r="A1396" s="1" t="s">
        <v>56</v>
      </c>
      <c r="B1396" s="1" t="s">
        <v>57</v>
      </c>
      <c r="C1396" s="1" t="s">
        <v>590</v>
      </c>
      <c r="D1396" s="1">
        <v>45.934100000000001</v>
      </c>
      <c r="E1396" s="1">
        <v>-96.012200000000007</v>
      </c>
      <c r="F1396" s="1" t="s">
        <v>1922</v>
      </c>
      <c r="G1396" s="22">
        <v>1235.787498009608</v>
      </c>
      <c r="H1396" s="20">
        <f ca="1">NOW() - TIME(5,30,0) + (VLOOKUP(MasterTable[[#This Row],[TimeZone]], $O$3:$P$8, 2, FALSE) / 24)</f>
        <v>45990.531878125003</v>
      </c>
      <c r="I1396" s="1" t="s">
        <v>1944</v>
      </c>
      <c r="J1396" s="1">
        <v>633.01</v>
      </c>
    </row>
    <row r="1397" spans="1:10" x14ac:dyDescent="0.25">
      <c r="A1397" s="1" t="s">
        <v>56</v>
      </c>
      <c r="B1397" s="1" t="s">
        <v>57</v>
      </c>
      <c r="C1397" s="1" t="s">
        <v>3</v>
      </c>
      <c r="D1397" s="1">
        <v>47.9026</v>
      </c>
      <c r="E1397" s="1">
        <v>-90.535399999999996</v>
      </c>
      <c r="F1397" s="1" t="s">
        <v>1922</v>
      </c>
      <c r="G1397" s="22">
        <v>1519.529122858223</v>
      </c>
      <c r="H1397" s="20">
        <f ca="1">NOW() - TIME(5,30,0) + (VLOOKUP(MasterTable[[#This Row],[TimeZone]], $O$3:$P$8, 2, FALSE) / 24)</f>
        <v>45990.531878125003</v>
      </c>
      <c r="I1397" s="1" t="s">
        <v>1944</v>
      </c>
      <c r="J1397" s="1">
        <v>233.22</v>
      </c>
    </row>
    <row r="1398" spans="1:10" x14ac:dyDescent="0.25">
      <c r="A1398" s="1" t="s">
        <v>56</v>
      </c>
      <c r="B1398" s="1" t="s">
        <v>57</v>
      </c>
      <c r="C1398" s="1" t="s">
        <v>632</v>
      </c>
      <c r="D1398" s="1">
        <v>44.412599999999998</v>
      </c>
      <c r="E1398" s="1">
        <v>-96.267099999999999</v>
      </c>
      <c r="F1398" s="1" t="s">
        <v>1922</v>
      </c>
      <c r="G1398" s="22">
        <v>1154.5477576996377</v>
      </c>
      <c r="H1398" s="20">
        <f ca="1">NOW() - TIME(5,30,0) + (VLOOKUP(MasterTable[[#This Row],[TimeZone]], $O$3:$P$8, 2, FALSE) / 24)</f>
        <v>45990.531878125003</v>
      </c>
      <c r="I1398" s="1" t="s">
        <v>1944</v>
      </c>
      <c r="J1398" s="1">
        <v>572.16999999999996</v>
      </c>
    </row>
    <row r="1399" spans="1:10" x14ac:dyDescent="0.25">
      <c r="A1399" s="1" t="s">
        <v>56</v>
      </c>
      <c r="B1399" s="1" t="s">
        <v>57</v>
      </c>
      <c r="C1399" s="1" t="s">
        <v>1740</v>
      </c>
      <c r="D1399" s="1">
        <v>47.325299999999999</v>
      </c>
      <c r="E1399" s="1">
        <v>-95.809100000000001</v>
      </c>
      <c r="F1399" s="1" t="s">
        <v>1922</v>
      </c>
      <c r="G1399" s="22">
        <v>1311.7248081302203</v>
      </c>
      <c r="H1399" s="20">
        <f ca="1">NOW() - TIME(5,30,0) + (VLOOKUP(MasterTable[[#This Row],[TimeZone]], $O$3:$P$8, 2, FALSE) / 24)</f>
        <v>45990.531878125003</v>
      </c>
      <c r="I1399" s="1" t="s">
        <v>1944</v>
      </c>
      <c r="J1399" s="1">
        <v>582.99</v>
      </c>
    </row>
    <row r="1400" spans="1:10" x14ac:dyDescent="0.25">
      <c r="A1400" s="1" t="s">
        <v>56</v>
      </c>
      <c r="B1400" s="1" t="s">
        <v>57</v>
      </c>
      <c r="C1400" s="1" t="s">
        <v>1749</v>
      </c>
      <c r="D1400" s="1">
        <v>45.426099999999998</v>
      </c>
      <c r="E1400" s="1">
        <v>-96.411000000000001</v>
      </c>
      <c r="F1400" s="1" t="s">
        <v>1922</v>
      </c>
      <c r="G1400" s="22">
        <v>1197.4064712439351</v>
      </c>
      <c r="H1400" s="20">
        <f ca="1">NOW() - TIME(5,30,0) + (VLOOKUP(MasterTable[[#This Row],[TimeZone]], $O$3:$P$8, 2, FALSE) / 24)</f>
        <v>45990.531878125003</v>
      </c>
      <c r="I1400" s="1" t="s">
        <v>1944</v>
      </c>
      <c r="J1400" s="1">
        <v>527.88</v>
      </c>
    </row>
    <row r="1401" spans="1:10" x14ac:dyDescent="0.25">
      <c r="A1401" s="1" t="s">
        <v>56</v>
      </c>
      <c r="B1401" s="1" t="s">
        <v>57</v>
      </c>
      <c r="C1401" s="1" t="s">
        <v>1774</v>
      </c>
      <c r="D1401" s="1">
        <v>48.776600000000002</v>
      </c>
      <c r="E1401" s="1">
        <v>-96.782899999999998</v>
      </c>
      <c r="F1401" s="1" t="s">
        <v>1922</v>
      </c>
      <c r="G1401" s="22">
        <v>1359.146996726196</v>
      </c>
      <c r="H1401" s="20">
        <f ca="1">NOW() - TIME(5,30,0) + (VLOOKUP(MasterTable[[#This Row],[TimeZone]], $O$3:$P$8, 2, FALSE) / 24)</f>
        <v>45990.531878125003</v>
      </c>
      <c r="I1401" s="1" t="s">
        <v>1944</v>
      </c>
      <c r="J1401" s="1">
        <v>1103.51</v>
      </c>
    </row>
    <row r="1402" spans="1:10" x14ac:dyDescent="0.25">
      <c r="A1402" s="1" t="s">
        <v>56</v>
      </c>
      <c r="B1402" s="1" t="s">
        <v>57</v>
      </c>
      <c r="C1402" s="1" t="s">
        <v>1783</v>
      </c>
      <c r="D1402" s="1">
        <v>47.871699999999997</v>
      </c>
      <c r="E1402" s="1">
        <v>-96.095299999999995</v>
      </c>
      <c r="F1402" s="1" t="s">
        <v>1922</v>
      </c>
      <c r="G1402" s="22">
        <v>1330.9417978788251</v>
      </c>
      <c r="H1402" s="20">
        <f ca="1">NOW() - TIME(5,30,0) + (VLOOKUP(MasterTable[[#This Row],[TimeZone]], $O$3:$P$8, 2, FALSE) / 24)</f>
        <v>45990.531878125003</v>
      </c>
      <c r="I1402" s="1" t="s">
        <v>1944</v>
      </c>
      <c r="J1402" s="1">
        <v>432.51</v>
      </c>
    </row>
    <row r="1403" spans="1:10" x14ac:dyDescent="0.25">
      <c r="A1403" s="1" t="s">
        <v>56</v>
      </c>
      <c r="B1403" s="1" t="s">
        <v>57</v>
      </c>
      <c r="C1403" s="1" t="s">
        <v>1788</v>
      </c>
      <c r="D1403" s="1">
        <v>48.7712</v>
      </c>
      <c r="E1403" s="1">
        <v>-94.904600000000002</v>
      </c>
      <c r="F1403" s="1" t="s">
        <v>1922</v>
      </c>
      <c r="G1403" s="22">
        <v>1413.7407549944853</v>
      </c>
      <c r="H1403" s="20">
        <f ca="1">NOW() - TIME(5,30,0) + (VLOOKUP(MasterTable[[#This Row],[TimeZone]], $O$3:$P$8, 2, FALSE) / 24)</f>
        <v>45990.531878125003</v>
      </c>
      <c r="I1403" s="1" t="s">
        <v>1944</v>
      </c>
      <c r="J1403" s="1">
        <v>1775.05</v>
      </c>
    </row>
    <row r="1404" spans="1:10" x14ac:dyDescent="0.25">
      <c r="A1404" s="1" t="s">
        <v>56</v>
      </c>
      <c r="B1404" s="1" t="s">
        <v>57</v>
      </c>
      <c r="C1404" s="1" t="s">
        <v>1814</v>
      </c>
      <c r="D1404" s="1">
        <v>45.772199999999998</v>
      </c>
      <c r="E1404" s="1">
        <v>-96.471599999999995</v>
      </c>
      <c r="F1404" s="1" t="s">
        <v>1922</v>
      </c>
      <c r="G1404" s="22">
        <v>1212.2689144680776</v>
      </c>
      <c r="H1404" s="20">
        <f ca="1">NOW() - TIME(5,30,0) + (VLOOKUP(MasterTable[[#This Row],[TimeZone]], $O$3:$P$8, 2, FALSE) / 24)</f>
        <v>45990.531878125003</v>
      </c>
      <c r="I1404" s="1" t="s">
        <v>1944</v>
      </c>
      <c r="J1404" s="1">
        <v>585.96</v>
      </c>
    </row>
    <row r="1405" spans="1:10" x14ac:dyDescent="0.25">
      <c r="A1405" s="1" t="s">
        <v>86</v>
      </c>
      <c r="B1405" s="1" t="s">
        <v>87</v>
      </c>
      <c r="C1405" s="1" t="s">
        <v>85</v>
      </c>
      <c r="D1405" s="1">
        <v>38.640700000000002</v>
      </c>
      <c r="E1405" s="1">
        <v>-90.443399999999997</v>
      </c>
      <c r="F1405" s="1" t="s">
        <v>1922</v>
      </c>
      <c r="G1405" s="22">
        <v>1232.2181065827874</v>
      </c>
      <c r="H1405" s="20">
        <f ca="1">NOW() - TIME(5,30,0) + (VLOOKUP(MasterTable[[#This Row],[TimeZone]], $O$3:$P$8, 2, FALSE) / 24)</f>
        <v>45990.531878125003</v>
      </c>
      <c r="I1405" s="1" t="s">
        <v>1944</v>
      </c>
      <c r="J1405" s="1">
        <v>6859.91</v>
      </c>
    </row>
    <row r="1406" spans="1:10" x14ac:dyDescent="0.25">
      <c r="A1406" s="1" t="s">
        <v>86</v>
      </c>
      <c r="B1406" s="1" t="s">
        <v>87</v>
      </c>
      <c r="C1406" s="1" t="s">
        <v>140</v>
      </c>
      <c r="D1406" s="1">
        <v>39.008499999999998</v>
      </c>
      <c r="E1406" s="1">
        <v>-94.346100000000007</v>
      </c>
      <c r="F1406" s="1" t="s">
        <v>1922</v>
      </c>
      <c r="G1406" s="22">
        <v>1040.5363054083932</v>
      </c>
      <c r="H1406" s="20">
        <f ca="1">NOW() - TIME(5,30,0) + (VLOOKUP(MasterTable[[#This Row],[TimeZone]], $O$3:$P$8, 2, FALSE) / 24)</f>
        <v>45990.531878125003</v>
      </c>
      <c r="I1406" s="1" t="s">
        <v>1944</v>
      </c>
      <c r="J1406" s="1">
        <v>1126.77</v>
      </c>
    </row>
    <row r="1407" spans="1:10" x14ac:dyDescent="0.25">
      <c r="A1407" s="1" t="s">
        <v>86</v>
      </c>
      <c r="B1407" s="1" t="s">
        <v>87</v>
      </c>
      <c r="C1407" s="1" t="s">
        <v>237</v>
      </c>
      <c r="D1407" s="1">
        <v>38.781999999999996</v>
      </c>
      <c r="E1407" s="1">
        <v>-90.674899999999994</v>
      </c>
      <c r="F1407" s="1" t="s">
        <v>1922</v>
      </c>
      <c r="G1407" s="22">
        <v>1222.7309015996846</v>
      </c>
      <c r="H1407" s="20">
        <f ca="1">NOW() - TIME(5,30,0) + (VLOOKUP(MasterTable[[#This Row],[TimeZone]], $O$3:$P$8, 2, FALSE) / 24)</f>
        <v>45990.531878125003</v>
      </c>
      <c r="I1407" s="1" t="s">
        <v>1944</v>
      </c>
      <c r="J1407" s="1">
        <v>410.16</v>
      </c>
    </row>
    <row r="1408" spans="1:10" x14ac:dyDescent="0.25">
      <c r="A1408" s="1" t="s">
        <v>86</v>
      </c>
      <c r="B1408" s="1" t="s">
        <v>87</v>
      </c>
      <c r="C1408" s="1" t="s">
        <v>289</v>
      </c>
      <c r="D1408" s="1">
        <v>37.258099999999999</v>
      </c>
      <c r="E1408" s="1">
        <v>-93.341999999999999</v>
      </c>
      <c r="F1408" s="1" t="s">
        <v>1922</v>
      </c>
      <c r="G1408" s="22">
        <v>1055.4175230126418</v>
      </c>
      <c r="H1408" s="20">
        <f ca="1">NOW() - TIME(5,30,0) + (VLOOKUP(MasterTable[[#This Row],[TimeZone]], $O$3:$P$8, 2, FALSE) / 24)</f>
        <v>45990.531878125003</v>
      </c>
      <c r="I1408" s="1" t="s">
        <v>1944</v>
      </c>
      <c r="J1408" s="1">
        <v>659.93</v>
      </c>
    </row>
    <row r="1409" spans="1:10" x14ac:dyDescent="0.25">
      <c r="A1409" s="1" t="s">
        <v>86</v>
      </c>
      <c r="B1409" s="1" t="s">
        <v>87</v>
      </c>
      <c r="C1409" s="1" t="s">
        <v>85</v>
      </c>
      <c r="D1409" s="1">
        <v>38.635800000000003</v>
      </c>
      <c r="E1409" s="1">
        <v>-90.245099999999994</v>
      </c>
      <c r="F1409" s="1" t="s">
        <v>1922</v>
      </c>
      <c r="G1409" s="22">
        <v>1242.4844415531447</v>
      </c>
      <c r="H1409" s="20">
        <f ca="1">NOW() - TIME(5,30,0) + (VLOOKUP(MasterTable[[#This Row],[TimeZone]], $O$3:$P$8, 2, FALSE) / 24)</f>
        <v>45990.531878125003</v>
      </c>
      <c r="I1409" s="1" t="s">
        <v>1944</v>
      </c>
      <c r="J1409" s="1">
        <v>6859.91</v>
      </c>
    </row>
    <row r="1410" spans="1:10" x14ac:dyDescent="0.25">
      <c r="A1410" s="1" t="s">
        <v>86</v>
      </c>
      <c r="B1410" s="1" t="s">
        <v>87</v>
      </c>
      <c r="C1410" s="1" t="s">
        <v>327</v>
      </c>
      <c r="D1410" s="1">
        <v>39.310499999999998</v>
      </c>
      <c r="E1410" s="1">
        <v>-94.420900000000003</v>
      </c>
      <c r="F1410" s="1" t="s">
        <v>1922</v>
      </c>
      <c r="G1410" s="22">
        <v>1044.7379622142923</v>
      </c>
      <c r="H1410" s="20">
        <f ca="1">NOW() - TIME(5,30,0) + (VLOOKUP(MasterTable[[#This Row],[TimeZone]], $O$3:$P$8, 2, FALSE) / 24)</f>
        <v>45990.531878125003</v>
      </c>
      <c r="I1410" s="1" t="s">
        <v>1944</v>
      </c>
      <c r="J1410" s="1">
        <v>606</v>
      </c>
    </row>
    <row r="1411" spans="1:10" x14ac:dyDescent="0.25">
      <c r="A1411" s="1" t="s">
        <v>86</v>
      </c>
      <c r="B1411" s="1" t="s">
        <v>87</v>
      </c>
      <c r="C1411" s="1" t="s">
        <v>129</v>
      </c>
      <c r="D1411" s="1">
        <v>38.261000000000003</v>
      </c>
      <c r="E1411" s="1">
        <v>-90.537700000000001</v>
      </c>
      <c r="F1411" s="1" t="s">
        <v>1922</v>
      </c>
      <c r="G1411" s="22">
        <v>1220.7856166544238</v>
      </c>
      <c r="H1411" s="20">
        <f ca="1">NOW() - TIME(5,30,0) + (VLOOKUP(MasterTable[[#This Row],[TimeZone]], $O$3:$P$8, 2, FALSE) / 24)</f>
        <v>45990.531878125003</v>
      </c>
      <c r="I1411" s="1" t="s">
        <v>1944</v>
      </c>
      <c r="J1411" s="1">
        <v>1123.8</v>
      </c>
    </row>
    <row r="1412" spans="1:10" x14ac:dyDescent="0.25">
      <c r="A1412" s="1" t="s">
        <v>86</v>
      </c>
      <c r="B1412" s="1" t="s">
        <v>87</v>
      </c>
      <c r="C1412" s="1" t="s">
        <v>398</v>
      </c>
      <c r="D1412" s="1">
        <v>38.990600000000001</v>
      </c>
      <c r="E1412" s="1">
        <v>-92.309700000000007</v>
      </c>
      <c r="F1412" s="1" t="s">
        <v>1922</v>
      </c>
      <c r="G1412" s="22">
        <v>1142.8433021370706</v>
      </c>
      <c r="H1412" s="20">
        <f ca="1">NOW() - TIME(5,30,0) + (VLOOKUP(MasterTable[[#This Row],[TimeZone]], $O$3:$P$8, 2, FALSE) / 24)</f>
        <v>45990.531878125003</v>
      </c>
      <c r="I1412" s="1" t="s">
        <v>1944</v>
      </c>
      <c r="J1412" s="1">
        <v>601.82000000000005</v>
      </c>
    </row>
    <row r="1413" spans="1:10" x14ac:dyDescent="0.25">
      <c r="A1413" s="1" t="s">
        <v>86</v>
      </c>
      <c r="B1413" s="1" t="s">
        <v>87</v>
      </c>
      <c r="C1413" s="1" t="s">
        <v>522</v>
      </c>
      <c r="D1413" s="1">
        <v>37.203600000000002</v>
      </c>
      <c r="E1413" s="1">
        <v>-94.340599999999995</v>
      </c>
      <c r="F1413" s="1" t="s">
        <v>1922</v>
      </c>
      <c r="G1413" s="22">
        <v>1001.3045536691782</v>
      </c>
      <c r="H1413" s="20">
        <f ca="1">NOW() - TIME(5,30,0) + (VLOOKUP(MasterTable[[#This Row],[TimeZone]], $O$3:$P$8, 2, FALSE) / 24)</f>
        <v>45990.531878125003</v>
      </c>
      <c r="I1413" s="1" t="s">
        <v>1944</v>
      </c>
      <c r="J1413" s="1">
        <v>373.58</v>
      </c>
    </row>
    <row r="1414" spans="1:10" x14ac:dyDescent="0.25">
      <c r="A1414" s="1" t="s">
        <v>86</v>
      </c>
      <c r="B1414" s="1" t="s">
        <v>87</v>
      </c>
      <c r="C1414" s="1" t="s">
        <v>392</v>
      </c>
      <c r="D1414" s="1">
        <v>38.646999999999998</v>
      </c>
      <c r="E1414" s="1">
        <v>-94.354900000000001</v>
      </c>
      <c r="F1414" s="1" t="s">
        <v>1922</v>
      </c>
      <c r="G1414" s="22">
        <v>1031.1135401478125</v>
      </c>
      <c r="H1414" s="20">
        <f ca="1">NOW() - TIME(5,30,0) + (VLOOKUP(MasterTable[[#This Row],[TimeZone]], $O$3:$P$8, 2, FALSE) / 24)</f>
        <v>45990.531878125003</v>
      </c>
      <c r="I1414" s="1" t="s">
        <v>1944</v>
      </c>
      <c r="J1414" s="1">
        <v>383.73</v>
      </c>
    </row>
    <row r="1415" spans="1:10" x14ac:dyDescent="0.25">
      <c r="A1415" s="1" t="s">
        <v>86</v>
      </c>
      <c r="B1415" s="1" t="s">
        <v>87</v>
      </c>
      <c r="C1415" s="1" t="s">
        <v>558</v>
      </c>
      <c r="D1415" s="1">
        <v>39.380299999999998</v>
      </c>
      <c r="E1415" s="1">
        <v>-94.773799999999994</v>
      </c>
      <c r="F1415" s="1" t="s">
        <v>1922</v>
      </c>
      <c r="G1415" s="22">
        <v>1029.3239037898215</v>
      </c>
      <c r="H1415" s="20">
        <f ca="1">NOW() - TIME(5,30,0) + (VLOOKUP(MasterTable[[#This Row],[TimeZone]], $O$3:$P$8, 2, FALSE) / 24)</f>
        <v>45990.531878125003</v>
      </c>
      <c r="I1415" s="1" t="s">
        <v>1944</v>
      </c>
      <c r="J1415" s="1">
        <v>427.22</v>
      </c>
    </row>
    <row r="1416" spans="1:10" x14ac:dyDescent="0.25">
      <c r="A1416" s="1" t="s">
        <v>86</v>
      </c>
      <c r="B1416" s="1" t="s">
        <v>87</v>
      </c>
      <c r="C1416" s="1" t="s">
        <v>50</v>
      </c>
      <c r="D1416" s="1">
        <v>38.411099999999998</v>
      </c>
      <c r="E1416" s="1">
        <v>-91.075000000000003</v>
      </c>
      <c r="F1416" s="1" t="s">
        <v>1922</v>
      </c>
      <c r="G1416" s="22">
        <v>1195.1467081455278</v>
      </c>
      <c r="H1416" s="20">
        <f ca="1">NOW() - TIME(5,30,0) + (VLOOKUP(MasterTable[[#This Row],[TimeZone]], $O$3:$P$8, 2, FALSE) / 24)</f>
        <v>45990.531878125003</v>
      </c>
      <c r="I1416" s="1" t="s">
        <v>1944</v>
      </c>
      <c r="J1416" s="1">
        <v>646.51</v>
      </c>
    </row>
    <row r="1417" spans="1:10" x14ac:dyDescent="0.25">
      <c r="A1417" s="1" t="s">
        <v>86</v>
      </c>
      <c r="B1417" s="1" t="s">
        <v>87</v>
      </c>
      <c r="C1417" s="1" t="s">
        <v>629</v>
      </c>
      <c r="D1417" s="1">
        <v>36.9696</v>
      </c>
      <c r="E1417" s="1">
        <v>-93.188900000000004</v>
      </c>
      <c r="F1417" s="1" t="s">
        <v>1922</v>
      </c>
      <c r="G1417" s="22">
        <v>1058.9978863433969</v>
      </c>
      <c r="H1417" s="20">
        <f ca="1">NOW() - TIME(5,30,0) + (VLOOKUP(MasterTable[[#This Row],[TimeZone]], $O$3:$P$8, 2, FALSE) / 24)</f>
        <v>45990.531878125003</v>
      </c>
      <c r="I1417" s="1" t="s">
        <v>1944</v>
      </c>
      <c r="J1417" s="1">
        <v>715.71</v>
      </c>
    </row>
    <row r="1418" spans="1:10" x14ac:dyDescent="0.25">
      <c r="A1418" s="1" t="s">
        <v>86</v>
      </c>
      <c r="B1418" s="1" t="s">
        <v>87</v>
      </c>
      <c r="C1418" s="1" t="s">
        <v>651</v>
      </c>
      <c r="D1418" s="1">
        <v>39.659799999999997</v>
      </c>
      <c r="E1418" s="1">
        <v>-94.805899999999994</v>
      </c>
      <c r="F1418" s="1" t="s">
        <v>1922</v>
      </c>
      <c r="G1418" s="22">
        <v>1035.6899051658861</v>
      </c>
      <c r="H1418" s="20">
        <f ca="1">NOW() - TIME(5,30,0) + (VLOOKUP(MasterTable[[#This Row],[TimeZone]], $O$3:$P$8, 2, FALSE) / 24)</f>
        <v>45990.531878125003</v>
      </c>
      <c r="I1418" s="1" t="s">
        <v>1944</v>
      </c>
      <c r="J1418" s="1">
        <v>573.35</v>
      </c>
    </row>
    <row r="1419" spans="1:10" x14ac:dyDescent="0.25">
      <c r="A1419" s="1" t="s">
        <v>86</v>
      </c>
      <c r="B1419" s="1" t="s">
        <v>87</v>
      </c>
      <c r="C1419" s="1" t="s">
        <v>661</v>
      </c>
      <c r="D1419" s="1">
        <v>37.384</v>
      </c>
      <c r="E1419" s="1">
        <v>-89.6845</v>
      </c>
      <c r="F1419" s="1" t="s">
        <v>1922</v>
      </c>
      <c r="G1419" s="22">
        <v>1253.758938853276</v>
      </c>
      <c r="H1419" s="20">
        <f ca="1">NOW() - TIME(5,30,0) + (VLOOKUP(MasterTable[[#This Row],[TimeZone]], $O$3:$P$8, 2, FALSE) / 24)</f>
        <v>45990.531878125003</v>
      </c>
      <c r="I1419" s="1" t="s">
        <v>1944</v>
      </c>
      <c r="J1419" s="1">
        <v>586.29</v>
      </c>
    </row>
    <row r="1420" spans="1:10" x14ac:dyDescent="0.25">
      <c r="A1420" s="1" t="s">
        <v>86</v>
      </c>
      <c r="B1420" s="1" t="s">
        <v>87</v>
      </c>
      <c r="C1420" s="1" t="s">
        <v>685</v>
      </c>
      <c r="D1420" s="1">
        <v>38.505400000000002</v>
      </c>
      <c r="E1420" s="1">
        <v>-92.281599999999997</v>
      </c>
      <c r="F1420" s="1" t="s">
        <v>1922</v>
      </c>
      <c r="G1420" s="22">
        <v>1134.1309770982805</v>
      </c>
      <c r="H1420" s="20">
        <f ca="1">NOW() - TIME(5,30,0) + (VLOOKUP(MasterTable[[#This Row],[TimeZone]], $O$3:$P$8, 2, FALSE) / 24)</f>
        <v>45990.531878125003</v>
      </c>
      <c r="I1420" s="1" t="s">
        <v>1944</v>
      </c>
      <c r="J1420" s="1">
        <v>399.08</v>
      </c>
    </row>
    <row r="1421" spans="1:10" x14ac:dyDescent="0.25">
      <c r="A1421" s="1" t="s">
        <v>86</v>
      </c>
      <c r="B1421" s="1" t="s">
        <v>87</v>
      </c>
      <c r="C1421" s="1" t="s">
        <v>732</v>
      </c>
      <c r="D1421" s="1">
        <v>37.810299999999998</v>
      </c>
      <c r="E1421" s="1">
        <v>-90.472200000000001</v>
      </c>
      <c r="F1421" s="1" t="s">
        <v>1922</v>
      </c>
      <c r="G1421" s="22">
        <v>1217.2148648848222</v>
      </c>
      <c r="H1421" s="20">
        <f ca="1">NOW() - TIME(5,30,0) + (VLOOKUP(MasterTable[[#This Row],[TimeZone]], $O$3:$P$8, 2, FALSE) / 24)</f>
        <v>45990.531878125003</v>
      </c>
      <c r="I1421" s="1" t="s">
        <v>1944</v>
      </c>
      <c r="J1421" s="1">
        <v>452.4</v>
      </c>
    </row>
    <row r="1422" spans="1:10" x14ac:dyDescent="0.25">
      <c r="A1422" s="1" t="s">
        <v>86</v>
      </c>
      <c r="B1422" s="1" t="s">
        <v>87</v>
      </c>
      <c r="C1422" s="1" t="s">
        <v>632</v>
      </c>
      <c r="D1422" s="1">
        <v>39.058</v>
      </c>
      <c r="E1422" s="1">
        <v>-90.96</v>
      </c>
      <c r="F1422" s="1" t="s">
        <v>1922</v>
      </c>
      <c r="G1422" s="22">
        <v>1213.3150656768198</v>
      </c>
      <c r="H1422" s="20">
        <f ca="1">NOW() - TIME(5,30,0) + (VLOOKUP(MasterTable[[#This Row],[TimeZone]], $O$3:$P$8, 2, FALSE) / 24)</f>
        <v>45990.531878125003</v>
      </c>
      <c r="I1422" s="1" t="s">
        <v>1944</v>
      </c>
      <c r="J1422" s="1">
        <v>572.16999999999996</v>
      </c>
    </row>
    <row r="1423" spans="1:10" x14ac:dyDescent="0.25">
      <c r="A1423" s="1" t="s">
        <v>86</v>
      </c>
      <c r="B1423" s="1" t="s">
        <v>87</v>
      </c>
      <c r="C1423" s="1" t="s">
        <v>539</v>
      </c>
      <c r="D1423" s="1">
        <v>36.905500000000004</v>
      </c>
      <c r="E1423" s="1">
        <v>-94.339299999999994</v>
      </c>
      <c r="F1423" s="1" t="s">
        <v>1922</v>
      </c>
      <c r="G1423" s="22">
        <v>996.17189325051277</v>
      </c>
      <c r="H1423" s="20">
        <f ca="1">NOW() - TIME(5,30,0) + (VLOOKUP(MasterTable[[#This Row],[TimeZone]], $O$3:$P$8, 2, FALSE) / 24)</f>
        <v>45990.531878125003</v>
      </c>
      <c r="I1423" s="1" t="s">
        <v>1944</v>
      </c>
      <c r="J1423" s="1">
        <v>823.18</v>
      </c>
    </row>
    <row r="1424" spans="1:10" x14ac:dyDescent="0.25">
      <c r="A1424" s="1" t="s">
        <v>86</v>
      </c>
      <c r="B1424" s="1" t="s">
        <v>87</v>
      </c>
      <c r="C1424" s="1" t="s">
        <v>804</v>
      </c>
      <c r="D1424" s="1">
        <v>36.654800000000002</v>
      </c>
      <c r="E1424" s="1">
        <v>-93.0411</v>
      </c>
      <c r="F1424" s="1" t="s">
        <v>1922</v>
      </c>
      <c r="G1424" s="22">
        <v>1062.4106716602637</v>
      </c>
      <c r="H1424" s="20">
        <f ca="1">NOW() - TIME(5,30,0) + (VLOOKUP(MasterTable[[#This Row],[TimeZone]], $O$3:$P$8, 2, FALSE) / 24)</f>
        <v>45990.531878125003</v>
      </c>
      <c r="I1424" s="1" t="s">
        <v>1944</v>
      </c>
      <c r="J1424" s="1">
        <v>651.48</v>
      </c>
    </row>
    <row r="1425" spans="1:10" x14ac:dyDescent="0.25">
      <c r="A1425" s="1" t="s">
        <v>86</v>
      </c>
      <c r="B1425" s="1" t="s">
        <v>87</v>
      </c>
      <c r="C1425" s="1" t="s">
        <v>165</v>
      </c>
      <c r="D1425" s="1">
        <v>38.744100000000003</v>
      </c>
      <c r="E1425" s="1">
        <v>-93.806399999999996</v>
      </c>
      <c r="F1425" s="1" t="s">
        <v>1922</v>
      </c>
      <c r="G1425" s="22">
        <v>1061.1929768572793</v>
      </c>
      <c r="H1425" s="20">
        <f ca="1">NOW() - TIME(5,30,0) + (VLOOKUP(MasterTable[[#This Row],[TimeZone]], $O$3:$P$8, 2, FALSE) / 24)</f>
        <v>45990.531878125003</v>
      </c>
      <c r="I1425" s="1" t="s">
        <v>1944</v>
      </c>
      <c r="J1425" s="1">
        <v>682.74</v>
      </c>
    </row>
    <row r="1426" spans="1:10" x14ac:dyDescent="0.25">
      <c r="A1426" s="1" t="s">
        <v>86</v>
      </c>
      <c r="B1426" s="1" t="s">
        <v>87</v>
      </c>
      <c r="C1426" s="1" t="s">
        <v>241</v>
      </c>
      <c r="D1426" s="1">
        <v>37.824599999999997</v>
      </c>
      <c r="E1426" s="1">
        <v>-92.207599999999999</v>
      </c>
      <c r="F1426" s="1" t="s">
        <v>1922</v>
      </c>
      <c r="G1426" s="22">
        <v>1125.3003695616035</v>
      </c>
      <c r="H1426" s="20">
        <f ca="1">NOW() - TIME(5,30,0) + (VLOOKUP(MasterTable[[#This Row],[TimeZone]], $O$3:$P$8, 2, FALSE) / 24)</f>
        <v>45990.531878125003</v>
      </c>
      <c r="I1426" s="1" t="s">
        <v>1944</v>
      </c>
      <c r="J1426" s="1">
        <v>807.84</v>
      </c>
    </row>
    <row r="1427" spans="1:10" x14ac:dyDescent="0.25">
      <c r="A1427" s="1" t="s">
        <v>86</v>
      </c>
      <c r="B1427" s="1" t="s">
        <v>87</v>
      </c>
      <c r="C1427" s="1" t="s">
        <v>889</v>
      </c>
      <c r="D1427" s="1">
        <v>37.877200000000002</v>
      </c>
      <c r="E1427" s="1">
        <v>-91.792299999999997</v>
      </c>
      <c r="F1427" s="1" t="s">
        <v>1922</v>
      </c>
      <c r="G1427" s="22">
        <v>1148.1542371565454</v>
      </c>
      <c r="H1427" s="20">
        <f ca="1">NOW() - TIME(5,30,0) + (VLOOKUP(MasterTable[[#This Row],[TimeZone]], $O$3:$P$8, 2, FALSE) / 24)</f>
        <v>45990.531878125003</v>
      </c>
      <c r="I1427" s="1" t="s">
        <v>1944</v>
      </c>
      <c r="J1427" s="1">
        <v>674.28</v>
      </c>
    </row>
    <row r="1428" spans="1:10" x14ac:dyDescent="0.25">
      <c r="A1428" s="1" t="s">
        <v>86</v>
      </c>
      <c r="B1428" s="1" t="s">
        <v>87</v>
      </c>
      <c r="C1428" s="1" t="s">
        <v>897</v>
      </c>
      <c r="D1428" s="1">
        <v>38.835500000000003</v>
      </c>
      <c r="E1428" s="1">
        <v>-91.926000000000002</v>
      </c>
      <c r="F1428" s="1" t="s">
        <v>1922</v>
      </c>
      <c r="G1428" s="22">
        <v>1159.1772301149529</v>
      </c>
      <c r="H1428" s="20">
        <f ca="1">NOW() - TIME(5,30,0) + (VLOOKUP(MasterTable[[#This Row],[TimeZone]], $O$3:$P$8, 2, FALSE) / 24)</f>
        <v>45990.531878125003</v>
      </c>
      <c r="I1428" s="1" t="s">
        <v>1944</v>
      </c>
      <c r="J1428" s="1">
        <v>847.03</v>
      </c>
    </row>
    <row r="1429" spans="1:10" x14ac:dyDescent="0.25">
      <c r="A1429" s="1" t="s">
        <v>86</v>
      </c>
      <c r="B1429" s="1" t="s">
        <v>87</v>
      </c>
      <c r="C1429" s="1" t="s">
        <v>194</v>
      </c>
      <c r="D1429" s="1">
        <v>38.027000000000001</v>
      </c>
      <c r="E1429" s="1">
        <v>-92.766000000000005</v>
      </c>
      <c r="F1429" s="1" t="s">
        <v>1922</v>
      </c>
      <c r="G1429" s="22">
        <v>1099.5973217951694</v>
      </c>
      <c r="H1429" s="20">
        <f ca="1">NOW() - TIME(5,30,0) + (VLOOKUP(MasterTable[[#This Row],[TimeZone]], $O$3:$P$8, 2, FALSE) / 24)</f>
        <v>45990.531878125003</v>
      </c>
      <c r="I1429" s="1" t="s">
        <v>1944</v>
      </c>
      <c r="J1429" s="1">
        <v>782.52</v>
      </c>
    </row>
    <row r="1430" spans="1:10" x14ac:dyDescent="0.25">
      <c r="A1430" s="1" t="s">
        <v>86</v>
      </c>
      <c r="B1430" s="1" t="s">
        <v>87</v>
      </c>
      <c r="C1430" s="1" t="s">
        <v>916</v>
      </c>
      <c r="D1430" s="1">
        <v>38.728299999999997</v>
      </c>
      <c r="E1430" s="1">
        <v>-93.2851</v>
      </c>
      <c r="F1430" s="1" t="s">
        <v>1922</v>
      </c>
      <c r="G1430" s="22">
        <v>1087.3212966325948</v>
      </c>
      <c r="H1430" s="20">
        <f ca="1">NOW() - TIME(5,30,0) + (VLOOKUP(MasterTable[[#This Row],[TimeZone]], $O$3:$P$8, 2, FALSE) / 24)</f>
        <v>45990.531878125003</v>
      </c>
      <c r="I1430" s="1" t="s">
        <v>1944</v>
      </c>
      <c r="J1430" s="1">
        <v>686.34</v>
      </c>
    </row>
    <row r="1431" spans="1:10" x14ac:dyDescent="0.25">
      <c r="A1431" s="1" t="s">
        <v>86</v>
      </c>
      <c r="B1431" s="1" t="s">
        <v>87</v>
      </c>
      <c r="C1431" s="1" t="s">
        <v>245</v>
      </c>
      <c r="D1431" s="1">
        <v>36.7164</v>
      </c>
      <c r="E1431" s="1">
        <v>-90.406599999999997</v>
      </c>
      <c r="F1431" s="1" t="s">
        <v>1922</v>
      </c>
      <c r="G1431" s="22">
        <v>1206.844531354647</v>
      </c>
      <c r="H1431" s="20">
        <f ca="1">NOW() - TIME(5,30,0) + (VLOOKUP(MasterTable[[#This Row],[TimeZone]], $O$3:$P$8, 2, FALSE) / 24)</f>
        <v>45990.531878125003</v>
      </c>
      <c r="I1431" s="1" t="s">
        <v>1944</v>
      </c>
      <c r="J1431" s="1">
        <v>777.92</v>
      </c>
    </row>
    <row r="1432" spans="1:10" x14ac:dyDescent="0.25">
      <c r="A1432" s="1" t="s">
        <v>86</v>
      </c>
      <c r="B1432" s="1" t="s">
        <v>87</v>
      </c>
      <c r="C1432" s="1" t="s">
        <v>950</v>
      </c>
      <c r="D1432" s="1">
        <v>36.774000000000001</v>
      </c>
      <c r="E1432" s="1">
        <v>-91.886499999999998</v>
      </c>
      <c r="F1432" s="1" t="s">
        <v>1922</v>
      </c>
      <c r="G1432" s="22">
        <v>1126.7567533322808</v>
      </c>
      <c r="H1432" s="20">
        <f ca="1">NOW() - TIME(5,30,0) + (VLOOKUP(MasterTable[[#This Row],[TimeZone]], $O$3:$P$8, 2, FALSE) / 24)</f>
        <v>45990.531878125003</v>
      </c>
      <c r="I1432" s="1" t="s">
        <v>1944</v>
      </c>
      <c r="J1432" s="1">
        <v>928.33</v>
      </c>
    </row>
    <row r="1433" spans="1:10" x14ac:dyDescent="0.25">
      <c r="A1433" s="1" t="s">
        <v>86</v>
      </c>
      <c r="B1433" s="1" t="s">
        <v>87</v>
      </c>
      <c r="C1433" s="1" t="s">
        <v>955</v>
      </c>
      <c r="D1433" s="1">
        <v>37.280900000000003</v>
      </c>
      <c r="E1433" s="1">
        <v>-92.875900000000001</v>
      </c>
      <c r="F1433" s="1" t="s">
        <v>1922</v>
      </c>
      <c r="G1433" s="22">
        <v>1080.685859340168</v>
      </c>
      <c r="H1433" s="20">
        <f ca="1">NOW() - TIME(5,30,0) + (VLOOKUP(MasterTable[[#This Row],[TimeZone]], $O$3:$P$8, 2, FALSE) / 24)</f>
        <v>45990.531878125003</v>
      </c>
      <c r="I1433" s="1" t="s">
        <v>1944</v>
      </c>
      <c r="J1433" s="1">
        <v>210.26</v>
      </c>
    </row>
    <row r="1434" spans="1:10" x14ac:dyDescent="0.25">
      <c r="A1434" s="1" t="s">
        <v>86</v>
      </c>
      <c r="B1434" s="1" t="s">
        <v>87</v>
      </c>
      <c r="C1434" s="1" t="s">
        <v>644</v>
      </c>
      <c r="D1434" s="1">
        <v>37.106400000000001</v>
      </c>
      <c r="E1434" s="1">
        <v>-93.832999999999998</v>
      </c>
      <c r="F1434" s="1" t="s">
        <v>1922</v>
      </c>
      <c r="G1434" s="22">
        <v>1026.6494039078236</v>
      </c>
      <c r="H1434" s="20">
        <f ca="1">NOW() - TIME(5,30,0) + (VLOOKUP(MasterTable[[#This Row],[TimeZone]], $O$3:$P$8, 2, FALSE) / 24)</f>
        <v>45990.531878125003</v>
      </c>
      <c r="I1434" s="1" t="s">
        <v>1944</v>
      </c>
      <c r="J1434" s="1">
        <v>718.07</v>
      </c>
    </row>
    <row r="1435" spans="1:10" x14ac:dyDescent="0.25">
      <c r="A1435" s="1" t="s">
        <v>86</v>
      </c>
      <c r="B1435" s="1" t="s">
        <v>87</v>
      </c>
      <c r="C1435" s="1" t="s">
        <v>419</v>
      </c>
      <c r="D1435" s="1">
        <v>37.052999999999997</v>
      </c>
      <c r="E1435" s="1">
        <v>-89.568600000000004</v>
      </c>
      <c r="F1435" s="1" t="s">
        <v>1922</v>
      </c>
      <c r="G1435" s="22">
        <v>1256.2200117468824</v>
      </c>
      <c r="H1435" s="20">
        <f ca="1">NOW() - TIME(5,30,0) + (VLOOKUP(MasterTable[[#This Row],[TimeZone]], $O$3:$P$8, 2, FALSE) / 24)</f>
        <v>45990.531878125003</v>
      </c>
      <c r="I1435" s="1" t="s">
        <v>1944</v>
      </c>
      <c r="J1435" s="1">
        <v>898.09</v>
      </c>
    </row>
    <row r="1436" spans="1:10" x14ac:dyDescent="0.25">
      <c r="A1436" s="1" t="s">
        <v>86</v>
      </c>
      <c r="B1436" s="1" t="s">
        <v>87</v>
      </c>
      <c r="C1436" s="1" t="s">
        <v>331</v>
      </c>
      <c r="D1436" s="1">
        <v>38.764600000000002</v>
      </c>
      <c r="E1436" s="1">
        <v>-91.160700000000006</v>
      </c>
      <c r="F1436" s="1" t="s">
        <v>1922</v>
      </c>
      <c r="G1436" s="22">
        <v>1197.2261825531243</v>
      </c>
      <c r="H1436" s="20">
        <f ca="1">NOW() - TIME(5,30,0) + (VLOOKUP(MasterTable[[#This Row],[TimeZone]], $O$3:$P$8, 2, FALSE) / 24)</f>
        <v>45990.531878125003</v>
      </c>
      <c r="I1436" s="1" t="s">
        <v>1944</v>
      </c>
      <c r="J1436" s="1">
        <v>286.74</v>
      </c>
    </row>
    <row r="1437" spans="1:10" x14ac:dyDescent="0.25">
      <c r="A1437" s="1" t="s">
        <v>86</v>
      </c>
      <c r="B1437" s="1" t="s">
        <v>87</v>
      </c>
      <c r="C1437" s="1" t="s">
        <v>1006</v>
      </c>
      <c r="D1437" s="1">
        <v>37.658299999999997</v>
      </c>
      <c r="E1437" s="1">
        <v>-92.590299999999999</v>
      </c>
      <c r="F1437" s="1" t="s">
        <v>1922</v>
      </c>
      <c r="G1437" s="22">
        <v>1102.1817886906999</v>
      </c>
      <c r="H1437" s="20">
        <f ca="1">NOW() - TIME(5,30,0) + (VLOOKUP(MasterTable[[#This Row],[TimeZone]], $O$3:$P$8, 2, FALSE) / 24)</f>
        <v>45990.531878125003</v>
      </c>
      <c r="I1437" s="1" t="s">
        <v>1944</v>
      </c>
      <c r="J1437" s="1">
        <v>768</v>
      </c>
    </row>
    <row r="1438" spans="1:10" x14ac:dyDescent="0.25">
      <c r="A1438" s="1" t="s">
        <v>86</v>
      </c>
      <c r="B1438" s="1" t="s">
        <v>87</v>
      </c>
      <c r="C1438" s="1" t="s">
        <v>761</v>
      </c>
      <c r="D1438" s="1">
        <v>36.709899999999998</v>
      </c>
      <c r="E1438" s="1">
        <v>-93.829099999999997</v>
      </c>
      <c r="F1438" s="1" t="s">
        <v>1922</v>
      </c>
      <c r="G1438" s="22">
        <v>1020.509386568125</v>
      </c>
      <c r="H1438" s="20">
        <f ca="1">NOW() - TIME(5,30,0) + (VLOOKUP(MasterTable[[#This Row],[TimeZone]], $O$3:$P$8, 2, FALSE) / 24)</f>
        <v>45990.531878125003</v>
      </c>
      <c r="I1438" s="1" t="s">
        <v>1944</v>
      </c>
      <c r="J1438" s="1">
        <v>576.9</v>
      </c>
    </row>
    <row r="1439" spans="1:10" x14ac:dyDescent="0.25">
      <c r="A1439" s="1" t="s">
        <v>86</v>
      </c>
      <c r="B1439" s="1" t="s">
        <v>87</v>
      </c>
      <c r="C1439" s="1" t="s">
        <v>333</v>
      </c>
      <c r="D1439" s="1">
        <v>39.0655</v>
      </c>
      <c r="E1439" s="1">
        <v>-93.785399999999996</v>
      </c>
      <c r="F1439" s="1" t="s">
        <v>1922</v>
      </c>
      <c r="G1439" s="22">
        <v>1070.0017432953596</v>
      </c>
      <c r="H1439" s="20">
        <f ca="1">NOW() - TIME(5,30,0) + (VLOOKUP(MasterTable[[#This Row],[TimeZone]], $O$3:$P$8, 2, FALSE) / 24)</f>
        <v>45990.531878125003</v>
      </c>
      <c r="I1439" s="1" t="s">
        <v>1944</v>
      </c>
      <c r="J1439" s="1">
        <v>545.07000000000005</v>
      </c>
    </row>
    <row r="1440" spans="1:10" x14ac:dyDescent="0.25">
      <c r="A1440" s="1" t="s">
        <v>86</v>
      </c>
      <c r="B1440" s="1" t="s">
        <v>87</v>
      </c>
      <c r="C1440" s="1" t="s">
        <v>134</v>
      </c>
      <c r="D1440" s="1">
        <v>37.616500000000002</v>
      </c>
      <c r="E1440" s="1">
        <v>-93.400499999999994</v>
      </c>
      <c r="F1440" s="1" t="s">
        <v>1922</v>
      </c>
      <c r="G1440" s="22">
        <v>1058.5978008531949</v>
      </c>
      <c r="H1440" s="20">
        <f ca="1">NOW() - TIME(5,30,0) + (VLOOKUP(MasterTable[[#This Row],[TimeZone]], $O$3:$P$8, 2, FALSE) / 24)</f>
        <v>45990.531878125003</v>
      </c>
      <c r="I1440" s="1" t="s">
        <v>1944</v>
      </c>
      <c r="J1440" s="1">
        <v>862.42</v>
      </c>
    </row>
    <row r="1441" spans="1:10" x14ac:dyDescent="0.25">
      <c r="A1441" s="1" t="s">
        <v>86</v>
      </c>
      <c r="B1441" s="1" t="s">
        <v>87</v>
      </c>
      <c r="C1441" s="1" t="s">
        <v>1050</v>
      </c>
      <c r="D1441" s="1">
        <v>36.746899999999997</v>
      </c>
      <c r="E1441" s="1">
        <v>-93.456000000000003</v>
      </c>
      <c r="F1441" s="1" t="s">
        <v>1922</v>
      </c>
      <c r="G1441" s="22">
        <v>1041.2352446831219</v>
      </c>
      <c r="H1441" s="20">
        <f ca="1">NOW() - TIME(5,30,0) + (VLOOKUP(MasterTable[[#This Row],[TimeZone]], $O$3:$P$8, 2, FALSE) / 24)</f>
        <v>45990.531878125003</v>
      </c>
      <c r="I1441" s="1" t="s">
        <v>1944</v>
      </c>
      <c r="J1441" s="1">
        <v>609.42999999999995</v>
      </c>
    </row>
    <row r="1442" spans="1:10" x14ac:dyDescent="0.25">
      <c r="A1442" s="1" t="s">
        <v>86</v>
      </c>
      <c r="B1442" s="1" t="s">
        <v>87</v>
      </c>
      <c r="C1442" s="1" t="s">
        <v>1098</v>
      </c>
      <c r="D1442" s="1">
        <v>36.855600000000003</v>
      </c>
      <c r="E1442" s="1">
        <v>-89.944299999999998</v>
      </c>
      <c r="F1442" s="1" t="s">
        <v>1922</v>
      </c>
      <c r="G1442" s="22">
        <v>1233.6035688594836</v>
      </c>
      <c r="H1442" s="20">
        <f ca="1">NOW() - TIME(5,30,0) + (VLOOKUP(MasterTable[[#This Row],[TimeZone]], $O$3:$P$8, 2, FALSE) / 24)</f>
        <v>45990.531878125003</v>
      </c>
      <c r="I1442" s="1" t="s">
        <v>1944</v>
      </c>
      <c r="J1442" s="1">
        <v>828.94</v>
      </c>
    </row>
    <row r="1443" spans="1:10" x14ac:dyDescent="0.25">
      <c r="A1443" s="1" t="s">
        <v>86</v>
      </c>
      <c r="B1443" s="1" t="s">
        <v>87</v>
      </c>
      <c r="C1443" s="1" t="s">
        <v>88</v>
      </c>
      <c r="D1443" s="1">
        <v>39.805900000000001</v>
      </c>
      <c r="E1443" s="1">
        <v>-91.622399999999999</v>
      </c>
      <c r="F1443" s="1" t="s">
        <v>1922</v>
      </c>
      <c r="G1443" s="22">
        <v>1196.030590445818</v>
      </c>
      <c r="H1443" s="20">
        <f ca="1">NOW() - TIME(5,30,0) + (VLOOKUP(MasterTable[[#This Row],[TimeZone]], $O$3:$P$8, 2, FALSE) / 24)</f>
        <v>45990.531878125003</v>
      </c>
      <c r="I1443" s="1" t="s">
        <v>1944</v>
      </c>
      <c r="J1443" s="1">
        <v>743.57</v>
      </c>
    </row>
    <row r="1444" spans="1:10" x14ac:dyDescent="0.25">
      <c r="A1444" s="1" t="s">
        <v>86</v>
      </c>
      <c r="B1444" s="1" t="s">
        <v>87</v>
      </c>
      <c r="C1444" s="1" t="s">
        <v>1113</v>
      </c>
      <c r="D1444" s="1">
        <v>36.272100000000002</v>
      </c>
      <c r="E1444" s="1">
        <v>-90.090900000000005</v>
      </c>
      <c r="F1444" s="1" t="s">
        <v>1922</v>
      </c>
      <c r="G1444" s="22">
        <v>1219.9252726279717</v>
      </c>
      <c r="H1444" s="20">
        <f ca="1">NOW() - TIME(5,30,0) + (VLOOKUP(MasterTable[[#This Row],[TimeZone]], $O$3:$P$8, 2, FALSE) / 24)</f>
        <v>45990.531878125003</v>
      </c>
      <c r="I1444" s="1" t="s">
        <v>1944</v>
      </c>
      <c r="J1444" s="1">
        <v>547.11</v>
      </c>
    </row>
    <row r="1445" spans="1:10" x14ac:dyDescent="0.25">
      <c r="A1445" s="1" t="s">
        <v>86</v>
      </c>
      <c r="B1445" s="1" t="s">
        <v>87</v>
      </c>
      <c r="C1445" s="1" t="s">
        <v>1165</v>
      </c>
      <c r="D1445" s="1">
        <v>40.190600000000003</v>
      </c>
      <c r="E1445" s="1">
        <v>-92.600700000000003</v>
      </c>
      <c r="F1445" s="1" t="s">
        <v>1922</v>
      </c>
      <c r="G1445" s="22">
        <v>1157.4303819900704</v>
      </c>
      <c r="H1445" s="20">
        <f ca="1">NOW() - TIME(5,30,0) + (VLOOKUP(MasterTable[[#This Row],[TimeZone]], $O$3:$P$8, 2, FALSE) / 24)</f>
        <v>45990.531878125003</v>
      </c>
      <c r="I1445" s="1" t="s">
        <v>1944</v>
      </c>
      <c r="J1445" s="1">
        <v>570.30999999999995</v>
      </c>
    </row>
    <row r="1446" spans="1:10" x14ac:dyDescent="0.25">
      <c r="A1446" s="1" t="s">
        <v>86</v>
      </c>
      <c r="B1446" s="1" t="s">
        <v>87</v>
      </c>
      <c r="C1446" s="1" t="s">
        <v>922</v>
      </c>
      <c r="D1446" s="1">
        <v>38.214500000000001</v>
      </c>
      <c r="E1446" s="1">
        <v>-92.428399999999996</v>
      </c>
      <c r="F1446" s="1" t="s">
        <v>1922</v>
      </c>
      <c r="G1446" s="22">
        <v>1120.8091261640491</v>
      </c>
      <c r="H1446" s="20">
        <f ca="1">NOW() - TIME(5,30,0) + (VLOOKUP(MasterTable[[#This Row],[TimeZone]], $O$3:$P$8, 2, FALSE) / 24)</f>
        <v>45990.531878125003</v>
      </c>
      <c r="I1446" s="1" t="s">
        <v>1944</v>
      </c>
      <c r="J1446" s="1">
        <v>637.48</v>
      </c>
    </row>
    <row r="1447" spans="1:10" x14ac:dyDescent="0.25">
      <c r="A1447" s="1" t="s">
        <v>86</v>
      </c>
      <c r="B1447" s="1" t="s">
        <v>87</v>
      </c>
      <c r="C1447" s="1" t="s">
        <v>8</v>
      </c>
      <c r="D1447" s="1">
        <v>37.317300000000003</v>
      </c>
      <c r="E1447" s="1">
        <v>-91.965100000000007</v>
      </c>
      <c r="F1447" s="1" t="s">
        <v>1922</v>
      </c>
      <c r="G1447" s="22">
        <v>1130.0304983509341</v>
      </c>
      <c r="H1447" s="20">
        <f ca="1">NOW() - TIME(5,30,0) + (VLOOKUP(MasterTable[[#This Row],[TimeZone]], $O$3:$P$8, 2, FALSE) / 24)</f>
        <v>45990.531878125003</v>
      </c>
      <c r="I1447" s="1" t="s">
        <v>1944</v>
      </c>
      <c r="J1447" s="1">
        <v>1179.24</v>
      </c>
    </row>
    <row r="1448" spans="1:10" x14ac:dyDescent="0.25">
      <c r="A1448" s="1" t="s">
        <v>86</v>
      </c>
      <c r="B1448" s="1" t="s">
        <v>87</v>
      </c>
      <c r="C1448" s="1" t="s">
        <v>1180</v>
      </c>
      <c r="D1448" s="1">
        <v>39.215699999999998</v>
      </c>
      <c r="E1448" s="1">
        <v>-91.8416</v>
      </c>
      <c r="F1448" s="1" t="s">
        <v>1922</v>
      </c>
      <c r="G1448" s="22">
        <v>1171.5753512231545</v>
      </c>
      <c r="H1448" s="20">
        <f ca="1">NOW() - TIME(5,30,0) + (VLOOKUP(MasterTable[[#This Row],[TimeZone]], $O$3:$P$8, 2, FALSE) / 24)</f>
        <v>45990.531878125003</v>
      </c>
      <c r="I1448" s="1" t="s">
        <v>1944</v>
      </c>
      <c r="J1448" s="1">
        <v>696.79</v>
      </c>
    </row>
    <row r="1449" spans="1:10" x14ac:dyDescent="0.25">
      <c r="A1449" s="1" t="s">
        <v>86</v>
      </c>
      <c r="B1449" s="1" t="s">
        <v>87</v>
      </c>
      <c r="C1449" s="1" t="s">
        <v>477</v>
      </c>
      <c r="D1449" s="1">
        <v>39.440199999999997</v>
      </c>
      <c r="E1449" s="1">
        <v>-92.497100000000003</v>
      </c>
      <c r="F1449" s="1" t="s">
        <v>1922</v>
      </c>
      <c r="G1449" s="22">
        <v>1143.635161673074</v>
      </c>
      <c r="H1449" s="20">
        <f ca="1">NOW() - TIME(5,30,0) + (VLOOKUP(MasterTable[[#This Row],[TimeZone]], $O$3:$P$8, 2, FALSE) / 24)</f>
        <v>45990.531878125003</v>
      </c>
      <c r="I1449" s="1" t="s">
        <v>1944</v>
      </c>
      <c r="J1449" s="1">
        <v>584.11</v>
      </c>
    </row>
    <row r="1450" spans="1:10" x14ac:dyDescent="0.25">
      <c r="A1450" s="1" t="s">
        <v>86</v>
      </c>
      <c r="B1450" s="1" t="s">
        <v>87</v>
      </c>
      <c r="C1450" s="1" t="s">
        <v>1196</v>
      </c>
      <c r="D1450" s="1">
        <v>36.628700000000002</v>
      </c>
      <c r="E1450" s="1">
        <v>-94.348299999999995</v>
      </c>
      <c r="F1450" s="1" t="s">
        <v>1922</v>
      </c>
      <c r="G1450" s="22">
        <v>991.20669151791265</v>
      </c>
      <c r="H1450" s="20">
        <f ca="1">NOW() - TIME(5,30,0) + (VLOOKUP(MasterTable[[#This Row],[TimeZone]], $O$3:$P$8, 2, FALSE) / 24)</f>
        <v>45990.531878125003</v>
      </c>
      <c r="I1450" s="1" t="s">
        <v>1944</v>
      </c>
      <c r="J1450" s="1">
        <v>539.70000000000005</v>
      </c>
    </row>
    <row r="1451" spans="1:10" x14ac:dyDescent="0.25">
      <c r="A1451" s="1" t="s">
        <v>86</v>
      </c>
      <c r="B1451" s="1" t="s">
        <v>87</v>
      </c>
      <c r="C1451" s="1" t="s">
        <v>28</v>
      </c>
      <c r="D1451" s="1">
        <v>37.9617</v>
      </c>
      <c r="E1451" s="1">
        <v>-90.877399999999994</v>
      </c>
      <c r="F1451" s="1" t="s">
        <v>1922</v>
      </c>
      <c r="G1451" s="22">
        <v>1197.9875582875391</v>
      </c>
      <c r="H1451" s="20">
        <f ca="1">NOW() - TIME(5,30,0) + (VLOOKUP(MasterTable[[#This Row],[TimeZone]], $O$3:$P$8, 2, FALSE) / 24)</f>
        <v>45990.531878125003</v>
      </c>
      <c r="I1451" s="1" t="s">
        <v>1944</v>
      </c>
      <c r="J1451" s="1">
        <v>1088.54</v>
      </c>
    </row>
    <row r="1452" spans="1:10" x14ac:dyDescent="0.25">
      <c r="A1452" s="1" t="s">
        <v>86</v>
      </c>
      <c r="B1452" s="1" t="s">
        <v>87</v>
      </c>
      <c r="C1452" s="1" t="s">
        <v>517</v>
      </c>
      <c r="D1452" s="1">
        <v>39.136800000000001</v>
      </c>
      <c r="E1452" s="1">
        <v>-93.201800000000006</v>
      </c>
      <c r="F1452" s="1" t="s">
        <v>1922</v>
      </c>
      <c r="G1452" s="22">
        <v>1101.0275151257699</v>
      </c>
      <c r="H1452" s="20">
        <f ca="1">NOW() - TIME(5,30,0) + (VLOOKUP(MasterTable[[#This Row],[TimeZone]], $O$3:$P$8, 2, FALSE) / 24)</f>
        <v>45990.531878125003</v>
      </c>
      <c r="I1452" s="1" t="s">
        <v>1944</v>
      </c>
      <c r="J1452" s="1">
        <v>730.46</v>
      </c>
    </row>
    <row r="1453" spans="1:10" x14ac:dyDescent="0.25">
      <c r="A1453" s="1" t="s">
        <v>86</v>
      </c>
      <c r="B1453" s="1" t="s">
        <v>87</v>
      </c>
      <c r="C1453" s="1" t="s">
        <v>1204</v>
      </c>
      <c r="D1453" s="1">
        <v>39.3523</v>
      </c>
      <c r="E1453" s="1">
        <v>-93.989900000000006</v>
      </c>
      <c r="F1453" s="1" t="s">
        <v>1922</v>
      </c>
      <c r="G1453" s="22">
        <v>1067.1190639006716</v>
      </c>
      <c r="H1453" s="20">
        <f ca="1">NOW() - TIME(5,30,0) + (VLOOKUP(MasterTable[[#This Row],[TimeZone]], $O$3:$P$8, 2, FALSE) / 24)</f>
        <v>45990.531878125003</v>
      </c>
      <c r="I1453" s="1" t="s">
        <v>1944</v>
      </c>
      <c r="J1453" s="1">
        <v>573.57000000000005</v>
      </c>
    </row>
    <row r="1454" spans="1:10" x14ac:dyDescent="0.25">
      <c r="A1454" s="1" t="s">
        <v>86</v>
      </c>
      <c r="B1454" s="1" t="s">
        <v>87</v>
      </c>
      <c r="C1454" s="1" t="s">
        <v>655</v>
      </c>
      <c r="D1454" s="1">
        <v>37.976399999999998</v>
      </c>
      <c r="E1454" s="1">
        <v>-91.303899999999999</v>
      </c>
      <c r="F1454" s="1" t="s">
        <v>1922</v>
      </c>
      <c r="G1454" s="22">
        <v>1175.6414307952728</v>
      </c>
      <c r="H1454" s="20">
        <f ca="1">NOW() - TIME(5,30,0) + (VLOOKUP(MasterTable[[#This Row],[TimeZone]], $O$3:$P$8, 2, FALSE) / 24)</f>
        <v>45990.531878125003</v>
      </c>
      <c r="I1454" s="1" t="s">
        <v>1944</v>
      </c>
      <c r="J1454" s="1">
        <v>604.20000000000005</v>
      </c>
    </row>
    <row r="1455" spans="1:10" x14ac:dyDescent="0.25">
      <c r="A1455" s="1" t="s">
        <v>86</v>
      </c>
      <c r="B1455" s="1" t="s">
        <v>87</v>
      </c>
      <c r="C1455" s="1" t="s">
        <v>332</v>
      </c>
      <c r="D1455" s="1">
        <v>38.385199999999998</v>
      </c>
      <c r="E1455" s="1">
        <v>-93.7928</v>
      </c>
      <c r="F1455" s="1" t="s">
        <v>1922</v>
      </c>
      <c r="G1455" s="22">
        <v>1053.7034495363289</v>
      </c>
      <c r="H1455" s="20">
        <f ca="1">NOW() - TIME(5,30,0) + (VLOOKUP(MasterTable[[#This Row],[TimeZone]], $O$3:$P$8, 2, FALSE) / 24)</f>
        <v>45990.531878125003</v>
      </c>
      <c r="I1455" s="1" t="s">
        <v>1944</v>
      </c>
      <c r="J1455" s="1">
        <v>568.33000000000004</v>
      </c>
    </row>
    <row r="1456" spans="1:10" x14ac:dyDescent="0.25">
      <c r="A1456" s="1" t="s">
        <v>86</v>
      </c>
      <c r="B1456" s="1" t="s">
        <v>87</v>
      </c>
      <c r="C1456" s="1" t="s">
        <v>521</v>
      </c>
      <c r="D1456" s="1">
        <v>38.423699999999997</v>
      </c>
      <c r="E1456" s="1">
        <v>-92.885999999999996</v>
      </c>
      <c r="F1456" s="1" t="s">
        <v>1922</v>
      </c>
      <c r="G1456" s="22">
        <v>1101.2184834100087</v>
      </c>
      <c r="H1456" s="20">
        <f ca="1">NOW() - TIME(5,30,0) + (VLOOKUP(MasterTable[[#This Row],[TimeZone]], $O$3:$P$8, 2, FALSE) / 24)</f>
        <v>45990.531878125003</v>
      </c>
      <c r="I1456" s="1" t="s">
        <v>1944</v>
      </c>
      <c r="J1456" s="1">
        <v>599.05999999999995</v>
      </c>
    </row>
    <row r="1457" spans="1:10" x14ac:dyDescent="0.25">
      <c r="A1457" s="1" t="s">
        <v>86</v>
      </c>
      <c r="B1457" s="1" t="s">
        <v>87</v>
      </c>
      <c r="C1457" s="1" t="s">
        <v>675</v>
      </c>
      <c r="D1457" s="1">
        <v>39.601799999999997</v>
      </c>
      <c r="E1457" s="1">
        <v>-94.404600000000002</v>
      </c>
      <c r="F1457" s="1" t="s">
        <v>1922</v>
      </c>
      <c r="G1457" s="22">
        <v>1053.5101187931048</v>
      </c>
      <c r="H1457" s="20">
        <f ca="1">NOW() - TIME(5,30,0) + (VLOOKUP(MasterTable[[#This Row],[TimeZone]], $O$3:$P$8, 2, FALSE) / 24)</f>
        <v>45990.531878125003</v>
      </c>
      <c r="I1457" s="1" t="s">
        <v>1944</v>
      </c>
      <c r="J1457" s="1">
        <v>503.48</v>
      </c>
    </row>
    <row r="1458" spans="1:10" x14ac:dyDescent="0.25">
      <c r="A1458" s="1" t="s">
        <v>86</v>
      </c>
      <c r="B1458" s="1" t="s">
        <v>87</v>
      </c>
      <c r="C1458" s="1" t="s">
        <v>1251</v>
      </c>
      <c r="D1458" s="1">
        <v>40.360700000000001</v>
      </c>
      <c r="E1458" s="1">
        <v>-94.883399999999995</v>
      </c>
      <c r="F1458" s="1" t="s">
        <v>1922</v>
      </c>
      <c r="G1458" s="22">
        <v>1053.2193799796053</v>
      </c>
      <c r="H1458" s="20">
        <f ca="1">NOW() - TIME(5,30,0) + (VLOOKUP(MasterTable[[#This Row],[TimeZone]], $O$3:$P$8, 2, FALSE) / 24)</f>
        <v>45990.531878125003</v>
      </c>
      <c r="I1458" s="1" t="s">
        <v>1944</v>
      </c>
      <c r="J1458" s="1">
        <v>877.75</v>
      </c>
    </row>
    <row r="1459" spans="1:10" x14ac:dyDescent="0.25">
      <c r="A1459" s="1" t="s">
        <v>86</v>
      </c>
      <c r="B1459" s="1" t="s">
        <v>87</v>
      </c>
      <c r="C1459" s="1" t="s">
        <v>298</v>
      </c>
      <c r="D1459" s="1">
        <v>38.294899999999998</v>
      </c>
      <c r="E1459" s="1">
        <v>-93.287899999999993</v>
      </c>
      <c r="F1459" s="1" t="s">
        <v>1922</v>
      </c>
      <c r="G1459" s="22">
        <v>1077.7747594595953</v>
      </c>
      <c r="H1459" s="20">
        <f ca="1">NOW() - TIME(5,30,0) + (VLOOKUP(MasterTable[[#This Row],[TimeZone]], $O$3:$P$8, 2, FALSE) / 24)</f>
        <v>45990.531878125003</v>
      </c>
      <c r="I1459" s="1" t="s">
        <v>1944</v>
      </c>
      <c r="J1459" s="1">
        <v>880.24</v>
      </c>
    </row>
    <row r="1460" spans="1:10" x14ac:dyDescent="0.25">
      <c r="A1460" s="1" t="s">
        <v>86</v>
      </c>
      <c r="B1460" s="1" t="s">
        <v>87</v>
      </c>
      <c r="C1460" s="1" t="s">
        <v>860</v>
      </c>
      <c r="D1460" s="1">
        <v>37.8506</v>
      </c>
      <c r="E1460" s="1">
        <v>-94.342399999999998</v>
      </c>
      <c r="F1460" s="1" t="s">
        <v>1922</v>
      </c>
      <c r="G1460" s="22">
        <v>1013.822157844796</v>
      </c>
      <c r="H1460" s="20">
        <f ca="1">NOW() - TIME(5,30,0) + (VLOOKUP(MasterTable[[#This Row],[TimeZone]], $O$3:$P$8, 2, FALSE) / 24)</f>
        <v>45990.531878125003</v>
      </c>
      <c r="I1460" s="1" t="s">
        <v>1944</v>
      </c>
      <c r="J1460" s="1">
        <v>1341.51</v>
      </c>
    </row>
    <row r="1461" spans="1:10" x14ac:dyDescent="0.25">
      <c r="A1461" s="1" t="s">
        <v>86</v>
      </c>
      <c r="B1461" s="1" t="s">
        <v>87</v>
      </c>
      <c r="C1461" s="1" t="s">
        <v>877</v>
      </c>
      <c r="D1461" s="1">
        <v>37.7072</v>
      </c>
      <c r="E1461" s="1">
        <v>-89.824399999999997</v>
      </c>
      <c r="F1461" s="1" t="s">
        <v>1922</v>
      </c>
      <c r="G1461" s="22">
        <v>1250.392974768107</v>
      </c>
      <c r="H1461" s="20">
        <f ca="1">NOW() - TIME(5,30,0) + (VLOOKUP(MasterTable[[#This Row],[TimeZone]], $O$3:$P$8, 2, FALSE) / 24)</f>
        <v>45990.531878125003</v>
      </c>
      <c r="I1461" s="1" t="s">
        <v>1944</v>
      </c>
      <c r="J1461" s="1">
        <v>724.08</v>
      </c>
    </row>
    <row r="1462" spans="1:10" x14ac:dyDescent="0.25">
      <c r="A1462" s="1" t="s">
        <v>86</v>
      </c>
      <c r="B1462" s="1" t="s">
        <v>87</v>
      </c>
      <c r="C1462" s="1" t="s">
        <v>478</v>
      </c>
      <c r="D1462" s="1">
        <v>37.270200000000003</v>
      </c>
      <c r="E1462" s="1">
        <v>-92.468699999999998</v>
      </c>
      <c r="F1462" s="1" t="s">
        <v>1922</v>
      </c>
      <c r="G1462" s="22">
        <v>1102.3112605233587</v>
      </c>
      <c r="H1462" s="20">
        <f ca="1">NOW() - TIME(5,30,0) + (VLOOKUP(MasterTable[[#This Row],[TimeZone]], $O$3:$P$8, 2, FALSE) / 24)</f>
        <v>45990.531878125003</v>
      </c>
      <c r="I1462" s="1" t="s">
        <v>1944</v>
      </c>
      <c r="J1462" s="1">
        <v>582.54</v>
      </c>
    </row>
    <row r="1463" spans="1:10" x14ac:dyDescent="0.25">
      <c r="A1463" s="1" t="s">
        <v>86</v>
      </c>
      <c r="B1463" s="1" t="s">
        <v>87</v>
      </c>
      <c r="C1463" s="1" t="s">
        <v>1307</v>
      </c>
      <c r="D1463" s="1">
        <v>37.894500000000001</v>
      </c>
      <c r="E1463" s="1">
        <v>-90.194400000000002</v>
      </c>
      <c r="F1463" s="1" t="s">
        <v>1922</v>
      </c>
      <c r="G1463" s="22">
        <v>1233.2633890601303</v>
      </c>
      <c r="H1463" s="20">
        <f ca="1">NOW() - TIME(5,30,0) + (VLOOKUP(MasterTable[[#This Row],[TimeZone]], $O$3:$P$8, 2, FALSE) / 24)</f>
        <v>45990.531878125003</v>
      </c>
      <c r="I1463" s="1" t="s">
        <v>1944</v>
      </c>
      <c r="J1463" s="1">
        <v>508.94</v>
      </c>
    </row>
    <row r="1464" spans="1:10" x14ac:dyDescent="0.25">
      <c r="A1464" s="1" t="s">
        <v>86</v>
      </c>
      <c r="B1464" s="1" t="s">
        <v>87</v>
      </c>
      <c r="C1464" s="1" t="s">
        <v>1323</v>
      </c>
      <c r="D1464" s="1">
        <v>39.983499999999999</v>
      </c>
      <c r="E1464" s="1">
        <v>-94.802099999999996</v>
      </c>
      <c r="F1464" s="1" t="s">
        <v>1922</v>
      </c>
      <c r="G1464" s="22">
        <v>1045.4233842148976</v>
      </c>
      <c r="H1464" s="20">
        <f ca="1">NOW() - TIME(5,30,0) + (VLOOKUP(MasterTable[[#This Row],[TimeZone]], $O$3:$P$8, 2, FALSE) / 24)</f>
        <v>45990.531878125003</v>
      </c>
      <c r="I1464" s="1" t="s">
        <v>1944</v>
      </c>
      <c r="J1464" s="1">
        <v>436.5</v>
      </c>
    </row>
    <row r="1465" spans="1:10" x14ac:dyDescent="0.25">
      <c r="A1465" s="1" t="s">
        <v>86</v>
      </c>
      <c r="B1465" s="1" t="s">
        <v>87</v>
      </c>
      <c r="C1465" s="1" t="s">
        <v>783</v>
      </c>
      <c r="D1465" s="1">
        <v>39.343800000000002</v>
      </c>
      <c r="E1465" s="1">
        <v>-91.171400000000006</v>
      </c>
      <c r="F1465" s="1" t="s">
        <v>1922</v>
      </c>
      <c r="G1465" s="22">
        <v>1208.3934180774122</v>
      </c>
      <c r="H1465" s="20">
        <f ca="1">NOW() - TIME(5,30,0) + (VLOOKUP(MasterTable[[#This Row],[TimeZone]], $O$3:$P$8, 2, FALSE) / 24)</f>
        <v>45990.531878125003</v>
      </c>
      <c r="I1465" s="1" t="s">
        <v>1944</v>
      </c>
      <c r="J1465" s="1">
        <v>672.1</v>
      </c>
    </row>
    <row r="1466" spans="1:10" x14ac:dyDescent="0.25">
      <c r="A1466" s="1" t="s">
        <v>86</v>
      </c>
      <c r="B1466" s="1" t="s">
        <v>87</v>
      </c>
      <c r="C1466" s="1" t="s">
        <v>20</v>
      </c>
      <c r="D1466" s="1">
        <v>37.680399999999999</v>
      </c>
      <c r="E1466" s="1">
        <v>-93.023700000000005</v>
      </c>
      <c r="F1466" s="1" t="s">
        <v>1922</v>
      </c>
      <c r="G1466" s="22">
        <v>1079.6482823133879</v>
      </c>
      <c r="H1466" s="20">
        <f ca="1">NOW() - TIME(5,30,0) + (VLOOKUP(MasterTable[[#This Row],[TimeZone]], $O$3:$P$8, 2, FALSE) / 24)</f>
        <v>45990.531878125003</v>
      </c>
      <c r="I1466" s="1" t="s">
        <v>1944</v>
      </c>
      <c r="J1466" s="1">
        <v>993.37</v>
      </c>
    </row>
    <row r="1467" spans="1:10" x14ac:dyDescent="0.25">
      <c r="A1467" s="1" t="s">
        <v>86</v>
      </c>
      <c r="B1467" s="1" t="s">
        <v>87</v>
      </c>
      <c r="C1467" s="1" t="s">
        <v>1353</v>
      </c>
      <c r="D1467" s="1">
        <v>38.843499999999999</v>
      </c>
      <c r="E1467" s="1">
        <v>-92.810100000000006</v>
      </c>
      <c r="F1467" s="1" t="s">
        <v>1922</v>
      </c>
      <c r="G1467" s="22">
        <v>1114.1047875885258</v>
      </c>
      <c r="H1467" s="20">
        <f ca="1">NOW() - TIME(5,30,0) + (VLOOKUP(MasterTable[[#This Row],[TimeZone]], $O$3:$P$8, 2, FALSE) / 24)</f>
        <v>45990.531878125003</v>
      </c>
      <c r="I1467" s="1" t="s">
        <v>1944</v>
      </c>
      <c r="J1467" s="1">
        <v>570.22</v>
      </c>
    </row>
    <row r="1468" spans="1:10" x14ac:dyDescent="0.25">
      <c r="A1468" s="1" t="s">
        <v>86</v>
      </c>
      <c r="B1468" s="1" t="s">
        <v>87</v>
      </c>
      <c r="C1468" s="1" t="s">
        <v>1376</v>
      </c>
      <c r="D1468" s="1">
        <v>38.257300000000001</v>
      </c>
      <c r="E1468" s="1">
        <v>-94.34</v>
      </c>
      <c r="F1468" s="1" t="s">
        <v>1922</v>
      </c>
      <c r="G1468" s="22">
        <v>1022.7750058898845</v>
      </c>
      <c r="H1468" s="20">
        <f ca="1">NOW() - TIME(5,30,0) + (VLOOKUP(MasterTable[[#This Row],[TimeZone]], $O$3:$P$8, 2, FALSE) / 24)</f>
        <v>45990.531878125003</v>
      </c>
      <c r="I1468" s="1" t="s">
        <v>1944</v>
      </c>
      <c r="J1468" s="1">
        <v>851.37</v>
      </c>
    </row>
    <row r="1469" spans="1:10" x14ac:dyDescent="0.25">
      <c r="A1469" s="1" t="s">
        <v>86</v>
      </c>
      <c r="B1469" s="1" t="s">
        <v>87</v>
      </c>
      <c r="C1469" s="1" t="s">
        <v>1378</v>
      </c>
      <c r="D1469" s="1">
        <v>36.5946</v>
      </c>
      <c r="E1469" s="1">
        <v>-89.651700000000005</v>
      </c>
      <c r="F1469" s="1" t="s">
        <v>1922</v>
      </c>
      <c r="G1469" s="22">
        <v>1247.033393414569</v>
      </c>
      <c r="H1469" s="20">
        <f ca="1">NOW() - TIME(5,30,0) + (VLOOKUP(MasterTable[[#This Row],[TimeZone]], $O$3:$P$8, 2, FALSE) / 24)</f>
        <v>45990.531878125003</v>
      </c>
      <c r="I1469" s="1" t="s">
        <v>1944</v>
      </c>
      <c r="J1469" s="1">
        <v>698.02</v>
      </c>
    </row>
    <row r="1470" spans="1:10" x14ac:dyDescent="0.25">
      <c r="A1470" s="1" t="s">
        <v>86</v>
      </c>
      <c r="B1470" s="1" t="s">
        <v>87</v>
      </c>
      <c r="C1470" s="1" t="s">
        <v>1392</v>
      </c>
      <c r="D1470" s="1">
        <v>38.632800000000003</v>
      </c>
      <c r="E1470" s="1">
        <v>-92.583100000000002</v>
      </c>
      <c r="F1470" s="1" t="s">
        <v>1922</v>
      </c>
      <c r="G1470" s="22">
        <v>1121.185604376428</v>
      </c>
      <c r="H1470" s="20">
        <f ca="1">NOW() - TIME(5,30,0) + (VLOOKUP(MasterTable[[#This Row],[TimeZone]], $O$3:$P$8, 2, FALSE) / 24)</f>
        <v>45990.531878125003</v>
      </c>
      <c r="I1470" s="1" t="s">
        <v>1944</v>
      </c>
      <c r="J1470" s="1">
        <v>418.85</v>
      </c>
    </row>
    <row r="1471" spans="1:10" x14ac:dyDescent="0.25">
      <c r="A1471" s="1" t="s">
        <v>86</v>
      </c>
      <c r="B1471" s="1" t="s">
        <v>87</v>
      </c>
      <c r="C1471" s="1" t="s">
        <v>1396</v>
      </c>
      <c r="D1471" s="1">
        <v>36.211399999999998</v>
      </c>
      <c r="E1471" s="1">
        <v>-89.785399999999996</v>
      </c>
      <c r="F1471" s="1" t="s">
        <v>1922</v>
      </c>
      <c r="G1471" s="22">
        <v>1236.3181531674511</v>
      </c>
      <c r="H1471" s="20">
        <f ca="1">NOW() - TIME(5,30,0) + (VLOOKUP(MasterTable[[#This Row],[TimeZone]], $O$3:$P$8, 2, FALSE) / 24)</f>
        <v>45990.531878125003</v>
      </c>
      <c r="I1471" s="1" t="s">
        <v>1944</v>
      </c>
      <c r="J1471" s="1">
        <v>512.41</v>
      </c>
    </row>
    <row r="1472" spans="1:10" x14ac:dyDescent="0.25">
      <c r="A1472" s="1" t="s">
        <v>86</v>
      </c>
      <c r="B1472" s="1" t="s">
        <v>87</v>
      </c>
      <c r="C1472" s="1" t="s">
        <v>583</v>
      </c>
      <c r="D1472" s="1">
        <v>39.830800000000004</v>
      </c>
      <c r="E1472" s="1">
        <v>-92.564599999999999</v>
      </c>
      <c r="F1472" s="1" t="s">
        <v>1922</v>
      </c>
      <c r="G1472" s="22">
        <v>1149.8648702415651</v>
      </c>
      <c r="H1472" s="20">
        <f ca="1">NOW() - TIME(5,30,0) + (VLOOKUP(MasterTable[[#This Row],[TimeZone]], $O$3:$P$8, 2, FALSE) / 24)</f>
        <v>45990.531878125003</v>
      </c>
      <c r="I1472" s="1" t="s">
        <v>1944</v>
      </c>
      <c r="J1472" s="1">
        <v>613.24</v>
      </c>
    </row>
    <row r="1473" spans="1:10" x14ac:dyDescent="0.25">
      <c r="A1473" s="1" t="s">
        <v>86</v>
      </c>
      <c r="B1473" s="1" t="s">
        <v>87</v>
      </c>
      <c r="C1473" s="1" t="s">
        <v>1408</v>
      </c>
      <c r="D1473" s="1">
        <v>38.440899999999999</v>
      </c>
      <c r="E1473" s="1">
        <v>-91.507900000000006</v>
      </c>
      <c r="F1473" s="1" t="s">
        <v>1922</v>
      </c>
      <c r="G1473" s="22">
        <v>1173.079980449211</v>
      </c>
      <c r="H1473" s="20">
        <f ca="1">NOW() - TIME(5,30,0) + (VLOOKUP(MasterTable[[#This Row],[TimeZone]], $O$3:$P$8, 2, FALSE) / 24)</f>
        <v>45990.531878125003</v>
      </c>
      <c r="I1473" s="1" t="s">
        <v>1944</v>
      </c>
      <c r="J1473" s="1">
        <v>526.09</v>
      </c>
    </row>
    <row r="1474" spans="1:10" x14ac:dyDescent="0.25">
      <c r="A1474" s="1" t="s">
        <v>86</v>
      </c>
      <c r="B1474" s="1" t="s">
        <v>87</v>
      </c>
      <c r="C1474" s="1" t="s">
        <v>1417</v>
      </c>
      <c r="D1474" s="1">
        <v>37.6066</v>
      </c>
      <c r="E1474" s="1">
        <v>-91.507900000000006</v>
      </c>
      <c r="F1474" s="1" t="s">
        <v>1922</v>
      </c>
      <c r="G1474" s="22">
        <v>1158.8907239915518</v>
      </c>
      <c r="H1474" s="20">
        <f ca="1">NOW() - TIME(5,30,0) + (VLOOKUP(MasterTable[[#This Row],[TimeZone]], $O$3:$P$8, 2, FALSE) / 24)</f>
        <v>45990.531878125003</v>
      </c>
      <c r="I1474" s="1" t="s">
        <v>1944</v>
      </c>
      <c r="J1474" s="1">
        <v>754.51</v>
      </c>
    </row>
    <row r="1475" spans="1:10" x14ac:dyDescent="0.25">
      <c r="A1475" s="1" t="s">
        <v>86</v>
      </c>
      <c r="B1475" s="1" t="s">
        <v>87</v>
      </c>
      <c r="C1475" s="1" t="s">
        <v>1313</v>
      </c>
      <c r="D1475" s="1">
        <v>37.723799999999997</v>
      </c>
      <c r="E1475" s="1">
        <v>-93.8566</v>
      </c>
      <c r="F1475" s="1" t="s">
        <v>1922</v>
      </c>
      <c r="G1475" s="22">
        <v>1036.6337395582791</v>
      </c>
      <c r="H1475" s="20">
        <f ca="1">NOW() - TIME(5,30,0) + (VLOOKUP(MasterTable[[#This Row],[TimeZone]], $O$3:$P$8, 2, FALSE) / 24)</f>
        <v>45990.531878125003</v>
      </c>
      <c r="I1475" s="1" t="s">
        <v>1944</v>
      </c>
      <c r="J1475" s="1">
        <v>581.96</v>
      </c>
    </row>
    <row r="1476" spans="1:10" x14ac:dyDescent="0.25">
      <c r="A1476" s="1" t="s">
        <v>86</v>
      </c>
      <c r="B1476" s="1" t="s">
        <v>87</v>
      </c>
      <c r="C1476" s="1" t="s">
        <v>384</v>
      </c>
      <c r="D1476" s="1">
        <v>39.7821</v>
      </c>
      <c r="E1476" s="1">
        <v>-93.548299999999998</v>
      </c>
      <c r="F1476" s="1" t="s">
        <v>1922</v>
      </c>
      <c r="G1476" s="22">
        <v>1100.2461610126741</v>
      </c>
      <c r="H1476" s="20">
        <f ca="1">NOW() - TIME(5,30,0) + (VLOOKUP(MasterTable[[#This Row],[TimeZone]], $O$3:$P$8, 2, FALSE) / 24)</f>
        <v>45990.531878125003</v>
      </c>
      <c r="I1476" s="1" t="s">
        <v>1944</v>
      </c>
      <c r="J1476" s="1">
        <v>1045.43</v>
      </c>
    </row>
    <row r="1477" spans="1:10" x14ac:dyDescent="0.25">
      <c r="A1477" s="1" t="s">
        <v>86</v>
      </c>
      <c r="B1477" s="1" t="s">
        <v>87</v>
      </c>
      <c r="C1477" s="1" t="s">
        <v>878</v>
      </c>
      <c r="D1477" s="1">
        <v>38.4604</v>
      </c>
      <c r="E1477" s="1">
        <v>-91.861800000000002</v>
      </c>
      <c r="F1477" s="1" t="s">
        <v>1922</v>
      </c>
      <c r="G1477" s="22">
        <v>1155.0246065461397</v>
      </c>
      <c r="H1477" s="20">
        <f ca="1">NOW() - TIME(5,30,0) + (VLOOKUP(MasterTable[[#This Row],[TimeZone]], $O$3:$P$8, 2, FALSE) / 24)</f>
        <v>45990.531878125003</v>
      </c>
      <c r="I1477" s="1" t="s">
        <v>1944</v>
      </c>
      <c r="J1477" s="1">
        <v>719.23</v>
      </c>
    </row>
    <row r="1478" spans="1:10" x14ac:dyDescent="0.25">
      <c r="A1478" s="1" t="s">
        <v>86</v>
      </c>
      <c r="B1478" s="1" t="s">
        <v>87</v>
      </c>
      <c r="C1478" s="1" t="s">
        <v>244</v>
      </c>
      <c r="D1478" s="1">
        <v>37.478099999999998</v>
      </c>
      <c r="E1478" s="1">
        <v>-90.344999999999999</v>
      </c>
      <c r="F1478" s="1" t="s">
        <v>1922</v>
      </c>
      <c r="G1478" s="22">
        <v>1219.3504464637715</v>
      </c>
      <c r="H1478" s="20">
        <f ca="1">NOW() - TIME(5,30,0) + (VLOOKUP(MasterTable[[#This Row],[TimeZone]], $O$3:$P$8, 2, FALSE) / 24)</f>
        <v>45990.531878125003</v>
      </c>
      <c r="I1478" s="1" t="s">
        <v>1944</v>
      </c>
      <c r="J1478" s="1">
        <v>812.85</v>
      </c>
    </row>
    <row r="1479" spans="1:10" x14ac:dyDescent="0.25">
      <c r="A1479" s="1" t="s">
        <v>86</v>
      </c>
      <c r="B1479" s="1" t="s">
        <v>87</v>
      </c>
      <c r="C1479" s="1" t="s">
        <v>355</v>
      </c>
      <c r="D1479" s="1">
        <v>36.828099999999999</v>
      </c>
      <c r="E1479" s="1">
        <v>-89.2911</v>
      </c>
      <c r="F1479" s="1" t="s">
        <v>1922</v>
      </c>
      <c r="G1479" s="22">
        <v>1269.0481726434664</v>
      </c>
      <c r="H1479" s="20">
        <f ca="1">NOW() - TIME(5,30,0) + (VLOOKUP(MasterTable[[#This Row],[TimeZone]], $O$3:$P$8, 2, FALSE) / 24)</f>
        <v>45990.531878125003</v>
      </c>
      <c r="I1479" s="1" t="s">
        <v>1944</v>
      </c>
      <c r="J1479" s="1">
        <v>919.73</v>
      </c>
    </row>
    <row r="1480" spans="1:10" x14ac:dyDescent="0.25">
      <c r="A1480" s="1" t="s">
        <v>86</v>
      </c>
      <c r="B1480" s="1" t="s">
        <v>87</v>
      </c>
      <c r="C1480" s="1" t="s">
        <v>170</v>
      </c>
      <c r="D1480" s="1">
        <v>36.932600000000001</v>
      </c>
      <c r="E1480" s="1">
        <v>-92.498800000000003</v>
      </c>
      <c r="F1480" s="1" t="s">
        <v>1922</v>
      </c>
      <c r="G1480" s="22">
        <v>1095.6814454858882</v>
      </c>
      <c r="H1480" s="20">
        <f ca="1">NOW() - TIME(5,30,0) + (VLOOKUP(MasterTable[[#This Row],[TimeZone]], $O$3:$P$8, 2, FALSE) / 24)</f>
        <v>45990.531878125003</v>
      </c>
      <c r="I1480" s="1" t="s">
        <v>1944</v>
      </c>
      <c r="J1480" s="1">
        <v>842.75</v>
      </c>
    </row>
    <row r="1481" spans="1:10" x14ac:dyDescent="0.25">
      <c r="A1481" s="1" t="s">
        <v>86</v>
      </c>
      <c r="B1481" s="1" t="s">
        <v>87</v>
      </c>
      <c r="C1481" s="1" t="s">
        <v>349</v>
      </c>
      <c r="D1481" s="1">
        <v>39.870199999999997</v>
      </c>
      <c r="E1481" s="1">
        <v>-93.107200000000006</v>
      </c>
      <c r="F1481" s="1" t="s">
        <v>1922</v>
      </c>
      <c r="G1481" s="22">
        <v>1124.1898828073909</v>
      </c>
      <c r="H1481" s="20">
        <f ca="1">NOW() - TIME(5,30,0) + (VLOOKUP(MasterTable[[#This Row],[TimeZone]], $O$3:$P$8, 2, FALSE) / 24)</f>
        <v>45990.531878125003</v>
      </c>
      <c r="I1481" s="1" t="s">
        <v>1944</v>
      </c>
      <c r="J1481" s="1">
        <v>724.55</v>
      </c>
    </row>
    <row r="1482" spans="1:10" x14ac:dyDescent="0.25">
      <c r="A1482" s="1" t="s">
        <v>86</v>
      </c>
      <c r="B1482" s="1" t="s">
        <v>87</v>
      </c>
      <c r="C1482" s="1" t="s">
        <v>1161</v>
      </c>
      <c r="D1482" s="1">
        <v>37.502299999999998</v>
      </c>
      <c r="E1482" s="1">
        <v>-94.347099999999998</v>
      </c>
      <c r="F1482" s="1" t="s">
        <v>1922</v>
      </c>
      <c r="G1482" s="22">
        <v>1006.5626990492547</v>
      </c>
      <c r="H1482" s="20">
        <f ca="1">NOW() - TIME(5,30,0) + (VLOOKUP(MasterTable[[#This Row],[TimeZone]], $O$3:$P$8, 2, FALSE) / 24)</f>
        <v>45990.531878125003</v>
      </c>
      <c r="I1482" s="1" t="s">
        <v>1944</v>
      </c>
      <c r="J1482" s="1">
        <v>900.46</v>
      </c>
    </row>
    <row r="1483" spans="1:10" x14ac:dyDescent="0.25">
      <c r="A1483" s="1" t="s">
        <v>86</v>
      </c>
      <c r="B1483" s="1" t="s">
        <v>87</v>
      </c>
      <c r="C1483" s="1" t="s">
        <v>75</v>
      </c>
      <c r="D1483" s="1">
        <v>38.941499999999998</v>
      </c>
      <c r="E1483" s="1">
        <v>-91.470200000000006</v>
      </c>
      <c r="F1483" s="1" t="s">
        <v>1922</v>
      </c>
      <c r="G1483" s="22">
        <v>1184.761029994017</v>
      </c>
      <c r="H1483" s="20">
        <f ca="1">NOW() - TIME(5,30,0) + (VLOOKUP(MasterTable[[#This Row],[TimeZone]], $O$3:$P$8, 2, FALSE) / 24)</f>
        <v>45990.531878125003</v>
      </c>
      <c r="I1483" s="1" t="s">
        <v>1944</v>
      </c>
      <c r="J1483" s="1">
        <v>799.76</v>
      </c>
    </row>
    <row r="1484" spans="1:10" x14ac:dyDescent="0.25">
      <c r="A1484" s="1" t="s">
        <v>86</v>
      </c>
      <c r="B1484" s="1" t="s">
        <v>87</v>
      </c>
      <c r="C1484" s="1" t="s">
        <v>133</v>
      </c>
      <c r="D1484" s="1">
        <v>39.8932</v>
      </c>
      <c r="E1484" s="1">
        <v>-94.404700000000005</v>
      </c>
      <c r="F1484" s="1" t="s">
        <v>1922</v>
      </c>
      <c r="G1484" s="22">
        <v>1061.7914962758048</v>
      </c>
      <c r="H1484" s="20">
        <f ca="1">NOW() - TIME(5,30,0) + (VLOOKUP(MasterTable[[#This Row],[TimeZone]], $O$3:$P$8, 2, FALSE) / 24)</f>
        <v>45990.531878125003</v>
      </c>
      <c r="I1484" s="1" t="s">
        <v>1944</v>
      </c>
      <c r="J1484" s="1">
        <v>778.65</v>
      </c>
    </row>
    <row r="1485" spans="1:10" x14ac:dyDescent="0.25">
      <c r="A1485" s="1" t="s">
        <v>86</v>
      </c>
      <c r="B1485" s="1" t="s">
        <v>87</v>
      </c>
      <c r="C1485" s="1" t="s">
        <v>34</v>
      </c>
      <c r="D1485" s="1">
        <v>37.1126</v>
      </c>
      <c r="E1485" s="1">
        <v>-90.461399999999998</v>
      </c>
      <c r="F1485" s="1" t="s">
        <v>1922</v>
      </c>
      <c r="G1485" s="22">
        <v>1208.3856415601063</v>
      </c>
      <c r="H1485" s="20">
        <f ca="1">NOW() - TIME(5,30,0) + (VLOOKUP(MasterTable[[#This Row],[TimeZone]], $O$3:$P$8, 2, FALSE) / 24)</f>
        <v>45990.531878125003</v>
      </c>
      <c r="I1485" s="1" t="s">
        <v>1944</v>
      </c>
      <c r="J1485" s="1">
        <v>648.79999999999995</v>
      </c>
    </row>
    <row r="1486" spans="1:10" x14ac:dyDescent="0.25">
      <c r="A1486" s="1" t="s">
        <v>86</v>
      </c>
      <c r="B1486" s="1" t="s">
        <v>87</v>
      </c>
      <c r="C1486" s="1" t="s">
        <v>1088</v>
      </c>
      <c r="D1486" s="1">
        <v>36.652799999999999</v>
      </c>
      <c r="E1486" s="1">
        <v>-90.863799999999998</v>
      </c>
      <c r="F1486" s="1" t="s">
        <v>1922</v>
      </c>
      <c r="G1486" s="22">
        <v>1181.1347149810972</v>
      </c>
      <c r="H1486" s="20">
        <f ca="1">NOW() - TIME(5,30,0) + (VLOOKUP(MasterTable[[#This Row],[TimeZone]], $O$3:$P$8, 2, FALSE) / 24)</f>
        <v>45990.531878125003</v>
      </c>
      <c r="I1486" s="1" t="s">
        <v>1944</v>
      </c>
      <c r="J1486" s="1">
        <v>447.91</v>
      </c>
    </row>
    <row r="1487" spans="1:10" x14ac:dyDescent="0.25">
      <c r="A1487" s="1" t="s">
        <v>86</v>
      </c>
      <c r="B1487" s="1" t="s">
        <v>87</v>
      </c>
      <c r="C1487" s="1" t="s">
        <v>1536</v>
      </c>
      <c r="D1487" s="1">
        <v>37.322200000000002</v>
      </c>
      <c r="E1487" s="1">
        <v>-90.025899999999993</v>
      </c>
      <c r="F1487" s="1" t="s">
        <v>1922</v>
      </c>
      <c r="G1487" s="22">
        <v>1234.5461343225604</v>
      </c>
      <c r="H1487" s="20">
        <f ca="1">NOW() - TIME(5,30,0) + (VLOOKUP(MasterTable[[#This Row],[TimeZone]], $O$3:$P$8, 2, FALSE) / 24)</f>
        <v>45990.531878125003</v>
      </c>
      <c r="I1487" s="1" t="s">
        <v>1944</v>
      </c>
      <c r="J1487" s="1">
        <v>621.20000000000005</v>
      </c>
    </row>
    <row r="1488" spans="1:10" x14ac:dyDescent="0.25">
      <c r="A1488" s="1" t="s">
        <v>86</v>
      </c>
      <c r="B1488" s="1" t="s">
        <v>87</v>
      </c>
      <c r="C1488" s="1" t="s">
        <v>1539</v>
      </c>
      <c r="D1488" s="1">
        <v>39.527700000000003</v>
      </c>
      <c r="E1488" s="1">
        <v>-91.522000000000006</v>
      </c>
      <c r="F1488" s="1" t="s">
        <v>1922</v>
      </c>
      <c r="G1488" s="22">
        <v>1194.6620042975042</v>
      </c>
      <c r="H1488" s="20">
        <f ca="1">NOW() - TIME(5,30,0) + (VLOOKUP(MasterTable[[#This Row],[TimeZone]], $O$3:$P$8, 2, FALSE) / 24)</f>
        <v>45990.531878125003</v>
      </c>
      <c r="I1488" s="1" t="s">
        <v>1944</v>
      </c>
      <c r="J1488" s="1">
        <v>483.82</v>
      </c>
    </row>
    <row r="1489" spans="1:10" x14ac:dyDescent="0.25">
      <c r="A1489" s="1" t="s">
        <v>86</v>
      </c>
      <c r="B1489" s="1" t="s">
        <v>87</v>
      </c>
      <c r="C1489" s="1" t="s">
        <v>273</v>
      </c>
      <c r="D1489" s="1">
        <v>39.142499999999998</v>
      </c>
      <c r="E1489" s="1">
        <v>-92.696299999999994</v>
      </c>
      <c r="F1489" s="1" t="s">
        <v>1922</v>
      </c>
      <c r="G1489" s="22">
        <v>1126.6389766351665</v>
      </c>
      <c r="H1489" s="20">
        <f ca="1">NOW() - TIME(5,30,0) + (VLOOKUP(MasterTable[[#This Row],[TimeZone]], $O$3:$P$8, 2, FALSE) / 24)</f>
        <v>45990.531878125003</v>
      </c>
      <c r="I1489" s="1" t="s">
        <v>1944</v>
      </c>
      <c r="J1489" s="1">
        <v>595.20000000000005</v>
      </c>
    </row>
    <row r="1490" spans="1:10" x14ac:dyDescent="0.25">
      <c r="A1490" s="1" t="s">
        <v>86</v>
      </c>
      <c r="B1490" s="1" t="s">
        <v>87</v>
      </c>
      <c r="C1490" s="1" t="s">
        <v>649</v>
      </c>
      <c r="D1490" s="1">
        <v>40.096899999999998</v>
      </c>
      <c r="E1490" s="1">
        <v>-91.722099999999998</v>
      </c>
      <c r="F1490" s="1" t="s">
        <v>1922</v>
      </c>
      <c r="G1490" s="22">
        <v>1198.1132154283544</v>
      </c>
      <c r="H1490" s="20">
        <f ca="1">NOW() - TIME(5,30,0) + (VLOOKUP(MasterTable[[#This Row],[TimeZone]], $O$3:$P$8, 2, FALSE) / 24)</f>
        <v>45990.531878125003</v>
      </c>
      <c r="I1490" s="1" t="s">
        <v>1944</v>
      </c>
      <c r="J1490" s="1">
        <v>479.81</v>
      </c>
    </row>
    <row r="1491" spans="1:10" x14ac:dyDescent="0.25">
      <c r="A1491" s="1" t="s">
        <v>86</v>
      </c>
      <c r="B1491" s="1" t="s">
        <v>87</v>
      </c>
      <c r="C1491" s="1" t="s">
        <v>825</v>
      </c>
      <c r="D1491" s="1">
        <v>40.113900000000001</v>
      </c>
      <c r="E1491" s="1">
        <v>-93.565299999999993</v>
      </c>
      <c r="F1491" s="1" t="s">
        <v>1922</v>
      </c>
      <c r="G1491" s="22">
        <v>1108.5515118704502</v>
      </c>
      <c r="H1491" s="20">
        <f ca="1">NOW() - TIME(5,30,0) + (VLOOKUP(MasterTable[[#This Row],[TimeZone]], $O$3:$P$8, 2, FALSE) / 24)</f>
        <v>45990.531878125003</v>
      </c>
      <c r="I1491" s="1" t="s">
        <v>1944</v>
      </c>
      <c r="J1491" s="1">
        <v>430.42</v>
      </c>
    </row>
    <row r="1492" spans="1:10" x14ac:dyDescent="0.25">
      <c r="A1492" s="1" t="s">
        <v>86</v>
      </c>
      <c r="B1492" s="1" t="s">
        <v>87</v>
      </c>
      <c r="C1492" s="1" t="s">
        <v>776</v>
      </c>
      <c r="D1492" s="1">
        <v>37.555199999999999</v>
      </c>
      <c r="E1492" s="1">
        <v>-90.773499999999999</v>
      </c>
      <c r="F1492" s="1" t="s">
        <v>1922</v>
      </c>
      <c r="G1492" s="22">
        <v>1197.4051754193122</v>
      </c>
      <c r="H1492" s="20">
        <f ca="1">NOW() - TIME(5,30,0) + (VLOOKUP(MasterTable[[#This Row],[TimeZone]], $O$3:$P$8, 2, FALSE) / 24)</f>
        <v>45990.531878125003</v>
      </c>
      <c r="I1492" s="1" t="s">
        <v>1944</v>
      </c>
      <c r="J1492" s="1">
        <v>1211.02</v>
      </c>
    </row>
    <row r="1493" spans="1:10" x14ac:dyDescent="0.25">
      <c r="A1493" s="1" t="s">
        <v>86</v>
      </c>
      <c r="B1493" s="1" t="s">
        <v>87</v>
      </c>
      <c r="C1493" s="1" t="s">
        <v>328</v>
      </c>
      <c r="D1493" s="1">
        <v>38.037199999999999</v>
      </c>
      <c r="E1493" s="1">
        <v>-93.775999999999996</v>
      </c>
      <c r="F1493" s="1" t="s">
        <v>1922</v>
      </c>
      <c r="G1493" s="22">
        <v>1047.1339052465505</v>
      </c>
      <c r="H1493" s="20">
        <f ca="1">NOW() - TIME(5,30,0) + (VLOOKUP(MasterTable[[#This Row],[TimeZone]], $O$3:$P$8, 2, FALSE) / 24)</f>
        <v>45990.531878125003</v>
      </c>
      <c r="I1493" s="1" t="s">
        <v>1944</v>
      </c>
      <c r="J1493" s="1">
        <v>653.61</v>
      </c>
    </row>
    <row r="1494" spans="1:10" x14ac:dyDescent="0.25">
      <c r="A1494" s="1" t="s">
        <v>86</v>
      </c>
      <c r="B1494" s="1" t="s">
        <v>87</v>
      </c>
      <c r="C1494" s="1" t="s">
        <v>667</v>
      </c>
      <c r="D1494" s="1">
        <v>39.655700000000003</v>
      </c>
      <c r="E1494" s="1">
        <v>-93.982699999999994</v>
      </c>
      <c r="F1494" s="1" t="s">
        <v>1922</v>
      </c>
      <c r="G1494" s="22">
        <v>1075.5825507291877</v>
      </c>
      <c r="H1494" s="20">
        <f ca="1">NOW() - TIME(5,30,0) + (VLOOKUP(MasterTable[[#This Row],[TimeZone]], $O$3:$P$8, 2, FALSE) / 24)</f>
        <v>45990.531878125003</v>
      </c>
      <c r="I1494" s="1" t="s">
        <v>1944</v>
      </c>
      <c r="J1494" s="1">
        <v>348.18</v>
      </c>
    </row>
    <row r="1495" spans="1:10" x14ac:dyDescent="0.25">
      <c r="A1495" s="1" t="s">
        <v>86</v>
      </c>
      <c r="B1495" s="1" t="s">
        <v>87</v>
      </c>
      <c r="C1495" s="1" t="s">
        <v>1597</v>
      </c>
      <c r="D1495" s="1">
        <v>36.649299999999997</v>
      </c>
      <c r="E1495" s="1">
        <v>-92.444699999999997</v>
      </c>
      <c r="F1495" s="1" t="s">
        <v>1922</v>
      </c>
      <c r="G1495" s="22">
        <v>1094.7745502708369</v>
      </c>
      <c r="H1495" s="20">
        <f ca="1">NOW() - TIME(5,30,0) + (VLOOKUP(MasterTable[[#This Row],[TimeZone]], $O$3:$P$8, 2, FALSE) / 24)</f>
        <v>45990.531878125003</v>
      </c>
      <c r="I1495" s="1" t="s">
        <v>1944</v>
      </c>
      <c r="J1495" s="1">
        <v>755.07</v>
      </c>
    </row>
    <row r="1496" spans="1:10" x14ac:dyDescent="0.25">
      <c r="A1496" s="1" t="s">
        <v>86</v>
      </c>
      <c r="B1496" s="1" t="s">
        <v>87</v>
      </c>
      <c r="C1496" s="1" t="s">
        <v>124</v>
      </c>
      <c r="D1496" s="1">
        <v>36.686700000000002</v>
      </c>
      <c r="E1496" s="1">
        <v>-91.403300000000002</v>
      </c>
      <c r="F1496" s="1" t="s">
        <v>1922</v>
      </c>
      <c r="G1496" s="22">
        <v>1152.025535697504</v>
      </c>
      <c r="H1496" s="20">
        <f ca="1">NOW() - TIME(5,30,0) + (VLOOKUP(MasterTable[[#This Row],[TimeZone]], $O$3:$P$8, 2, FALSE) / 24)</f>
        <v>45990.531878125003</v>
      </c>
      <c r="I1496" s="1" t="s">
        <v>1944</v>
      </c>
      <c r="J1496" s="1">
        <v>791.59</v>
      </c>
    </row>
    <row r="1497" spans="1:10" x14ac:dyDescent="0.25">
      <c r="A1497" s="1" t="s">
        <v>86</v>
      </c>
      <c r="B1497" s="1" t="s">
        <v>87</v>
      </c>
      <c r="C1497" s="1" t="s">
        <v>135</v>
      </c>
      <c r="D1497" s="1">
        <v>39.495399999999997</v>
      </c>
      <c r="E1497" s="1">
        <v>-92.000699999999995</v>
      </c>
      <c r="F1497" s="1" t="s">
        <v>1922</v>
      </c>
      <c r="G1497" s="22">
        <v>1169.8357636801618</v>
      </c>
      <c r="H1497" s="20">
        <f ca="1">NOW() - TIME(5,30,0) + (VLOOKUP(MasterTable[[#This Row],[TimeZone]], $O$3:$P$8, 2, FALSE) / 24)</f>
        <v>45990.531878125003</v>
      </c>
      <c r="I1497" s="1" t="s">
        <v>1944</v>
      </c>
      <c r="J1497" s="1">
        <v>1034.53</v>
      </c>
    </row>
    <row r="1498" spans="1:10" x14ac:dyDescent="0.25">
      <c r="A1498" s="1" t="s">
        <v>86</v>
      </c>
      <c r="B1498" s="1" t="s">
        <v>87</v>
      </c>
      <c r="C1498" s="1" t="s">
        <v>1609</v>
      </c>
      <c r="D1498" s="1">
        <v>37.940800000000003</v>
      </c>
      <c r="E1498" s="1">
        <v>-93.320700000000002</v>
      </c>
      <c r="F1498" s="1" t="s">
        <v>1922</v>
      </c>
      <c r="G1498" s="22">
        <v>1068.923198887411</v>
      </c>
      <c r="H1498" s="20">
        <f ca="1">NOW() - TIME(5,30,0) + (VLOOKUP(MasterTable[[#This Row],[TimeZone]], $O$3:$P$8, 2, FALSE) / 24)</f>
        <v>45990.531878125003</v>
      </c>
      <c r="I1498" s="1" t="s">
        <v>1944</v>
      </c>
      <c r="J1498" s="1">
        <v>411.74</v>
      </c>
    </row>
    <row r="1499" spans="1:10" x14ac:dyDescent="0.25">
      <c r="A1499" s="1" t="s">
        <v>86</v>
      </c>
      <c r="B1499" s="1" t="s">
        <v>87</v>
      </c>
      <c r="C1499" s="1" t="s">
        <v>418</v>
      </c>
      <c r="D1499" s="1">
        <v>39.427</v>
      </c>
      <c r="E1499" s="1">
        <v>-93.505200000000002</v>
      </c>
      <c r="F1499" s="1" t="s">
        <v>1922</v>
      </c>
      <c r="G1499" s="22">
        <v>1093.0537361881809</v>
      </c>
      <c r="H1499" s="20">
        <f ca="1">NOW() - TIME(5,30,0) + (VLOOKUP(MasterTable[[#This Row],[TimeZone]], $O$3:$P$8, 2, FALSE) / 24)</f>
        <v>45990.531878125003</v>
      </c>
      <c r="I1499" s="1" t="s">
        <v>1944</v>
      </c>
      <c r="J1499" s="1">
        <v>638.80999999999995</v>
      </c>
    </row>
    <row r="1500" spans="1:10" x14ac:dyDescent="0.25">
      <c r="A1500" s="1" t="s">
        <v>86</v>
      </c>
      <c r="B1500" s="1" t="s">
        <v>87</v>
      </c>
      <c r="C1500" s="1" t="s">
        <v>579</v>
      </c>
      <c r="D1500" s="1">
        <v>39.960799999999999</v>
      </c>
      <c r="E1500" s="1">
        <v>-93.985500000000002</v>
      </c>
      <c r="F1500" s="1" t="s">
        <v>1922</v>
      </c>
      <c r="G1500" s="22">
        <v>1083.9394147441503</v>
      </c>
      <c r="H1500" s="20">
        <f ca="1">NOW() - TIME(5,30,0) + (VLOOKUP(MasterTable[[#This Row],[TimeZone]], $O$3:$P$8, 2, FALSE) / 24)</f>
        <v>45990.531878125003</v>
      </c>
      <c r="I1500" s="1" t="s">
        <v>1944</v>
      </c>
      <c r="J1500" s="1">
        <v>436.86</v>
      </c>
    </row>
    <row r="1501" spans="1:10" x14ac:dyDescent="0.25">
      <c r="A1501" s="1" t="s">
        <v>86</v>
      </c>
      <c r="B1501" s="1" t="s">
        <v>87</v>
      </c>
      <c r="C1501" s="1" t="s">
        <v>1611</v>
      </c>
      <c r="D1501" s="1">
        <v>38.1616</v>
      </c>
      <c r="E1501" s="1">
        <v>-91.924899999999994</v>
      </c>
      <c r="F1501" s="1" t="s">
        <v>1922</v>
      </c>
      <c r="G1501" s="22">
        <v>1146.1535582868594</v>
      </c>
      <c r="H1501" s="20">
        <f ca="1">NOW() - TIME(5,30,0) + (VLOOKUP(MasterTable[[#This Row],[TimeZone]], $O$3:$P$8, 2, FALSE) / 24)</f>
        <v>45990.531878125003</v>
      </c>
      <c r="I1501" s="1" t="s">
        <v>1944</v>
      </c>
      <c r="J1501" s="1">
        <v>529.97</v>
      </c>
    </row>
    <row r="1502" spans="1:10" x14ac:dyDescent="0.25">
      <c r="A1502" s="1" t="s">
        <v>86</v>
      </c>
      <c r="B1502" s="1" t="s">
        <v>87</v>
      </c>
      <c r="C1502" s="1" t="s">
        <v>364</v>
      </c>
      <c r="D1502" s="1">
        <v>40.354700000000001</v>
      </c>
      <c r="E1502" s="1">
        <v>-93.992000000000004</v>
      </c>
      <c r="F1502" s="1" t="s">
        <v>1922</v>
      </c>
      <c r="G1502" s="22">
        <v>1095.0866261106171</v>
      </c>
      <c r="H1502" s="20">
        <f ca="1">NOW() - TIME(5,30,0) + (VLOOKUP(MasterTable[[#This Row],[TimeZone]], $O$3:$P$8, 2, FALSE) / 24)</f>
        <v>45990.531878125003</v>
      </c>
      <c r="I1502" s="1" t="s">
        <v>1944</v>
      </c>
      <c r="J1502" s="1">
        <v>486.88</v>
      </c>
    </row>
    <row r="1503" spans="1:10" x14ac:dyDescent="0.25">
      <c r="A1503" s="1" t="s">
        <v>86</v>
      </c>
      <c r="B1503" s="1" t="s">
        <v>87</v>
      </c>
      <c r="C1503" s="1" t="s">
        <v>1374</v>
      </c>
      <c r="D1503" s="1">
        <v>37.432099999999998</v>
      </c>
      <c r="E1503" s="1">
        <v>-93.850300000000004</v>
      </c>
      <c r="F1503" s="1" t="s">
        <v>1922</v>
      </c>
      <c r="G1503" s="22">
        <v>1031.4540191190129</v>
      </c>
      <c r="H1503" s="20">
        <f ca="1">NOW() - TIME(5,30,0) + (VLOOKUP(MasterTable[[#This Row],[TimeZone]], $O$3:$P$8, 2, FALSE) / 24)</f>
        <v>45990.531878125003</v>
      </c>
      <c r="I1503" s="1" t="s">
        <v>1944</v>
      </c>
      <c r="J1503" s="1">
        <v>174.16</v>
      </c>
    </row>
    <row r="1504" spans="1:10" x14ac:dyDescent="0.25">
      <c r="A1504" s="1" t="s">
        <v>86</v>
      </c>
      <c r="B1504" s="1" t="s">
        <v>87</v>
      </c>
      <c r="C1504" s="1" t="s">
        <v>1652</v>
      </c>
      <c r="D1504" s="1">
        <v>39.515099999999997</v>
      </c>
      <c r="E1504" s="1">
        <v>-92.962599999999995</v>
      </c>
      <c r="F1504" s="1" t="s">
        <v>1922</v>
      </c>
      <c r="G1504" s="22">
        <v>1122.2215042667233</v>
      </c>
      <c r="H1504" s="20">
        <f ca="1">NOW() - TIME(5,30,0) + (VLOOKUP(MasterTable[[#This Row],[TimeZone]], $O$3:$P$8, 2, FALSE) / 24)</f>
        <v>45990.531878125003</v>
      </c>
      <c r="I1504" s="1" t="s">
        <v>1944</v>
      </c>
      <c r="J1504" s="1">
        <v>768.25</v>
      </c>
    </row>
    <row r="1505" spans="1:10" x14ac:dyDescent="0.25">
      <c r="A1505" s="1" t="s">
        <v>86</v>
      </c>
      <c r="B1505" s="1" t="s">
        <v>87</v>
      </c>
      <c r="C1505" s="1" t="s">
        <v>1663</v>
      </c>
      <c r="D1505" s="1">
        <v>37.157400000000003</v>
      </c>
      <c r="E1505" s="1">
        <v>-91.400499999999994</v>
      </c>
      <c r="F1505" s="1" t="s">
        <v>1922</v>
      </c>
      <c r="G1505" s="22">
        <v>1158.1389342195055</v>
      </c>
      <c r="H1505" s="20">
        <f ca="1">NOW() - TIME(5,30,0) + (VLOOKUP(MasterTable[[#This Row],[TimeZone]], $O$3:$P$8, 2, FALSE) / 24)</f>
        <v>45990.531878125003</v>
      </c>
      <c r="I1505" s="1" t="s">
        <v>1944</v>
      </c>
      <c r="J1505" s="1">
        <v>1003.99</v>
      </c>
    </row>
    <row r="1506" spans="1:10" x14ac:dyDescent="0.25">
      <c r="A1506" s="1" t="s">
        <v>86</v>
      </c>
      <c r="B1506" s="1" t="s">
        <v>87</v>
      </c>
      <c r="C1506" s="1" t="s">
        <v>23</v>
      </c>
      <c r="D1506" s="1">
        <v>40.410299999999999</v>
      </c>
      <c r="E1506" s="1">
        <v>-91.738399999999999</v>
      </c>
      <c r="F1506" s="1" t="s">
        <v>1922</v>
      </c>
      <c r="G1506" s="22">
        <v>1205.2343465323381</v>
      </c>
      <c r="H1506" s="20">
        <f ca="1">NOW() - TIME(5,30,0) + (VLOOKUP(MasterTable[[#This Row],[TimeZone]], $O$3:$P$8, 2, FALSE) / 24)</f>
        <v>45990.531878125003</v>
      </c>
      <c r="I1506" s="1" t="s">
        <v>1944</v>
      </c>
      <c r="J1506" s="1">
        <v>882.6</v>
      </c>
    </row>
    <row r="1507" spans="1:10" x14ac:dyDescent="0.25">
      <c r="A1507" s="1" t="s">
        <v>86</v>
      </c>
      <c r="B1507" s="1" t="s">
        <v>87</v>
      </c>
      <c r="C1507" s="1" t="s">
        <v>1704</v>
      </c>
      <c r="D1507" s="1">
        <v>40.2121</v>
      </c>
      <c r="E1507" s="1">
        <v>-94.409899999999993</v>
      </c>
      <c r="F1507" s="1" t="s">
        <v>1922</v>
      </c>
      <c r="G1507" s="22">
        <v>1070.9644858747793</v>
      </c>
      <c r="H1507" s="20">
        <f ca="1">NOW() - TIME(5,30,0) + (VLOOKUP(MasterTable[[#This Row],[TimeZone]], $O$3:$P$8, 2, FALSE) / 24)</f>
        <v>45990.531878125003</v>
      </c>
      <c r="I1507" s="1" t="s">
        <v>1944</v>
      </c>
      <c r="J1507" s="1">
        <v>491.81</v>
      </c>
    </row>
    <row r="1508" spans="1:10" x14ac:dyDescent="0.25">
      <c r="A1508" s="1" t="s">
        <v>86</v>
      </c>
      <c r="B1508" s="1" t="s">
        <v>87</v>
      </c>
      <c r="C1508" s="1" t="s">
        <v>1709</v>
      </c>
      <c r="D1508" s="1">
        <v>37.362299999999998</v>
      </c>
      <c r="E1508" s="1">
        <v>-90.969099999999997</v>
      </c>
      <c r="F1508" s="1" t="s">
        <v>1922</v>
      </c>
      <c r="G1508" s="22">
        <v>1184.1968519619186</v>
      </c>
      <c r="H1508" s="20">
        <f ca="1">NOW() - TIME(5,30,0) + (VLOOKUP(MasterTable[[#This Row],[TimeZone]], $O$3:$P$8, 2, FALSE) / 24)</f>
        <v>45990.531878125003</v>
      </c>
      <c r="I1508" s="1" t="s">
        <v>1944</v>
      </c>
      <c r="J1508" s="1">
        <v>814.41</v>
      </c>
    </row>
    <row r="1509" spans="1:10" x14ac:dyDescent="0.25">
      <c r="A1509" s="1" t="s">
        <v>86</v>
      </c>
      <c r="B1509" s="1" t="s">
        <v>87</v>
      </c>
      <c r="C1509" s="1" t="s">
        <v>107</v>
      </c>
      <c r="D1509" s="1">
        <v>39.797800000000002</v>
      </c>
      <c r="E1509" s="1">
        <v>-92.076599999999999</v>
      </c>
      <c r="F1509" s="1" t="s">
        <v>1922</v>
      </c>
      <c r="G1509" s="22">
        <v>1173.2202265409787</v>
      </c>
      <c r="H1509" s="20">
        <f ca="1">NOW() - TIME(5,30,0) + (VLOOKUP(MasterTable[[#This Row],[TimeZone]], $O$3:$P$8, 2, FALSE) / 24)</f>
        <v>45990.531878125003</v>
      </c>
      <c r="I1509" s="1" t="s">
        <v>1944</v>
      </c>
      <c r="J1509" s="1">
        <v>809.53</v>
      </c>
    </row>
    <row r="1510" spans="1:10" x14ac:dyDescent="0.25">
      <c r="A1510" s="1" t="s">
        <v>86</v>
      </c>
      <c r="B1510" s="1" t="s">
        <v>87</v>
      </c>
      <c r="C1510" s="1" t="s">
        <v>454</v>
      </c>
      <c r="D1510" s="1">
        <v>40.210599999999999</v>
      </c>
      <c r="E1510" s="1">
        <v>-93.111500000000007</v>
      </c>
      <c r="F1510" s="1" t="s">
        <v>1922</v>
      </c>
      <c r="G1510" s="22">
        <v>1133.1744874573974</v>
      </c>
      <c r="H1510" s="20">
        <f ca="1">NOW() - TIME(5,30,0) + (VLOOKUP(MasterTable[[#This Row],[TimeZone]], $O$3:$P$8, 2, FALSE) / 24)</f>
        <v>45990.531878125003</v>
      </c>
      <c r="I1510" s="1" t="s">
        <v>1944</v>
      </c>
      <c r="J1510" s="1">
        <v>454.04</v>
      </c>
    </row>
    <row r="1511" spans="1:10" x14ac:dyDescent="0.25">
      <c r="A1511" s="1" t="s">
        <v>86</v>
      </c>
      <c r="B1511" s="1" t="s">
        <v>87</v>
      </c>
      <c r="C1511" s="1" t="s">
        <v>803</v>
      </c>
      <c r="D1511" s="1">
        <v>36.941200000000002</v>
      </c>
      <c r="E1511" s="1">
        <v>-90.962299999999999</v>
      </c>
      <c r="F1511" s="1" t="s">
        <v>1922</v>
      </c>
      <c r="G1511" s="22">
        <v>1179.0980295395082</v>
      </c>
      <c r="H1511" s="20">
        <f ca="1">NOW() - TIME(5,30,0) + (VLOOKUP(MasterTable[[#This Row],[TimeZone]], $O$3:$P$8, 2, FALSE) / 24)</f>
        <v>45990.531878125003</v>
      </c>
      <c r="I1511" s="1" t="s">
        <v>1944</v>
      </c>
      <c r="J1511" s="1">
        <v>412.15</v>
      </c>
    </row>
    <row r="1512" spans="1:10" x14ac:dyDescent="0.25">
      <c r="A1512" s="1" t="s">
        <v>86</v>
      </c>
      <c r="B1512" s="1" t="s">
        <v>87</v>
      </c>
      <c r="C1512" s="1" t="s">
        <v>1373</v>
      </c>
      <c r="D1512" s="1">
        <v>40.430799999999998</v>
      </c>
      <c r="E1512" s="1">
        <v>-95.428100000000001</v>
      </c>
      <c r="F1512" s="1" t="s">
        <v>1922</v>
      </c>
      <c r="G1512" s="22">
        <v>1030.1426139565983</v>
      </c>
      <c r="H1512" s="20">
        <f ca="1">NOW() - TIME(5,30,0) + (VLOOKUP(MasterTable[[#This Row],[TimeZone]], $O$3:$P$8, 2, FALSE) / 24)</f>
        <v>45990.531878125003</v>
      </c>
      <c r="I1512" s="1" t="s">
        <v>1944</v>
      </c>
      <c r="J1512" s="1">
        <v>435.04</v>
      </c>
    </row>
    <row r="1513" spans="1:10" x14ac:dyDescent="0.25">
      <c r="A1513" s="1" t="s">
        <v>86</v>
      </c>
      <c r="B1513" s="1" t="s">
        <v>87</v>
      </c>
      <c r="C1513" s="1" t="s">
        <v>1022</v>
      </c>
      <c r="D1513" s="1">
        <v>40.452599999999997</v>
      </c>
      <c r="E1513" s="1">
        <v>-92.147099999999995</v>
      </c>
      <c r="F1513" s="1" t="s">
        <v>1922</v>
      </c>
      <c r="G1513" s="22">
        <v>1186.4584632617746</v>
      </c>
      <c r="H1513" s="20">
        <f ca="1">NOW() - TIME(5,30,0) + (VLOOKUP(MasterTable[[#This Row],[TimeZone]], $O$3:$P$8, 2, FALSE) / 24)</f>
        <v>45990.531878125003</v>
      </c>
      <c r="I1513" s="1" t="s">
        <v>1944</v>
      </c>
      <c r="J1513" s="1">
        <v>439.25</v>
      </c>
    </row>
    <row r="1514" spans="1:10" x14ac:dyDescent="0.25">
      <c r="A1514" s="1" t="s">
        <v>86</v>
      </c>
      <c r="B1514" s="1" t="s">
        <v>87</v>
      </c>
      <c r="C1514" s="1" t="s">
        <v>604</v>
      </c>
      <c r="D1514" s="1">
        <v>40.478900000000003</v>
      </c>
      <c r="E1514" s="1">
        <v>-93.016199999999998</v>
      </c>
      <c r="F1514" s="1" t="s">
        <v>1922</v>
      </c>
      <c r="G1514" s="22">
        <v>1145.2690805804234</v>
      </c>
      <c r="H1514" s="20">
        <f ca="1">NOW() - TIME(5,30,0) + (VLOOKUP(MasterTable[[#This Row],[TimeZone]], $O$3:$P$8, 2, FALSE) / 24)</f>
        <v>45990.531878125003</v>
      </c>
      <c r="I1514" s="1" t="s">
        <v>1944</v>
      </c>
      <c r="J1514" s="1">
        <v>827.16</v>
      </c>
    </row>
    <row r="1515" spans="1:10" x14ac:dyDescent="0.25">
      <c r="A1515" s="1" t="s">
        <v>86</v>
      </c>
      <c r="B1515" s="1" t="s">
        <v>87</v>
      </c>
      <c r="C1515" s="1" t="s">
        <v>1551</v>
      </c>
      <c r="D1515" s="1">
        <v>40.0944</v>
      </c>
      <c r="E1515" s="1">
        <v>-95.215500000000006</v>
      </c>
      <c r="F1515" s="1" t="s">
        <v>1922</v>
      </c>
      <c r="G1515" s="22">
        <v>1029.2407817613164</v>
      </c>
      <c r="H1515" s="20">
        <f ca="1">NOW() - TIME(5,30,0) + (VLOOKUP(MasterTable[[#This Row],[TimeZone]], $O$3:$P$8, 2, FALSE) / 24)</f>
        <v>45990.531878125003</v>
      </c>
      <c r="I1515" s="1" t="s">
        <v>1944</v>
      </c>
      <c r="J1515" s="1">
        <v>469.05</v>
      </c>
    </row>
    <row r="1516" spans="1:10" x14ac:dyDescent="0.25">
      <c r="A1516" s="1" t="s">
        <v>86</v>
      </c>
      <c r="B1516" s="1" t="s">
        <v>87</v>
      </c>
      <c r="C1516" s="1" t="s">
        <v>1330</v>
      </c>
      <c r="D1516" s="1">
        <v>40.470300000000002</v>
      </c>
      <c r="E1516" s="1">
        <v>-92.521000000000001</v>
      </c>
      <c r="F1516" s="1" t="s">
        <v>1922</v>
      </c>
      <c r="G1516" s="22">
        <v>1168.8470357556639</v>
      </c>
      <c r="H1516" s="20">
        <f ca="1">NOW() - TIME(5,30,0) + (VLOOKUP(MasterTable[[#This Row],[TimeZone]], $O$3:$P$8, 2, FALSE) / 24)</f>
        <v>45990.531878125003</v>
      </c>
      <c r="I1516" s="1" t="s">
        <v>1944</v>
      </c>
      <c r="J1516" s="1">
        <v>441.39</v>
      </c>
    </row>
    <row r="1517" spans="1:10" x14ac:dyDescent="0.25">
      <c r="A1517" s="1" t="s">
        <v>86</v>
      </c>
      <c r="B1517" s="1" t="s">
        <v>87</v>
      </c>
      <c r="C1517" s="1" t="s">
        <v>205</v>
      </c>
      <c r="D1517" s="1">
        <v>40.128300000000003</v>
      </c>
      <c r="E1517" s="1">
        <v>-92.148099999999999</v>
      </c>
      <c r="F1517" s="1" t="s">
        <v>1922</v>
      </c>
      <c r="G1517" s="22">
        <v>1177.9366721310055</v>
      </c>
      <c r="H1517" s="20">
        <f ca="1">NOW() - TIME(5,30,0) + (VLOOKUP(MasterTable[[#This Row],[TimeZone]], $O$3:$P$8, 2, FALSE) / 24)</f>
        <v>45990.531878125003</v>
      </c>
      <c r="I1517" s="1" t="s">
        <v>1944</v>
      </c>
      <c r="J1517" s="1">
        <v>719.7</v>
      </c>
    </row>
    <row r="1518" spans="1:10" x14ac:dyDescent="0.25">
      <c r="A1518" s="1" t="s">
        <v>86</v>
      </c>
      <c r="B1518" s="1" t="s">
        <v>87</v>
      </c>
      <c r="C1518" s="1" t="s">
        <v>249</v>
      </c>
      <c r="D1518" s="1">
        <v>40.4223</v>
      </c>
      <c r="E1518" s="1">
        <v>-93.568600000000004</v>
      </c>
      <c r="F1518" s="1" t="s">
        <v>1922</v>
      </c>
      <c r="G1518" s="22">
        <v>1117.2321185512876</v>
      </c>
      <c r="H1518" s="20">
        <f ca="1">NOW() - TIME(5,30,0) + (VLOOKUP(MasterTable[[#This Row],[TimeZone]], $O$3:$P$8, 2, FALSE) / 24)</f>
        <v>45990.531878125003</v>
      </c>
      <c r="I1518" s="1" t="s">
        <v>1944</v>
      </c>
      <c r="J1518" s="1">
        <v>568.88</v>
      </c>
    </row>
    <row r="1519" spans="1:10" x14ac:dyDescent="0.25">
      <c r="A1519" s="1" t="s">
        <v>86</v>
      </c>
      <c r="B1519" s="1" t="s">
        <v>87</v>
      </c>
      <c r="C1519" s="1" t="s">
        <v>1263</v>
      </c>
      <c r="D1519" s="1">
        <v>40.479100000000003</v>
      </c>
      <c r="E1519" s="1">
        <v>-94.4221</v>
      </c>
      <c r="F1519" s="1" t="s">
        <v>1922</v>
      </c>
      <c r="G1519" s="22">
        <v>1078.5572905826753</v>
      </c>
      <c r="H1519" s="20">
        <f ca="1">NOW() - TIME(5,30,0) + (VLOOKUP(MasterTable[[#This Row],[TimeZone]], $O$3:$P$8, 2, FALSE) / 24)</f>
        <v>45990.531878125003</v>
      </c>
      <c r="I1519" s="1" t="s">
        <v>1944</v>
      </c>
      <c r="J1519" s="1">
        <v>574.58000000000004</v>
      </c>
    </row>
    <row r="1520" spans="1:10" x14ac:dyDescent="0.25">
      <c r="A1520" s="1" t="s">
        <v>354</v>
      </c>
      <c r="B1520" s="1" t="s">
        <v>355</v>
      </c>
      <c r="C1520" s="1" t="s">
        <v>353</v>
      </c>
      <c r="D1520" s="1">
        <v>32.2667</v>
      </c>
      <c r="E1520" s="1">
        <v>-90.442899999999995</v>
      </c>
      <c r="F1520" s="1" t="s">
        <v>1922</v>
      </c>
      <c r="G1520" s="22">
        <v>1195.2653648025375</v>
      </c>
      <c r="H1520" s="20">
        <f ca="1">NOW() - TIME(5,30,0) + (VLOOKUP(MasterTable[[#This Row],[TimeZone]], $O$3:$P$8, 2, FALSE) / 24)</f>
        <v>45990.531878125003</v>
      </c>
      <c r="I1520" s="1" t="s">
        <v>1944</v>
      </c>
      <c r="J1520" s="1">
        <v>877.35</v>
      </c>
    </row>
    <row r="1521" spans="1:10" x14ac:dyDescent="0.25">
      <c r="A1521" s="1" t="s">
        <v>354</v>
      </c>
      <c r="B1521" s="1" t="s">
        <v>355</v>
      </c>
      <c r="C1521" s="1" t="s">
        <v>364</v>
      </c>
      <c r="D1521" s="1">
        <v>30.5122</v>
      </c>
      <c r="E1521" s="1">
        <v>-89.116</v>
      </c>
      <c r="F1521" s="1" t="s">
        <v>1922</v>
      </c>
      <c r="G1521" s="22">
        <v>1289.9906676798619</v>
      </c>
      <c r="H1521" s="20">
        <f ca="1">NOW() - TIME(5,30,0) + (VLOOKUP(MasterTable[[#This Row],[TimeZone]], $O$3:$P$8, 2, FALSE) / 24)</f>
        <v>45990.531878125003</v>
      </c>
      <c r="I1521" s="1" t="s">
        <v>1944</v>
      </c>
      <c r="J1521" s="1">
        <v>486.88</v>
      </c>
    </row>
    <row r="1522" spans="1:10" x14ac:dyDescent="0.25">
      <c r="A1522" s="1" t="s">
        <v>354</v>
      </c>
      <c r="B1522" s="1" t="s">
        <v>355</v>
      </c>
      <c r="C1522" s="1" t="s">
        <v>396</v>
      </c>
      <c r="D1522" s="1">
        <v>34.875300000000003</v>
      </c>
      <c r="E1522" s="1">
        <v>-89.991200000000006</v>
      </c>
      <c r="F1522" s="1" t="s">
        <v>1922</v>
      </c>
      <c r="G1522" s="22">
        <v>1217.1778460527057</v>
      </c>
      <c r="H1522" s="20">
        <f ca="1">NOW() - TIME(5,30,0) + (VLOOKUP(MasterTable[[#This Row],[TimeZone]], $O$3:$P$8, 2, FALSE) / 24)</f>
        <v>45990.531878125003</v>
      </c>
      <c r="I1522" s="1" t="s">
        <v>1944</v>
      </c>
      <c r="J1522" s="1">
        <v>639.5</v>
      </c>
    </row>
    <row r="1523" spans="1:10" x14ac:dyDescent="0.25">
      <c r="A1523" s="1" t="s">
        <v>354</v>
      </c>
      <c r="B1523" s="1" t="s">
        <v>355</v>
      </c>
      <c r="C1523" s="1" t="s">
        <v>461</v>
      </c>
      <c r="D1523" s="1">
        <v>32.264099999999999</v>
      </c>
      <c r="E1523" s="1">
        <v>-89.945800000000006</v>
      </c>
      <c r="F1523" s="1" t="s">
        <v>1922</v>
      </c>
      <c r="G1523" s="22">
        <v>1224.1963766699553</v>
      </c>
      <c r="H1523" s="20">
        <f ca="1">NOW() - TIME(5,30,0) + (VLOOKUP(MasterTable[[#This Row],[TimeZone]], $O$3:$P$8, 2, FALSE) / 24)</f>
        <v>45990.531878125003</v>
      </c>
      <c r="I1523" s="1" t="s">
        <v>1944</v>
      </c>
      <c r="J1523" s="1">
        <v>806.09</v>
      </c>
    </row>
    <row r="1524" spans="1:10" x14ac:dyDescent="0.25">
      <c r="A1524" s="1" t="s">
        <v>354</v>
      </c>
      <c r="B1524" s="1" t="s">
        <v>355</v>
      </c>
      <c r="C1524" s="1" t="s">
        <v>140</v>
      </c>
      <c r="D1524" s="1">
        <v>30.5425</v>
      </c>
      <c r="E1524" s="1">
        <v>-88.635800000000003</v>
      </c>
      <c r="F1524" s="1" t="s">
        <v>1922</v>
      </c>
      <c r="G1524" s="22">
        <v>1317.6640916622027</v>
      </c>
      <c r="H1524" s="20">
        <f ca="1">NOW() - TIME(5,30,0) + (VLOOKUP(MasterTable[[#This Row],[TimeZone]], $O$3:$P$8, 2, FALSE) / 24)</f>
        <v>45990.531878125003</v>
      </c>
      <c r="I1524" s="1" t="s">
        <v>1944</v>
      </c>
      <c r="J1524" s="1">
        <v>1126.77</v>
      </c>
    </row>
    <row r="1525" spans="1:10" x14ac:dyDescent="0.25">
      <c r="A1525" s="1" t="s">
        <v>354</v>
      </c>
      <c r="B1525" s="1" t="s">
        <v>355</v>
      </c>
      <c r="C1525" s="1" t="s">
        <v>244</v>
      </c>
      <c r="D1525" s="1">
        <v>32.634700000000002</v>
      </c>
      <c r="E1525" s="1">
        <v>-90.033699999999996</v>
      </c>
      <c r="F1525" s="1" t="s">
        <v>1922</v>
      </c>
      <c r="G1525" s="22">
        <v>1216.8963119774658</v>
      </c>
      <c r="H1525" s="20">
        <f ca="1">NOW() - TIME(5,30,0) + (VLOOKUP(MasterTable[[#This Row],[TimeZone]], $O$3:$P$8, 2, FALSE) / 24)</f>
        <v>45990.531878125003</v>
      </c>
      <c r="I1525" s="1" t="s">
        <v>1944</v>
      </c>
      <c r="J1525" s="1">
        <v>812.85</v>
      </c>
    </row>
    <row r="1526" spans="1:10" x14ac:dyDescent="0.25">
      <c r="A1526" s="1" t="s">
        <v>354</v>
      </c>
      <c r="B1526" s="1" t="s">
        <v>355</v>
      </c>
      <c r="C1526" s="1" t="s">
        <v>127</v>
      </c>
      <c r="D1526" s="1">
        <v>34.289900000000003</v>
      </c>
      <c r="E1526" s="1">
        <v>-88.680400000000006</v>
      </c>
      <c r="F1526" s="1" t="s">
        <v>1922</v>
      </c>
      <c r="G1526" s="22">
        <v>1290.7361478614682</v>
      </c>
      <c r="H1526" s="20">
        <f ca="1">NOW() - TIME(5,30,0) + (VLOOKUP(MasterTable[[#This Row],[TimeZone]], $O$3:$P$8, 2, FALSE) / 24)</f>
        <v>45990.531878125003</v>
      </c>
      <c r="I1526" s="1" t="s">
        <v>1944</v>
      </c>
      <c r="J1526" s="1">
        <v>615.54999999999995</v>
      </c>
    </row>
    <row r="1527" spans="1:10" x14ac:dyDescent="0.25">
      <c r="A1527" s="1" t="s">
        <v>354</v>
      </c>
      <c r="B1527" s="1" t="s">
        <v>355</v>
      </c>
      <c r="C1527" s="1" t="s">
        <v>679</v>
      </c>
      <c r="D1527" s="1">
        <v>31.1889</v>
      </c>
      <c r="E1527" s="1">
        <v>-89.257900000000006</v>
      </c>
      <c r="F1527" s="1" t="s">
        <v>1922</v>
      </c>
      <c r="G1527" s="22">
        <v>1273.6485960861721</v>
      </c>
      <c r="H1527" s="20">
        <f ca="1">NOW() - TIME(5,30,0) + (VLOOKUP(MasterTable[[#This Row],[TimeZone]], $O$3:$P$8, 2, FALSE) / 24)</f>
        <v>45990.531878125003</v>
      </c>
      <c r="I1527" s="1" t="s">
        <v>1944</v>
      </c>
      <c r="J1527" s="1">
        <v>470.17</v>
      </c>
    </row>
    <row r="1528" spans="1:10" x14ac:dyDescent="0.25">
      <c r="A1528" s="1" t="s">
        <v>354</v>
      </c>
      <c r="B1528" s="1" t="s">
        <v>355</v>
      </c>
      <c r="C1528" s="1" t="s">
        <v>615</v>
      </c>
      <c r="D1528" s="1">
        <v>32.404299999999999</v>
      </c>
      <c r="E1528" s="1">
        <v>-88.662599999999998</v>
      </c>
      <c r="F1528" s="1" t="s">
        <v>1922</v>
      </c>
      <c r="G1528" s="22">
        <v>1297.8475177726591</v>
      </c>
      <c r="H1528" s="20">
        <f ca="1">NOW() - TIME(5,30,0) + (VLOOKUP(MasterTable[[#This Row],[TimeZone]], $O$3:$P$8, 2, FALSE) / 24)</f>
        <v>45990.531878125003</v>
      </c>
      <c r="I1528" s="1" t="s">
        <v>1944</v>
      </c>
      <c r="J1528" s="1">
        <v>718.78</v>
      </c>
    </row>
    <row r="1529" spans="1:10" x14ac:dyDescent="0.25">
      <c r="A1529" s="1" t="s">
        <v>354</v>
      </c>
      <c r="B1529" s="1" t="s">
        <v>355</v>
      </c>
      <c r="C1529" s="1" t="s">
        <v>733</v>
      </c>
      <c r="D1529" s="1">
        <v>31.622499999999999</v>
      </c>
      <c r="E1529" s="1">
        <v>-89.168800000000005</v>
      </c>
      <c r="F1529" s="1" t="s">
        <v>1922</v>
      </c>
      <c r="G1529" s="22">
        <v>1274.5363331459782</v>
      </c>
      <c r="H1529" s="20">
        <f ca="1">NOW() - TIME(5,30,0) + (VLOOKUP(MasterTable[[#This Row],[TimeZone]], $O$3:$P$8, 2, FALSE) / 24)</f>
        <v>45990.531878125003</v>
      </c>
      <c r="I1529" s="1" t="s">
        <v>1944</v>
      </c>
      <c r="J1529" s="1">
        <v>395.39</v>
      </c>
    </row>
    <row r="1530" spans="1:10" x14ac:dyDescent="0.25">
      <c r="A1530" s="1" t="s">
        <v>354</v>
      </c>
      <c r="B1530" s="1" t="s">
        <v>355</v>
      </c>
      <c r="C1530" s="1" t="s">
        <v>746</v>
      </c>
      <c r="D1530" s="1">
        <v>31.206</v>
      </c>
      <c r="E1530" s="1">
        <v>-89.508700000000005</v>
      </c>
      <c r="F1530" s="1" t="s">
        <v>1922</v>
      </c>
      <c r="G1530" s="22">
        <v>1258.8201342337998</v>
      </c>
      <c r="H1530" s="20">
        <f ca="1">NOW() - TIME(5,30,0) + (VLOOKUP(MasterTable[[#This Row],[TimeZone]], $O$3:$P$8, 2, FALSE) / 24)</f>
        <v>45990.531878125003</v>
      </c>
      <c r="I1530" s="1" t="s">
        <v>1944</v>
      </c>
      <c r="J1530" s="1">
        <v>605.47</v>
      </c>
    </row>
    <row r="1531" spans="1:10" x14ac:dyDescent="0.25">
      <c r="A1531" s="1" t="s">
        <v>354</v>
      </c>
      <c r="B1531" s="1" t="s">
        <v>355</v>
      </c>
      <c r="C1531" s="1" t="s">
        <v>532</v>
      </c>
      <c r="D1531" s="1">
        <v>33.472900000000003</v>
      </c>
      <c r="E1531" s="1">
        <v>-88.443299999999994</v>
      </c>
      <c r="F1531" s="1" t="s">
        <v>1922</v>
      </c>
      <c r="G1531" s="22">
        <v>1305.4724277201815</v>
      </c>
      <c r="H1531" s="20">
        <f ca="1">NOW() - TIME(5,30,0) + (VLOOKUP(MasterTable[[#This Row],[TimeZone]], $O$3:$P$8, 2, FALSE) / 24)</f>
        <v>45990.531878125003</v>
      </c>
      <c r="I1531" s="1" t="s">
        <v>1944</v>
      </c>
      <c r="J1531" s="1">
        <v>725.03</v>
      </c>
    </row>
    <row r="1532" spans="1:10" x14ac:dyDescent="0.25">
      <c r="A1532" s="1" t="s">
        <v>354</v>
      </c>
      <c r="B1532" s="1" t="s">
        <v>355</v>
      </c>
      <c r="C1532" s="1" t="s">
        <v>333</v>
      </c>
      <c r="D1532" s="1">
        <v>34.3568</v>
      </c>
      <c r="E1532" s="1">
        <v>-89.484999999999999</v>
      </c>
      <c r="F1532" s="1" t="s">
        <v>1922</v>
      </c>
      <c r="G1532" s="22">
        <v>1244.858552765591</v>
      </c>
      <c r="H1532" s="20">
        <f ca="1">NOW() - TIME(5,30,0) + (VLOOKUP(MasterTable[[#This Row],[TimeZone]], $O$3:$P$8, 2, FALSE) / 24)</f>
        <v>45990.531878125003</v>
      </c>
      <c r="I1532" s="1" t="s">
        <v>1944</v>
      </c>
      <c r="J1532" s="1">
        <v>545.07000000000005</v>
      </c>
    </row>
    <row r="1533" spans="1:10" x14ac:dyDescent="0.25">
      <c r="A1533" s="1" t="s">
        <v>354</v>
      </c>
      <c r="B1533" s="1" t="s">
        <v>355</v>
      </c>
      <c r="C1533" s="1" t="s">
        <v>802</v>
      </c>
      <c r="D1533" s="1">
        <v>30.768799999999999</v>
      </c>
      <c r="E1533" s="1">
        <v>-89.589600000000004</v>
      </c>
      <c r="F1533" s="1" t="s">
        <v>1922</v>
      </c>
      <c r="G1533" s="22">
        <v>1259.070387642724</v>
      </c>
      <c r="H1533" s="20">
        <f ca="1">NOW() - TIME(5,30,0) + (VLOOKUP(MasterTable[[#This Row],[TimeZone]], $O$3:$P$8, 2, FALSE) / 24)</f>
        <v>45990.531878125003</v>
      </c>
      <c r="I1533" s="1" t="s">
        <v>1944</v>
      </c>
      <c r="J1533" s="1">
        <v>818.93</v>
      </c>
    </row>
    <row r="1534" spans="1:10" x14ac:dyDescent="0.25">
      <c r="A1534" s="1" t="s">
        <v>354</v>
      </c>
      <c r="B1534" s="1" t="s">
        <v>355</v>
      </c>
      <c r="C1534" s="1" t="s">
        <v>834</v>
      </c>
      <c r="D1534" s="1">
        <v>33.424999999999997</v>
      </c>
      <c r="E1534" s="1">
        <v>-88.879300000000001</v>
      </c>
      <c r="F1534" s="1" t="s">
        <v>1922</v>
      </c>
      <c r="G1534" s="22">
        <v>1280.4950304766071</v>
      </c>
      <c r="H1534" s="20">
        <f ca="1">NOW() - TIME(5,30,0) + (VLOOKUP(MasterTable[[#This Row],[TimeZone]], $O$3:$P$8, 2, FALSE) / 24)</f>
        <v>45990.531878125003</v>
      </c>
      <c r="I1534" s="1" t="s">
        <v>1944</v>
      </c>
      <c r="J1534" s="1">
        <v>461.9</v>
      </c>
    </row>
    <row r="1535" spans="1:10" x14ac:dyDescent="0.25">
      <c r="A1535" s="1" t="s">
        <v>354</v>
      </c>
      <c r="B1535" s="1" t="s">
        <v>355</v>
      </c>
      <c r="C1535" s="1" t="s">
        <v>663</v>
      </c>
      <c r="D1535" s="1">
        <v>30.416499999999999</v>
      </c>
      <c r="E1535" s="1">
        <v>-89.489000000000004</v>
      </c>
      <c r="F1535" s="1" t="s">
        <v>1922</v>
      </c>
      <c r="G1535" s="22">
        <v>1269.453855939257</v>
      </c>
      <c r="H1535" s="20">
        <f ca="1">NOW() - TIME(5,30,0) + (VLOOKUP(MasterTable[[#This Row],[TimeZone]], $O$3:$P$8, 2, FALSE) / 24)</f>
        <v>45990.531878125003</v>
      </c>
      <c r="I1535" s="1" t="s">
        <v>1944</v>
      </c>
      <c r="J1535" s="1">
        <v>478.76</v>
      </c>
    </row>
    <row r="1536" spans="1:10" x14ac:dyDescent="0.25">
      <c r="A1536" s="1" t="s">
        <v>354</v>
      </c>
      <c r="B1536" s="1" t="s">
        <v>355</v>
      </c>
      <c r="C1536" s="1" t="s">
        <v>28</v>
      </c>
      <c r="D1536" s="1">
        <v>33.283900000000003</v>
      </c>
      <c r="E1536" s="1">
        <v>-90.947400000000002</v>
      </c>
      <c r="F1536" s="1" t="s">
        <v>1922</v>
      </c>
      <c r="G1536" s="22">
        <v>1161.5721165628463</v>
      </c>
      <c r="H1536" s="20">
        <f ca="1">NOW() - TIME(5,30,0) + (VLOOKUP(MasterTable[[#This Row],[TimeZone]], $O$3:$P$8, 2, FALSE) / 24)</f>
        <v>45990.531878125003</v>
      </c>
      <c r="I1536" s="1" t="s">
        <v>1944</v>
      </c>
      <c r="J1536" s="1">
        <v>1088.54</v>
      </c>
    </row>
    <row r="1537" spans="1:10" x14ac:dyDescent="0.25">
      <c r="A1537" s="1" t="s">
        <v>354</v>
      </c>
      <c r="B1537" s="1" t="s">
        <v>355</v>
      </c>
      <c r="C1537" s="1" t="s">
        <v>331</v>
      </c>
      <c r="D1537" s="1">
        <v>32.357300000000002</v>
      </c>
      <c r="E1537" s="1">
        <v>-90.852000000000004</v>
      </c>
      <c r="F1537" s="1" t="s">
        <v>1922</v>
      </c>
      <c r="G1537" s="22">
        <v>1170.9090404228382</v>
      </c>
      <c r="H1537" s="20">
        <f ca="1">NOW() - TIME(5,30,0) + (VLOOKUP(MasterTable[[#This Row],[TimeZone]], $O$3:$P$8, 2, FALSE) / 24)</f>
        <v>45990.531878125003</v>
      </c>
      <c r="I1537" s="1" t="s">
        <v>1944</v>
      </c>
      <c r="J1537" s="1">
        <v>286.74</v>
      </c>
    </row>
    <row r="1538" spans="1:10" x14ac:dyDescent="0.25">
      <c r="A1538" s="1" t="s">
        <v>354</v>
      </c>
      <c r="B1538" s="1" t="s">
        <v>355</v>
      </c>
      <c r="C1538" s="1" t="s">
        <v>783</v>
      </c>
      <c r="D1538" s="1">
        <v>31.174900000000001</v>
      </c>
      <c r="E1538" s="1">
        <v>-90.404200000000003</v>
      </c>
      <c r="F1538" s="1" t="s">
        <v>1922</v>
      </c>
      <c r="G1538" s="22">
        <v>1206.8443379815615</v>
      </c>
      <c r="H1538" s="20">
        <f ca="1">NOW() - TIME(5,30,0) + (VLOOKUP(MasterTable[[#This Row],[TimeZone]], $O$3:$P$8, 2, FALSE) / 24)</f>
        <v>45990.531878125003</v>
      </c>
      <c r="I1538" s="1" t="s">
        <v>1944</v>
      </c>
      <c r="J1538" s="1">
        <v>672.1</v>
      </c>
    </row>
    <row r="1539" spans="1:10" x14ac:dyDescent="0.25">
      <c r="A1539" s="1" t="s">
        <v>354</v>
      </c>
      <c r="B1539" s="1" t="s">
        <v>355</v>
      </c>
      <c r="C1539" s="1" t="s">
        <v>632</v>
      </c>
      <c r="D1539" s="1">
        <v>31.532399999999999</v>
      </c>
      <c r="E1539" s="1">
        <v>-90.453999999999994</v>
      </c>
      <c r="F1539" s="1" t="s">
        <v>1922</v>
      </c>
      <c r="G1539" s="22">
        <v>1200.3866204757701</v>
      </c>
      <c r="H1539" s="20">
        <f ca="1">NOW() - TIME(5,30,0) + (VLOOKUP(MasterTable[[#This Row],[TimeZone]], $O$3:$P$8, 2, FALSE) / 24)</f>
        <v>45990.531878125003</v>
      </c>
      <c r="I1539" s="1" t="s">
        <v>1944</v>
      </c>
      <c r="J1539" s="1">
        <v>572.16999999999996</v>
      </c>
    </row>
    <row r="1540" spans="1:10" x14ac:dyDescent="0.25">
      <c r="A1540" s="1" t="s">
        <v>354</v>
      </c>
      <c r="B1540" s="1" t="s">
        <v>355</v>
      </c>
      <c r="C1540" s="1" t="s">
        <v>1020</v>
      </c>
      <c r="D1540" s="1">
        <v>34.880800000000001</v>
      </c>
      <c r="E1540" s="1">
        <v>-88.580299999999994</v>
      </c>
      <c r="F1540" s="1" t="s">
        <v>1922</v>
      </c>
      <c r="G1540" s="22">
        <v>1297.1079891412244</v>
      </c>
      <c r="H1540" s="20">
        <f ca="1">NOW() - TIME(5,30,0) + (VLOOKUP(MasterTable[[#This Row],[TimeZone]], $O$3:$P$8, 2, FALSE) / 24)</f>
        <v>45990.531878125003</v>
      </c>
      <c r="I1540" s="1" t="s">
        <v>1944</v>
      </c>
      <c r="J1540" s="1">
        <v>401.35</v>
      </c>
    </row>
    <row r="1541" spans="1:10" x14ac:dyDescent="0.25">
      <c r="A1541" s="1" t="s">
        <v>354</v>
      </c>
      <c r="B1541" s="1" t="s">
        <v>355</v>
      </c>
      <c r="C1541" s="1" t="s">
        <v>135</v>
      </c>
      <c r="D1541" s="1">
        <v>33.892299999999999</v>
      </c>
      <c r="E1541" s="1">
        <v>-88.480500000000006</v>
      </c>
      <c r="F1541" s="1" t="s">
        <v>1922</v>
      </c>
      <c r="G1541" s="22">
        <v>1302.4289954360991</v>
      </c>
      <c r="H1541" s="20">
        <f ca="1">NOW() - TIME(5,30,0) + (VLOOKUP(MasterTable[[#This Row],[TimeZone]], $O$3:$P$8, 2, FALSE) / 24)</f>
        <v>45990.531878125003</v>
      </c>
      <c r="I1541" s="1" t="s">
        <v>1944</v>
      </c>
      <c r="J1541" s="1">
        <v>1034.53</v>
      </c>
    </row>
    <row r="1542" spans="1:10" x14ac:dyDescent="0.25">
      <c r="A1542" s="1" t="s">
        <v>354</v>
      </c>
      <c r="B1542" s="1" t="s">
        <v>355</v>
      </c>
      <c r="C1542" s="1" t="s">
        <v>600</v>
      </c>
      <c r="D1542" s="1">
        <v>34.762300000000003</v>
      </c>
      <c r="E1542" s="1">
        <v>-89.503100000000003</v>
      </c>
      <c r="F1542" s="1" t="s">
        <v>1922</v>
      </c>
      <c r="G1542" s="22">
        <v>1244.5181428935787</v>
      </c>
      <c r="H1542" s="20">
        <f ca="1">NOW() - TIME(5,30,0) + (VLOOKUP(MasterTable[[#This Row],[TimeZone]], $O$3:$P$8, 2, FALSE) / 24)</f>
        <v>45990.531878125003</v>
      </c>
      <c r="I1542" s="1" t="s">
        <v>1944</v>
      </c>
      <c r="J1542" s="1">
        <v>623.16</v>
      </c>
    </row>
    <row r="1543" spans="1:10" x14ac:dyDescent="0.25">
      <c r="A1543" s="1" t="s">
        <v>354</v>
      </c>
      <c r="B1543" s="1" t="s">
        <v>355</v>
      </c>
      <c r="C1543" s="1" t="s">
        <v>1040</v>
      </c>
      <c r="D1543" s="1">
        <v>34.363900000000001</v>
      </c>
      <c r="E1543" s="1">
        <v>-89.950599999999994</v>
      </c>
      <c r="F1543" s="1" t="s">
        <v>1922</v>
      </c>
      <c r="G1543" s="22">
        <v>1218.3120920476269</v>
      </c>
      <c r="H1543" s="20">
        <f ca="1">NOW() - TIME(5,30,0) + (VLOOKUP(MasterTable[[#This Row],[TimeZone]], $O$3:$P$8, 2, FALSE) / 24)</f>
        <v>45990.531878125003</v>
      </c>
      <c r="I1543" s="1" t="s">
        <v>1944</v>
      </c>
      <c r="J1543" s="1">
        <v>705.13</v>
      </c>
    </row>
    <row r="1544" spans="1:10" x14ac:dyDescent="0.25">
      <c r="A1544" s="1" t="s">
        <v>354</v>
      </c>
      <c r="B1544" s="1" t="s">
        <v>355</v>
      </c>
      <c r="C1544" s="1" t="s">
        <v>973</v>
      </c>
      <c r="D1544" s="1">
        <v>34.2254</v>
      </c>
      <c r="E1544" s="1">
        <v>-89.037400000000005</v>
      </c>
      <c r="F1544" s="1" t="s">
        <v>1922</v>
      </c>
      <c r="G1544" s="22">
        <v>1270.3389107485598</v>
      </c>
      <c r="H1544" s="20">
        <f ca="1">NOW() - TIME(5,30,0) + (VLOOKUP(MasterTable[[#This Row],[TimeZone]], $O$3:$P$8, 2, FALSE) / 24)</f>
        <v>45990.531878125003</v>
      </c>
      <c r="I1544" s="1" t="s">
        <v>1944</v>
      </c>
      <c r="J1544" s="1">
        <v>500.99</v>
      </c>
    </row>
    <row r="1545" spans="1:10" x14ac:dyDescent="0.25">
      <c r="A1545" s="1" t="s">
        <v>354</v>
      </c>
      <c r="B1545" s="1" t="s">
        <v>355</v>
      </c>
      <c r="C1545" s="1" t="s">
        <v>1076</v>
      </c>
      <c r="D1545" s="1">
        <v>33.7971</v>
      </c>
      <c r="E1545" s="1">
        <v>-90.880600000000001</v>
      </c>
      <c r="F1545" s="1" t="s">
        <v>1922</v>
      </c>
      <c r="G1545" s="22">
        <v>1164.7803691793206</v>
      </c>
      <c r="H1545" s="20">
        <f ca="1">NOW() - TIME(5,30,0) + (VLOOKUP(MasterTable[[#This Row],[TimeZone]], $O$3:$P$8, 2, FALSE) / 24)</f>
        <v>45990.531878125003</v>
      </c>
      <c r="I1545" s="1" t="s">
        <v>1944</v>
      </c>
      <c r="J1545" s="1">
        <v>905.76</v>
      </c>
    </row>
    <row r="1546" spans="1:10" x14ac:dyDescent="0.25">
      <c r="A1546" s="1" t="s">
        <v>354</v>
      </c>
      <c r="B1546" s="1" t="s">
        <v>355</v>
      </c>
      <c r="C1546" s="1" t="s">
        <v>193</v>
      </c>
      <c r="D1546" s="1">
        <v>31.482900000000001</v>
      </c>
      <c r="E1546" s="1">
        <v>-91.353499999999997</v>
      </c>
      <c r="F1546" s="1" t="s">
        <v>1922</v>
      </c>
      <c r="G1546" s="22">
        <v>1148.3336288381017</v>
      </c>
      <c r="H1546" s="20">
        <f ca="1">NOW() - TIME(5,30,0) + (VLOOKUP(MasterTable[[#This Row],[TimeZone]], $O$3:$P$8, 2, FALSE) / 24)</f>
        <v>45990.531878125003</v>
      </c>
      <c r="I1546" s="1" t="s">
        <v>1944</v>
      </c>
      <c r="J1546" s="1">
        <v>1197.71</v>
      </c>
    </row>
    <row r="1547" spans="1:10" x14ac:dyDescent="0.25">
      <c r="A1547" s="1" t="s">
        <v>354</v>
      </c>
      <c r="B1547" s="1" t="s">
        <v>355</v>
      </c>
      <c r="C1547" s="1" t="s">
        <v>1090</v>
      </c>
      <c r="D1547" s="1">
        <v>32.753500000000003</v>
      </c>
      <c r="E1547" s="1">
        <v>-89.117599999999996</v>
      </c>
      <c r="F1547" s="1" t="s">
        <v>1922</v>
      </c>
      <c r="G1547" s="22">
        <v>1269.4036594317067</v>
      </c>
      <c r="H1547" s="20">
        <f ca="1">NOW() - TIME(5,30,0) + (VLOOKUP(MasterTable[[#This Row],[TimeZone]], $O$3:$P$8, 2, FALSE) / 24)</f>
        <v>45990.531878125003</v>
      </c>
      <c r="I1547" s="1" t="s">
        <v>1944</v>
      </c>
      <c r="J1547" s="1">
        <v>571.64</v>
      </c>
    </row>
    <row r="1548" spans="1:10" x14ac:dyDescent="0.25">
      <c r="A1548" s="1" t="s">
        <v>354</v>
      </c>
      <c r="B1548" s="1" t="s">
        <v>355</v>
      </c>
      <c r="C1548" s="1" t="s">
        <v>1105</v>
      </c>
      <c r="D1548" s="1">
        <v>34.650300000000001</v>
      </c>
      <c r="E1548" s="1">
        <v>-89.944800000000001</v>
      </c>
      <c r="F1548" s="1" t="s">
        <v>1922</v>
      </c>
      <c r="G1548" s="22">
        <v>1219.1717873814005</v>
      </c>
      <c r="H1548" s="20">
        <f ca="1">NOW() - TIME(5,30,0) + (VLOOKUP(MasterTable[[#This Row],[TimeZone]], $O$3:$P$8, 2, FALSE) / 24)</f>
        <v>45990.531878125003</v>
      </c>
      <c r="I1548" s="1" t="s">
        <v>1944</v>
      </c>
      <c r="J1548" s="1">
        <v>410.95</v>
      </c>
    </row>
    <row r="1549" spans="1:10" x14ac:dyDescent="0.25">
      <c r="A1549" s="1" t="s">
        <v>354</v>
      </c>
      <c r="B1549" s="1" t="s">
        <v>355</v>
      </c>
      <c r="C1549" s="1" t="s">
        <v>177</v>
      </c>
      <c r="D1549" s="1">
        <v>34.490499999999997</v>
      </c>
      <c r="E1549" s="1">
        <v>-89.003799999999998</v>
      </c>
      <c r="F1549" s="1" t="s">
        <v>1922</v>
      </c>
      <c r="G1549" s="22">
        <v>1272.4180856692121</v>
      </c>
      <c r="H1549" s="20">
        <f ca="1">NOW() - TIME(5,30,0) + (VLOOKUP(MasterTable[[#This Row],[TimeZone]], $O$3:$P$8, 2, FALSE) / 24)</f>
        <v>45990.531878125003</v>
      </c>
      <c r="I1549" s="1" t="s">
        <v>1944</v>
      </c>
      <c r="J1549" s="1">
        <v>1055.27</v>
      </c>
    </row>
    <row r="1550" spans="1:10" x14ac:dyDescent="0.25">
      <c r="A1550" s="1" t="s">
        <v>354</v>
      </c>
      <c r="B1550" s="1" t="s">
        <v>355</v>
      </c>
      <c r="C1550" s="1" t="s">
        <v>1108</v>
      </c>
      <c r="D1550" s="1">
        <v>31.869299999999999</v>
      </c>
      <c r="E1550" s="1">
        <v>-90.448800000000006</v>
      </c>
      <c r="F1550" s="1" t="s">
        <v>1922</v>
      </c>
      <c r="G1550" s="22">
        <v>1197.7884718602386</v>
      </c>
      <c r="H1550" s="20">
        <f ca="1">NOW() - TIME(5,30,0) + (VLOOKUP(MasterTable[[#This Row],[TimeZone]], $O$3:$P$8, 2, FALSE) / 24)</f>
        <v>45990.531878125003</v>
      </c>
      <c r="I1550" s="1" t="s">
        <v>1944</v>
      </c>
      <c r="J1550" s="1">
        <v>779.38</v>
      </c>
    </row>
    <row r="1551" spans="1:10" x14ac:dyDescent="0.25">
      <c r="A1551" s="1" t="s">
        <v>354</v>
      </c>
      <c r="B1551" s="1" t="s">
        <v>355</v>
      </c>
      <c r="C1551" s="1" t="s">
        <v>419</v>
      </c>
      <c r="D1551" s="1">
        <v>32.406399999999998</v>
      </c>
      <c r="E1551" s="1">
        <v>-89.537599999999998</v>
      </c>
      <c r="F1551" s="1" t="s">
        <v>1922</v>
      </c>
      <c r="G1551" s="22">
        <v>1247.0086990965965</v>
      </c>
      <c r="H1551" s="20">
        <f ca="1">NOW() - TIME(5,30,0) + (VLOOKUP(MasterTable[[#This Row],[TimeZone]], $O$3:$P$8, 2, FALSE) / 24)</f>
        <v>45990.531878125003</v>
      </c>
      <c r="I1551" s="1" t="s">
        <v>1944</v>
      </c>
      <c r="J1551" s="1">
        <v>898.09</v>
      </c>
    </row>
    <row r="1552" spans="1:10" x14ac:dyDescent="0.25">
      <c r="A1552" s="1" t="s">
        <v>354</v>
      </c>
      <c r="B1552" s="1" t="s">
        <v>355</v>
      </c>
      <c r="C1552" s="1" t="s">
        <v>1119</v>
      </c>
      <c r="D1552" s="1">
        <v>33.5505</v>
      </c>
      <c r="E1552" s="1">
        <v>-90.301100000000005</v>
      </c>
      <c r="F1552" s="1" t="s">
        <v>1922</v>
      </c>
      <c r="G1552" s="22">
        <v>1198.3252355054949</v>
      </c>
      <c r="H1552" s="20">
        <f ca="1">NOW() - TIME(5,30,0) + (VLOOKUP(MasterTable[[#This Row],[TimeZone]], $O$3:$P$8, 2, FALSE) / 24)</f>
        <v>45990.531878125003</v>
      </c>
      <c r="I1552" s="1" t="s">
        <v>1944</v>
      </c>
      <c r="J1552" s="1">
        <v>606.35</v>
      </c>
    </row>
    <row r="1553" spans="1:10" x14ac:dyDescent="0.25">
      <c r="A1553" s="1" t="s">
        <v>354</v>
      </c>
      <c r="B1553" s="1" t="s">
        <v>355</v>
      </c>
      <c r="C1553" s="1" t="s">
        <v>1130</v>
      </c>
      <c r="D1553" s="1">
        <v>32.780299999999997</v>
      </c>
      <c r="E1553" s="1">
        <v>-90.3964</v>
      </c>
      <c r="F1553" s="1" t="s">
        <v>1922</v>
      </c>
      <c r="G1553" s="22">
        <v>1195.1541402977198</v>
      </c>
      <c r="H1553" s="20">
        <f ca="1">NOW() - TIME(5,30,0) + (VLOOKUP(MasterTable[[#This Row],[TimeZone]], $O$3:$P$8, 2, FALSE) / 24)</f>
        <v>45990.531878125003</v>
      </c>
      <c r="I1553" s="1" t="s">
        <v>1944</v>
      </c>
      <c r="J1553" s="1">
        <v>934.12</v>
      </c>
    </row>
    <row r="1554" spans="1:10" x14ac:dyDescent="0.25">
      <c r="A1554" s="1" t="s">
        <v>354</v>
      </c>
      <c r="B1554" s="1" t="s">
        <v>355</v>
      </c>
      <c r="C1554" s="1" t="s">
        <v>1147</v>
      </c>
      <c r="D1554" s="1">
        <v>31.9132</v>
      </c>
      <c r="E1554" s="1">
        <v>-89.919499999999999</v>
      </c>
      <c r="F1554" s="1" t="s">
        <v>1922</v>
      </c>
      <c r="G1554" s="22">
        <v>1228.2851620810882</v>
      </c>
      <c r="H1554" s="20">
        <f ca="1">NOW() - TIME(5,30,0) + (VLOOKUP(MasterTable[[#This Row],[TimeZone]], $O$3:$P$8, 2, FALSE) / 24)</f>
        <v>45990.531878125003</v>
      </c>
      <c r="I1554" s="1" t="s">
        <v>1944</v>
      </c>
      <c r="J1554" s="1">
        <v>236.19</v>
      </c>
    </row>
    <row r="1555" spans="1:10" x14ac:dyDescent="0.25">
      <c r="A1555" s="1" t="s">
        <v>354</v>
      </c>
      <c r="B1555" s="1" t="s">
        <v>355</v>
      </c>
      <c r="C1555" s="1" t="s">
        <v>1160</v>
      </c>
      <c r="D1555" s="1">
        <v>33.6023</v>
      </c>
      <c r="E1555" s="1">
        <v>-90.5886</v>
      </c>
      <c r="F1555" s="1" t="s">
        <v>1922</v>
      </c>
      <c r="G1555" s="22">
        <v>1181.705877829178</v>
      </c>
      <c r="H1555" s="20">
        <f ca="1">NOW() - TIME(5,30,0) + (VLOOKUP(MasterTable[[#This Row],[TimeZone]], $O$3:$P$8, 2, FALSE) / 24)</f>
        <v>45990.531878125003</v>
      </c>
      <c r="I1555" s="1" t="s">
        <v>1944</v>
      </c>
      <c r="J1555" s="1">
        <v>707.22</v>
      </c>
    </row>
    <row r="1556" spans="1:10" x14ac:dyDescent="0.25">
      <c r="A1556" s="1" t="s">
        <v>354</v>
      </c>
      <c r="B1556" s="1" t="s">
        <v>355</v>
      </c>
      <c r="C1556" s="1" t="s">
        <v>1170</v>
      </c>
      <c r="D1556" s="1">
        <v>34.618299999999998</v>
      </c>
      <c r="E1556" s="1">
        <v>-88.520099999999999</v>
      </c>
      <c r="F1556" s="1" t="s">
        <v>1922</v>
      </c>
      <c r="G1556" s="22">
        <v>1300.0857439892382</v>
      </c>
      <c r="H1556" s="20">
        <f ca="1">NOW() - TIME(5,30,0) + (VLOOKUP(MasterTable[[#This Row],[TimeZone]], $O$3:$P$8, 2, FALSE) / 24)</f>
        <v>45990.531878125003</v>
      </c>
      <c r="I1556" s="1" t="s">
        <v>1944</v>
      </c>
      <c r="J1556" s="1">
        <v>418.24</v>
      </c>
    </row>
    <row r="1557" spans="1:10" x14ac:dyDescent="0.25">
      <c r="A1557" s="1" t="s">
        <v>354</v>
      </c>
      <c r="B1557" s="1" t="s">
        <v>355</v>
      </c>
      <c r="C1557" s="1" t="s">
        <v>1174</v>
      </c>
      <c r="D1557" s="1">
        <v>30.8626</v>
      </c>
      <c r="E1557" s="1">
        <v>-88.644000000000005</v>
      </c>
      <c r="F1557" s="1" t="s">
        <v>1922</v>
      </c>
      <c r="G1557" s="22">
        <v>1313.1992282849667</v>
      </c>
      <c r="H1557" s="20">
        <f ca="1">NOW() - TIME(5,30,0) + (VLOOKUP(MasterTable[[#This Row],[TimeZone]], $O$3:$P$8, 2, FALSE) / 24)</f>
        <v>45990.531878125003</v>
      </c>
      <c r="I1557" s="1" t="s">
        <v>1944</v>
      </c>
      <c r="J1557" s="1">
        <v>483.63</v>
      </c>
    </row>
    <row r="1558" spans="1:10" x14ac:dyDescent="0.25">
      <c r="A1558" s="1" t="s">
        <v>354</v>
      </c>
      <c r="B1558" s="1" t="s">
        <v>355</v>
      </c>
      <c r="C1558" s="1" t="s">
        <v>88</v>
      </c>
      <c r="D1558" s="1">
        <v>31.230799999999999</v>
      </c>
      <c r="E1558" s="1">
        <v>-89.822400000000002</v>
      </c>
      <c r="F1558" s="1" t="s">
        <v>1922</v>
      </c>
      <c r="G1558" s="22">
        <v>1240.2384992754539</v>
      </c>
      <c r="H1558" s="20">
        <f ca="1">NOW() - TIME(5,30,0) + (VLOOKUP(MasterTable[[#This Row],[TimeZone]], $O$3:$P$8, 2, FALSE) / 24)</f>
        <v>45990.531878125003</v>
      </c>
      <c r="I1558" s="1" t="s">
        <v>1944</v>
      </c>
      <c r="J1558" s="1">
        <v>743.57</v>
      </c>
    </row>
    <row r="1559" spans="1:10" x14ac:dyDescent="0.25">
      <c r="A1559" s="1" t="s">
        <v>354</v>
      </c>
      <c r="B1559" s="1" t="s">
        <v>355</v>
      </c>
      <c r="C1559" s="1" t="s">
        <v>1189</v>
      </c>
      <c r="D1559" s="1">
        <v>34.28</v>
      </c>
      <c r="E1559" s="1">
        <v>-88.3613</v>
      </c>
      <c r="F1559" s="1" t="s">
        <v>1922</v>
      </c>
      <c r="G1559" s="22">
        <v>1308.9540159783849</v>
      </c>
      <c r="H1559" s="20">
        <f ca="1">NOW() - TIME(5,30,0) + (VLOOKUP(MasterTable[[#This Row],[TimeZone]], $O$3:$P$8, 2, FALSE) / 24)</f>
        <v>45990.531878125003</v>
      </c>
      <c r="I1559" s="1" t="s">
        <v>1944</v>
      </c>
      <c r="J1559" s="1">
        <v>540.41999999999996</v>
      </c>
    </row>
    <row r="1560" spans="1:10" x14ac:dyDescent="0.25">
      <c r="A1560" s="1" t="s">
        <v>354</v>
      </c>
      <c r="B1560" s="1" t="s">
        <v>355</v>
      </c>
      <c r="C1560" s="1" t="s">
        <v>1238</v>
      </c>
      <c r="D1560" s="1">
        <v>34.7684</v>
      </c>
      <c r="E1560" s="1">
        <v>-88.908900000000003</v>
      </c>
      <c r="F1560" s="1" t="s">
        <v>1922</v>
      </c>
      <c r="G1560" s="22">
        <v>1278.2428009320151</v>
      </c>
      <c r="H1560" s="20">
        <f ca="1">NOW() - TIME(5,30,0) + (VLOOKUP(MasterTable[[#This Row],[TimeZone]], $O$3:$P$8, 2, FALSE) / 24)</f>
        <v>45990.531878125003</v>
      </c>
      <c r="I1560" s="1" t="s">
        <v>1944</v>
      </c>
      <c r="J1560" s="1">
        <v>459.97</v>
      </c>
    </row>
    <row r="1561" spans="1:10" x14ac:dyDescent="0.25">
      <c r="A1561" s="1" t="s">
        <v>354</v>
      </c>
      <c r="B1561" s="1" t="s">
        <v>355</v>
      </c>
      <c r="C1561" s="1" t="s">
        <v>1246</v>
      </c>
      <c r="D1561" s="1">
        <v>33.7699</v>
      </c>
      <c r="E1561" s="1">
        <v>-89.802000000000007</v>
      </c>
      <c r="F1561" s="1" t="s">
        <v>1922</v>
      </c>
      <c r="G1561" s="22">
        <v>1226.7389460924437</v>
      </c>
      <c r="H1561" s="20">
        <f ca="1">NOW() - TIME(5,30,0) + (VLOOKUP(MasterTable[[#This Row],[TimeZone]], $O$3:$P$8, 2, FALSE) / 24)</f>
        <v>45990.531878125003</v>
      </c>
      <c r="I1561" s="1" t="s">
        <v>1944</v>
      </c>
      <c r="J1561" s="1">
        <v>449.38</v>
      </c>
    </row>
    <row r="1562" spans="1:10" x14ac:dyDescent="0.25">
      <c r="A1562" s="1" t="s">
        <v>354</v>
      </c>
      <c r="B1562" s="1" t="s">
        <v>355</v>
      </c>
      <c r="C1562" s="1" t="s">
        <v>1248</v>
      </c>
      <c r="D1562" s="1">
        <v>32.753500000000003</v>
      </c>
      <c r="E1562" s="1">
        <v>-89.524000000000001</v>
      </c>
      <c r="F1562" s="1" t="s">
        <v>1922</v>
      </c>
      <c r="G1562" s="22">
        <v>1245.8505865385766</v>
      </c>
      <c r="H1562" s="20">
        <f ca="1">NOW() - TIME(5,30,0) + (VLOOKUP(MasterTable[[#This Row],[TimeZone]], $O$3:$P$8, 2, FALSE) / 24)</f>
        <v>45990.531878125003</v>
      </c>
      <c r="I1562" s="1" t="s">
        <v>1944</v>
      </c>
      <c r="J1562" s="1">
        <v>585.39</v>
      </c>
    </row>
    <row r="1563" spans="1:10" x14ac:dyDescent="0.25">
      <c r="A1563" s="1" t="s">
        <v>354</v>
      </c>
      <c r="B1563" s="1" t="s">
        <v>355</v>
      </c>
      <c r="C1563" s="1" t="s">
        <v>539</v>
      </c>
      <c r="D1563" s="1">
        <v>32.400199999999998</v>
      </c>
      <c r="E1563" s="1">
        <v>-89.118799999999993</v>
      </c>
      <c r="F1563" s="1" t="s">
        <v>1922</v>
      </c>
      <c r="G1563" s="22">
        <v>1271.3774548117221</v>
      </c>
      <c r="H1563" s="20">
        <f ca="1">NOW() - TIME(5,30,0) + (VLOOKUP(MasterTable[[#This Row],[TimeZone]], $O$3:$P$8, 2, FALSE) / 24)</f>
        <v>45990.531878125003</v>
      </c>
      <c r="I1563" s="1" t="s">
        <v>1944</v>
      </c>
      <c r="J1563" s="1">
        <v>823.18</v>
      </c>
    </row>
    <row r="1564" spans="1:10" x14ac:dyDescent="0.25">
      <c r="A1564" s="1" t="s">
        <v>354</v>
      </c>
      <c r="B1564" s="1" t="s">
        <v>355</v>
      </c>
      <c r="C1564" s="1" t="s">
        <v>1254</v>
      </c>
      <c r="D1564" s="1">
        <v>34.229999999999997</v>
      </c>
      <c r="E1564" s="1">
        <v>-90.601799999999997</v>
      </c>
      <c r="F1564" s="1" t="s">
        <v>1922</v>
      </c>
      <c r="G1564" s="22">
        <v>1180.9728094013785</v>
      </c>
      <c r="H1564" s="20">
        <f ca="1">NOW() - TIME(5,30,0) + (VLOOKUP(MasterTable[[#This Row],[TimeZone]], $O$3:$P$8, 2, FALSE) / 24)</f>
        <v>45990.531878125003</v>
      </c>
      <c r="I1564" s="1" t="s">
        <v>1944</v>
      </c>
      <c r="J1564" s="1">
        <v>583.14</v>
      </c>
    </row>
    <row r="1565" spans="1:10" x14ac:dyDescent="0.25">
      <c r="A1565" s="1" t="s">
        <v>354</v>
      </c>
      <c r="B1565" s="1" t="s">
        <v>355</v>
      </c>
      <c r="C1565" s="1" t="s">
        <v>34</v>
      </c>
      <c r="D1565" s="1">
        <v>31.640799999999999</v>
      </c>
      <c r="E1565" s="1">
        <v>-88.695800000000006</v>
      </c>
      <c r="F1565" s="1" t="s">
        <v>1922</v>
      </c>
      <c r="G1565" s="22">
        <v>1301.9474743641847</v>
      </c>
      <c r="H1565" s="20">
        <f ca="1">NOW() - TIME(5,30,0) + (VLOOKUP(MasterTable[[#This Row],[TimeZone]], $O$3:$P$8, 2, FALSE) / 24)</f>
        <v>45990.531878125003</v>
      </c>
      <c r="I1565" s="1" t="s">
        <v>1944</v>
      </c>
      <c r="J1565" s="1">
        <v>648.79999999999995</v>
      </c>
    </row>
    <row r="1566" spans="1:10" x14ac:dyDescent="0.25">
      <c r="A1566" s="1" t="s">
        <v>354</v>
      </c>
      <c r="B1566" s="1" t="s">
        <v>355</v>
      </c>
      <c r="C1566" s="1" t="s">
        <v>1303</v>
      </c>
      <c r="D1566" s="1">
        <v>34.740400000000001</v>
      </c>
      <c r="E1566" s="1">
        <v>-88.2393</v>
      </c>
      <c r="F1566" s="1" t="s">
        <v>1922</v>
      </c>
      <c r="G1566" s="22">
        <v>1316.196942677512</v>
      </c>
      <c r="H1566" s="20">
        <f ca="1">NOW() - TIME(5,30,0) + (VLOOKUP(MasterTable[[#This Row],[TimeZone]], $O$3:$P$8, 2, FALSE) / 24)</f>
        <v>45990.531878125003</v>
      </c>
      <c r="I1566" s="1" t="s">
        <v>1944</v>
      </c>
      <c r="J1566" s="1">
        <v>444.54</v>
      </c>
    </row>
    <row r="1567" spans="1:10" x14ac:dyDescent="0.25">
      <c r="A1567" s="1" t="s">
        <v>354</v>
      </c>
      <c r="B1567" s="1" t="s">
        <v>355</v>
      </c>
      <c r="C1567" s="1" t="s">
        <v>1050</v>
      </c>
      <c r="D1567" s="1">
        <v>30.79</v>
      </c>
      <c r="E1567" s="1">
        <v>-89.117699999999999</v>
      </c>
      <c r="F1567" s="1" t="s">
        <v>1922</v>
      </c>
      <c r="G1567" s="22">
        <v>1286.3918181052393</v>
      </c>
      <c r="H1567" s="20">
        <f ca="1">NOW() - TIME(5,30,0) + (VLOOKUP(MasterTable[[#This Row],[TimeZone]], $O$3:$P$8, 2, FALSE) / 24)</f>
        <v>45990.531878125003</v>
      </c>
      <c r="I1567" s="1" t="s">
        <v>1944</v>
      </c>
      <c r="J1567" s="1">
        <v>609.42999999999995</v>
      </c>
    </row>
    <row r="1568" spans="1:10" x14ac:dyDescent="0.25">
      <c r="A1568" s="1" t="s">
        <v>354</v>
      </c>
      <c r="B1568" s="1" t="s">
        <v>355</v>
      </c>
      <c r="C1568" s="1" t="s">
        <v>327</v>
      </c>
      <c r="D1568" s="1">
        <v>33.655700000000003</v>
      </c>
      <c r="E1568" s="1">
        <v>-88.781599999999997</v>
      </c>
      <c r="F1568" s="1" t="s">
        <v>1922</v>
      </c>
      <c r="G1568" s="22">
        <v>1285.5515951389045</v>
      </c>
      <c r="H1568" s="20">
        <f ca="1">NOW() - TIME(5,30,0) + (VLOOKUP(MasterTable[[#This Row],[TimeZone]], $O$3:$P$8, 2, FALSE) / 24)</f>
        <v>45990.531878125003</v>
      </c>
      <c r="I1568" s="1" t="s">
        <v>1944</v>
      </c>
      <c r="J1568" s="1">
        <v>606</v>
      </c>
    </row>
    <row r="1569" spans="1:10" x14ac:dyDescent="0.25">
      <c r="A1569" s="1" t="s">
        <v>354</v>
      </c>
      <c r="B1569" s="1" t="s">
        <v>355</v>
      </c>
      <c r="C1569" s="1" t="s">
        <v>979</v>
      </c>
      <c r="D1569" s="1">
        <v>31.633199999999999</v>
      </c>
      <c r="E1569" s="1">
        <v>-89.552599999999998</v>
      </c>
      <c r="F1569" s="1" t="s">
        <v>1922</v>
      </c>
      <c r="G1569" s="22">
        <v>1252.0556681690618</v>
      </c>
      <c r="H1569" s="20">
        <f ca="1">NOW() - TIME(5,30,0) + (VLOOKUP(MasterTable[[#This Row],[TimeZone]], $O$3:$P$8, 2, FALSE) / 24)</f>
        <v>45990.531878125003</v>
      </c>
      <c r="I1569" s="1" t="s">
        <v>1944</v>
      </c>
      <c r="J1569" s="1">
        <v>1043.8599999999999</v>
      </c>
    </row>
    <row r="1570" spans="1:10" x14ac:dyDescent="0.25">
      <c r="A1570" s="1" t="s">
        <v>354</v>
      </c>
      <c r="B1570" s="1" t="s">
        <v>355</v>
      </c>
      <c r="C1570" s="1" t="s">
        <v>1332</v>
      </c>
      <c r="D1570" s="1">
        <v>33.086300000000001</v>
      </c>
      <c r="E1570" s="1">
        <v>-89.581500000000005</v>
      </c>
      <c r="F1570" s="1" t="s">
        <v>1922</v>
      </c>
      <c r="G1570" s="22">
        <v>1241.0755267716493</v>
      </c>
      <c r="H1570" s="20">
        <f ca="1">NOW() - TIME(5,30,0) + (VLOOKUP(MasterTable[[#This Row],[TimeZone]], $O$3:$P$8, 2, FALSE) / 24)</f>
        <v>45990.531878125003</v>
      </c>
      <c r="I1570" s="1" t="s">
        <v>1944</v>
      </c>
      <c r="J1570" s="1">
        <v>737.1</v>
      </c>
    </row>
    <row r="1571" spans="1:10" x14ac:dyDescent="0.25">
      <c r="A1571" s="1" t="s">
        <v>354</v>
      </c>
      <c r="B1571" s="1" t="s">
        <v>355</v>
      </c>
      <c r="C1571" s="1" t="s">
        <v>1195</v>
      </c>
      <c r="D1571" s="1">
        <v>33.088500000000003</v>
      </c>
      <c r="E1571" s="1">
        <v>-89.034400000000005</v>
      </c>
      <c r="F1571" s="1" t="s">
        <v>1922</v>
      </c>
      <c r="G1571" s="22">
        <v>1272.6909935130516</v>
      </c>
      <c r="H1571" s="20">
        <f ca="1">NOW() - TIME(5,30,0) + (VLOOKUP(MasterTable[[#This Row],[TimeZone]], $O$3:$P$8, 2, FALSE) / 24)</f>
        <v>45990.531878125003</v>
      </c>
      <c r="I1571" s="1" t="s">
        <v>1944</v>
      </c>
      <c r="J1571" s="1">
        <v>631.86</v>
      </c>
    </row>
    <row r="1572" spans="1:10" x14ac:dyDescent="0.25">
      <c r="A1572" s="1" t="s">
        <v>354</v>
      </c>
      <c r="B1572" s="1" t="s">
        <v>355</v>
      </c>
      <c r="C1572" s="1" t="s">
        <v>1347</v>
      </c>
      <c r="D1572" s="1">
        <v>33.9208</v>
      </c>
      <c r="E1572" s="1">
        <v>-88.947900000000004</v>
      </c>
      <c r="F1572" s="1" t="s">
        <v>1922</v>
      </c>
      <c r="G1572" s="22">
        <v>1275.5943852597788</v>
      </c>
      <c r="H1572" s="20">
        <f ca="1">NOW() - TIME(5,30,0) + (VLOOKUP(MasterTable[[#This Row],[TimeZone]], $O$3:$P$8, 2, FALSE) / 24)</f>
        <v>45990.531878125003</v>
      </c>
      <c r="I1572" s="1" t="s">
        <v>1944</v>
      </c>
      <c r="J1572" s="1">
        <v>505.48</v>
      </c>
    </row>
    <row r="1573" spans="1:10" x14ac:dyDescent="0.25">
      <c r="A1573" s="1" t="s">
        <v>354</v>
      </c>
      <c r="B1573" s="1" t="s">
        <v>355</v>
      </c>
      <c r="C1573" s="1" t="s">
        <v>899</v>
      </c>
      <c r="D1573" s="1">
        <v>33.1235</v>
      </c>
      <c r="E1573" s="1">
        <v>-90.092100000000002</v>
      </c>
      <c r="F1573" s="1" t="s">
        <v>1922</v>
      </c>
      <c r="G1573" s="22">
        <v>1211.4288812592683</v>
      </c>
      <c r="H1573" s="20">
        <f ca="1">NOW() - TIME(5,30,0) + (VLOOKUP(MasterTable[[#This Row],[TimeZone]], $O$3:$P$8, 2, FALSE) / 24)</f>
        <v>45990.531878125003</v>
      </c>
      <c r="I1573" s="1" t="s">
        <v>1944</v>
      </c>
      <c r="J1573" s="1">
        <v>488.71</v>
      </c>
    </row>
    <row r="1574" spans="1:10" x14ac:dyDescent="0.25">
      <c r="A1574" s="1" t="s">
        <v>354</v>
      </c>
      <c r="B1574" s="1" t="s">
        <v>355</v>
      </c>
      <c r="C1574" s="1" t="s">
        <v>522</v>
      </c>
      <c r="D1574" s="1">
        <v>32.019100000000002</v>
      </c>
      <c r="E1574" s="1">
        <v>-89.118899999999996</v>
      </c>
      <c r="F1574" s="1" t="s">
        <v>1922</v>
      </c>
      <c r="G1574" s="22">
        <v>1274.0785895910899</v>
      </c>
      <c r="H1574" s="20">
        <f ca="1">NOW() - TIME(5,30,0) + (VLOOKUP(MasterTable[[#This Row],[TimeZone]], $O$3:$P$8, 2, FALSE) / 24)</f>
        <v>45990.531878125003</v>
      </c>
      <c r="I1574" s="1" t="s">
        <v>1944</v>
      </c>
      <c r="J1574" s="1">
        <v>373.58</v>
      </c>
    </row>
    <row r="1575" spans="1:10" x14ac:dyDescent="0.25">
      <c r="A1575" s="1" t="s">
        <v>354</v>
      </c>
      <c r="B1575" s="1" t="s">
        <v>355</v>
      </c>
      <c r="C1575" s="1" t="s">
        <v>508</v>
      </c>
      <c r="D1575" s="1">
        <v>32.041400000000003</v>
      </c>
      <c r="E1575" s="1">
        <v>-88.689400000000006</v>
      </c>
      <c r="F1575" s="1" t="s">
        <v>1922</v>
      </c>
      <c r="G1575" s="22">
        <v>1298.9028560977606</v>
      </c>
      <c r="H1575" s="20">
        <f ca="1">NOW() - TIME(5,30,0) + (VLOOKUP(MasterTable[[#This Row],[TimeZone]], $O$3:$P$8, 2, FALSE) / 24)</f>
        <v>45990.531878125003</v>
      </c>
      <c r="I1575" s="1" t="s">
        <v>1944</v>
      </c>
      <c r="J1575" s="1">
        <v>1252.51</v>
      </c>
    </row>
    <row r="1576" spans="1:10" x14ac:dyDescent="0.25">
      <c r="A1576" s="1" t="s">
        <v>354</v>
      </c>
      <c r="B1576" s="1" t="s">
        <v>355</v>
      </c>
      <c r="C1576" s="1" t="s">
        <v>338</v>
      </c>
      <c r="D1576" s="1">
        <v>32.017699999999998</v>
      </c>
      <c r="E1576" s="1">
        <v>-89.506699999999995</v>
      </c>
      <c r="F1576" s="1" t="s">
        <v>1922</v>
      </c>
      <c r="G1576" s="22">
        <v>1251.5122972336605</v>
      </c>
      <c r="H1576" s="20">
        <f ca="1">NOW() - TIME(5,30,0) + (VLOOKUP(MasterTable[[#This Row],[TimeZone]], $O$3:$P$8, 2, FALSE) / 24)</f>
        <v>45990.531878125003</v>
      </c>
      <c r="I1576" s="1" t="s">
        <v>1944</v>
      </c>
      <c r="J1576" s="1">
        <v>896.53</v>
      </c>
    </row>
    <row r="1577" spans="1:10" x14ac:dyDescent="0.25">
      <c r="A1577" s="1" t="s">
        <v>354</v>
      </c>
      <c r="B1577" s="1" t="s">
        <v>355</v>
      </c>
      <c r="C1577" s="1" t="s">
        <v>1444</v>
      </c>
      <c r="D1577" s="1">
        <v>31.148399999999999</v>
      </c>
      <c r="E1577" s="1">
        <v>-90.106099999999998</v>
      </c>
      <c r="F1577" s="1" t="s">
        <v>1922</v>
      </c>
      <c r="G1577" s="22">
        <v>1224.5415754791456</v>
      </c>
      <c r="H1577" s="20">
        <f ca="1">NOW() - TIME(5,30,0) + (VLOOKUP(MasterTable[[#This Row],[TimeZone]], $O$3:$P$8, 2, FALSE) / 24)</f>
        <v>45990.531878125003</v>
      </c>
      <c r="I1577" s="1" t="s">
        <v>1944</v>
      </c>
      <c r="J1577" s="1">
        <v>404.44</v>
      </c>
    </row>
    <row r="1578" spans="1:10" x14ac:dyDescent="0.25">
      <c r="A1578" s="1" t="s">
        <v>354</v>
      </c>
      <c r="B1578" s="1" t="s">
        <v>355</v>
      </c>
      <c r="C1578" s="1" t="s">
        <v>289</v>
      </c>
      <c r="D1578" s="1">
        <v>31.214200000000002</v>
      </c>
      <c r="E1578" s="1">
        <v>-88.639200000000002</v>
      </c>
      <c r="F1578" s="1" t="s">
        <v>1922</v>
      </c>
      <c r="G1578" s="22">
        <v>1309.5029398320462</v>
      </c>
      <c r="H1578" s="20">
        <f ca="1">NOW() - TIME(5,30,0) + (VLOOKUP(MasterTable[[#This Row],[TimeZone]], $O$3:$P$8, 2, FALSE) / 24)</f>
        <v>45990.531878125003</v>
      </c>
      <c r="I1578" s="1" t="s">
        <v>1944</v>
      </c>
      <c r="J1578" s="1">
        <v>659.93</v>
      </c>
    </row>
    <row r="1579" spans="1:10" x14ac:dyDescent="0.25">
      <c r="A1579" s="1" t="s">
        <v>354</v>
      </c>
      <c r="B1579" s="1" t="s">
        <v>355</v>
      </c>
      <c r="C1579" s="1" t="s">
        <v>498</v>
      </c>
      <c r="D1579" s="1">
        <v>33.936500000000002</v>
      </c>
      <c r="E1579" s="1">
        <v>-89.336500000000001</v>
      </c>
      <c r="F1579" s="1" t="s">
        <v>1922</v>
      </c>
      <c r="G1579" s="22">
        <v>1253.3031292052476</v>
      </c>
      <c r="H1579" s="20">
        <f ca="1">NOW() - TIME(5,30,0) + (VLOOKUP(MasterTable[[#This Row],[TimeZone]], $O$3:$P$8, 2, FALSE) / 24)</f>
        <v>45990.531878125003</v>
      </c>
      <c r="I1579" s="1" t="s">
        <v>1944</v>
      </c>
      <c r="J1579" s="1">
        <v>612.32000000000005</v>
      </c>
    </row>
    <row r="1580" spans="1:10" x14ac:dyDescent="0.25">
      <c r="A1580" s="1" t="s">
        <v>354</v>
      </c>
      <c r="B1580" s="1" t="s">
        <v>355</v>
      </c>
      <c r="C1580" s="1" t="s">
        <v>1479</v>
      </c>
      <c r="D1580" s="1">
        <v>31.174399999999999</v>
      </c>
      <c r="E1580" s="1">
        <v>-90.804400000000001</v>
      </c>
      <c r="F1580" s="1" t="s">
        <v>1922</v>
      </c>
      <c r="G1580" s="22">
        <v>1183.4691271537199</v>
      </c>
      <c r="H1580" s="20">
        <f ca="1">NOW() - TIME(5,30,0) + (VLOOKUP(MasterTable[[#This Row],[TimeZone]], $O$3:$P$8, 2, FALSE) / 24)</f>
        <v>45990.531878125003</v>
      </c>
      <c r="I1580" s="1" t="s">
        <v>1944</v>
      </c>
      <c r="J1580" s="1">
        <v>731.64</v>
      </c>
    </row>
    <row r="1581" spans="1:10" x14ac:dyDescent="0.25">
      <c r="A1581" s="1" t="s">
        <v>354</v>
      </c>
      <c r="B1581" s="1" t="s">
        <v>355</v>
      </c>
      <c r="C1581" s="1" t="s">
        <v>1483</v>
      </c>
      <c r="D1581" s="1">
        <v>34.028199999999998</v>
      </c>
      <c r="E1581" s="1">
        <v>-89.707700000000003</v>
      </c>
      <c r="F1581" s="1" t="s">
        <v>1922</v>
      </c>
      <c r="G1581" s="22">
        <v>1231.9964534024698</v>
      </c>
      <c r="H1581" s="20">
        <f ca="1">NOW() - TIME(5,30,0) + (VLOOKUP(MasterTable[[#This Row],[TimeZone]], $O$3:$P$8, 2, FALSE) / 24)</f>
        <v>45990.531878125003</v>
      </c>
      <c r="I1581" s="1" t="s">
        <v>1944</v>
      </c>
      <c r="J1581" s="1">
        <v>495</v>
      </c>
    </row>
    <row r="1582" spans="1:10" x14ac:dyDescent="0.25">
      <c r="A1582" s="1" t="s">
        <v>354</v>
      </c>
      <c r="B1582" s="1" t="s">
        <v>355</v>
      </c>
      <c r="C1582" s="1" t="s">
        <v>1485</v>
      </c>
      <c r="D1582" s="1">
        <v>33.950499999999998</v>
      </c>
      <c r="E1582" s="1">
        <v>-90.173299999999998</v>
      </c>
      <c r="F1582" s="1" t="s">
        <v>1922</v>
      </c>
      <c r="G1582" s="22">
        <v>1205.3308142418816</v>
      </c>
      <c r="H1582" s="20">
        <f ca="1">NOW() - TIME(5,30,0) + (VLOOKUP(MasterTable[[#This Row],[TimeZone]], $O$3:$P$8, 2, FALSE) / 24)</f>
        <v>45990.531878125003</v>
      </c>
      <c r="I1582" s="1" t="s">
        <v>1944</v>
      </c>
      <c r="J1582" s="1">
        <v>652.08000000000004</v>
      </c>
    </row>
    <row r="1583" spans="1:10" x14ac:dyDescent="0.25">
      <c r="A1583" s="1" t="s">
        <v>354</v>
      </c>
      <c r="B1583" s="1" t="s">
        <v>355</v>
      </c>
      <c r="C1583" s="1" t="s">
        <v>644</v>
      </c>
      <c r="D1583" s="1">
        <v>31.5502</v>
      </c>
      <c r="E1583" s="1">
        <v>-90.106999999999999</v>
      </c>
      <c r="F1583" s="1" t="s">
        <v>1922</v>
      </c>
      <c r="G1583" s="22">
        <v>1220.4725990872762</v>
      </c>
      <c r="H1583" s="20">
        <f ca="1">NOW() - TIME(5,30,0) + (VLOOKUP(MasterTable[[#This Row],[TimeZone]], $O$3:$P$8, 2, FALSE) / 24)</f>
        <v>45990.531878125003</v>
      </c>
      <c r="I1583" s="1" t="s">
        <v>1944</v>
      </c>
      <c r="J1583" s="1">
        <v>718.07</v>
      </c>
    </row>
    <row r="1584" spans="1:10" x14ac:dyDescent="0.25">
      <c r="A1584" s="1" t="s">
        <v>354</v>
      </c>
      <c r="B1584" s="1" t="s">
        <v>355</v>
      </c>
      <c r="C1584" s="1" t="s">
        <v>877</v>
      </c>
      <c r="D1584" s="1">
        <v>31.172000000000001</v>
      </c>
      <c r="E1584" s="1">
        <v>-88.992400000000004</v>
      </c>
      <c r="F1584" s="1" t="s">
        <v>1922</v>
      </c>
      <c r="G1584" s="22">
        <v>1289.3343472913887</v>
      </c>
      <c r="H1584" s="20">
        <f ca="1">NOW() - TIME(5,30,0) + (VLOOKUP(MasterTable[[#This Row],[TimeZone]], $O$3:$P$8, 2, FALSE) / 24)</f>
        <v>45990.531878125003</v>
      </c>
      <c r="I1584" s="1" t="s">
        <v>1944</v>
      </c>
      <c r="J1584" s="1">
        <v>724.08</v>
      </c>
    </row>
    <row r="1585" spans="1:10" x14ac:dyDescent="0.25">
      <c r="A1585" s="1" t="s">
        <v>354</v>
      </c>
      <c r="B1585" s="1" t="s">
        <v>355</v>
      </c>
      <c r="C1585" s="1" t="s">
        <v>1046</v>
      </c>
      <c r="D1585" s="1">
        <v>31.569700000000001</v>
      </c>
      <c r="E1585" s="1">
        <v>-89.822999999999993</v>
      </c>
      <c r="F1585" s="1" t="s">
        <v>1922</v>
      </c>
      <c r="G1585" s="22">
        <v>1236.8632913235328</v>
      </c>
      <c r="H1585" s="20">
        <f ca="1">NOW() - TIME(5,30,0) + (VLOOKUP(MasterTable[[#This Row],[TimeZone]], $O$3:$P$8, 2, FALSE) / 24)</f>
        <v>45990.531878125003</v>
      </c>
      <c r="I1585" s="1" t="s">
        <v>1944</v>
      </c>
      <c r="J1585" s="1">
        <v>658.58</v>
      </c>
    </row>
    <row r="1586" spans="1:10" x14ac:dyDescent="0.25">
      <c r="A1586" s="1" t="s">
        <v>354</v>
      </c>
      <c r="B1586" s="1" t="s">
        <v>355</v>
      </c>
      <c r="C1586" s="1" t="s">
        <v>1549</v>
      </c>
      <c r="D1586" s="1">
        <v>33.110199999999999</v>
      </c>
      <c r="E1586" s="1">
        <v>-88.569800000000001</v>
      </c>
      <c r="F1586" s="1" t="s">
        <v>1922</v>
      </c>
      <c r="G1586" s="22">
        <v>1299.4502010047909</v>
      </c>
      <c r="H1586" s="20">
        <f ca="1">NOW() - TIME(5,30,0) + (VLOOKUP(MasterTable[[#This Row],[TimeZone]], $O$3:$P$8, 2, FALSE) / 24)</f>
        <v>45990.531878125003</v>
      </c>
      <c r="I1586" s="1" t="s">
        <v>1944</v>
      </c>
      <c r="J1586" s="1">
        <v>700.05</v>
      </c>
    </row>
    <row r="1587" spans="1:10" x14ac:dyDescent="0.25">
      <c r="A1587" s="1" t="s">
        <v>354</v>
      </c>
      <c r="B1587" s="1" t="s">
        <v>355</v>
      </c>
      <c r="C1587" s="1" t="s">
        <v>955</v>
      </c>
      <c r="D1587" s="1">
        <v>33.613100000000003</v>
      </c>
      <c r="E1587" s="1">
        <v>-89.284800000000004</v>
      </c>
      <c r="F1587" s="1" t="s">
        <v>1922</v>
      </c>
      <c r="G1587" s="22">
        <v>1256.6999760715983</v>
      </c>
      <c r="H1587" s="20">
        <f ca="1">NOW() - TIME(5,30,0) + (VLOOKUP(MasterTable[[#This Row],[TimeZone]], $O$3:$P$8, 2, FALSE) / 24)</f>
        <v>45990.531878125003</v>
      </c>
      <c r="I1587" s="1" t="s">
        <v>1944</v>
      </c>
      <c r="J1587" s="1">
        <v>210.26</v>
      </c>
    </row>
    <row r="1588" spans="1:10" x14ac:dyDescent="0.25">
      <c r="A1588" s="1" t="s">
        <v>354</v>
      </c>
      <c r="B1588" s="1" t="s">
        <v>355</v>
      </c>
      <c r="C1588" s="1" t="s">
        <v>418</v>
      </c>
      <c r="D1588" s="1">
        <v>33.448500000000003</v>
      </c>
      <c r="E1588" s="1">
        <v>-89.920199999999994</v>
      </c>
      <c r="F1588" s="1" t="s">
        <v>1922</v>
      </c>
      <c r="G1588" s="22">
        <v>1220.456007051052</v>
      </c>
      <c r="H1588" s="20">
        <f ca="1">NOW() - TIME(5,30,0) + (VLOOKUP(MasterTable[[#This Row],[TimeZone]], $O$3:$P$8, 2, FALSE) / 24)</f>
        <v>45990.531878125003</v>
      </c>
      <c r="I1588" s="1" t="s">
        <v>1944</v>
      </c>
      <c r="J1588" s="1">
        <v>638.80999999999995</v>
      </c>
    </row>
    <row r="1589" spans="1:10" x14ac:dyDescent="0.25">
      <c r="A1589" s="1" t="s">
        <v>354</v>
      </c>
      <c r="B1589" s="1" t="s">
        <v>355</v>
      </c>
      <c r="C1589" s="1" t="s">
        <v>75</v>
      </c>
      <c r="D1589" s="1">
        <v>33.494100000000003</v>
      </c>
      <c r="E1589" s="1">
        <v>-89.616399999999999</v>
      </c>
      <c r="F1589" s="1" t="s">
        <v>1922</v>
      </c>
      <c r="G1589" s="22">
        <v>1237.8583956080045</v>
      </c>
      <c r="H1589" s="20">
        <f ca="1">NOW() - TIME(5,30,0) + (VLOOKUP(MasterTable[[#This Row],[TimeZone]], $O$3:$P$8, 2, FALSE) / 24)</f>
        <v>45990.531878125003</v>
      </c>
      <c r="I1589" s="1" t="s">
        <v>1944</v>
      </c>
      <c r="J1589" s="1">
        <v>799.76</v>
      </c>
    </row>
    <row r="1590" spans="1:10" x14ac:dyDescent="0.25">
      <c r="A1590" s="1" t="s">
        <v>354</v>
      </c>
      <c r="B1590" s="1" t="s">
        <v>355</v>
      </c>
      <c r="C1590" s="1" t="s">
        <v>1566</v>
      </c>
      <c r="D1590" s="1">
        <v>34.650700000000001</v>
      </c>
      <c r="E1590" s="1">
        <v>-90.375</v>
      </c>
      <c r="F1590" s="1" t="s">
        <v>1922</v>
      </c>
      <c r="G1590" s="22">
        <v>1194.7361688715494</v>
      </c>
      <c r="H1590" s="20">
        <f ca="1">NOW() - TIME(5,30,0) + (VLOOKUP(MasterTable[[#This Row],[TimeZone]], $O$3:$P$8, 2, FALSE) / 24)</f>
        <v>45990.531878125003</v>
      </c>
      <c r="I1590" s="1" t="s">
        <v>1944</v>
      </c>
      <c r="J1590" s="1">
        <v>480.78</v>
      </c>
    </row>
    <row r="1591" spans="1:10" x14ac:dyDescent="0.25">
      <c r="A1591" s="1" t="s">
        <v>354</v>
      </c>
      <c r="B1591" s="1" t="s">
        <v>355</v>
      </c>
      <c r="C1591" s="1" t="s">
        <v>1044</v>
      </c>
      <c r="D1591" s="1">
        <v>31.973700000000001</v>
      </c>
      <c r="E1591" s="1">
        <v>-90.911799999999999</v>
      </c>
      <c r="F1591" s="1" t="s">
        <v>1922</v>
      </c>
      <c r="G1591" s="22">
        <v>1169.9990447722932</v>
      </c>
      <c r="H1591" s="20">
        <f ca="1">NOW() - TIME(5,30,0) + (VLOOKUP(MasterTable[[#This Row],[TimeZone]], $O$3:$P$8, 2, FALSE) / 24)</f>
        <v>45990.531878125003</v>
      </c>
      <c r="I1591" s="1" t="s">
        <v>1944</v>
      </c>
      <c r="J1591" s="1">
        <v>767.55</v>
      </c>
    </row>
    <row r="1592" spans="1:10" x14ac:dyDescent="0.25">
      <c r="A1592" s="1" t="s">
        <v>354</v>
      </c>
      <c r="B1592" s="1" t="s">
        <v>355</v>
      </c>
      <c r="C1592" s="1" t="s">
        <v>1593</v>
      </c>
      <c r="D1592" s="1">
        <v>32.754600000000003</v>
      </c>
      <c r="E1592" s="1">
        <v>-88.641199999999998</v>
      </c>
      <c r="F1592" s="1" t="s">
        <v>1922</v>
      </c>
      <c r="G1592" s="22">
        <v>1297.0021226177082</v>
      </c>
      <c r="H1592" s="20">
        <f ca="1">NOW() - TIME(5,30,0) + (VLOOKUP(MasterTable[[#This Row],[TimeZone]], $O$3:$P$8, 2, FALSE) / 24)</f>
        <v>45990.531878125003</v>
      </c>
      <c r="I1592" s="1" t="s">
        <v>1944</v>
      </c>
      <c r="J1592" s="1">
        <v>767</v>
      </c>
    </row>
    <row r="1593" spans="1:10" x14ac:dyDescent="0.25">
      <c r="A1593" s="1" t="s">
        <v>354</v>
      </c>
      <c r="B1593" s="1" t="s">
        <v>355</v>
      </c>
      <c r="C1593" s="1" t="s">
        <v>1596</v>
      </c>
      <c r="D1593" s="1">
        <v>31.161100000000001</v>
      </c>
      <c r="E1593" s="1">
        <v>-91.310900000000004</v>
      </c>
      <c r="F1593" s="1" t="s">
        <v>1922</v>
      </c>
      <c r="G1593" s="22">
        <v>1154.0150775023699</v>
      </c>
      <c r="H1593" s="20">
        <f ca="1">NOW() - TIME(5,30,0) + (VLOOKUP(MasterTable[[#This Row],[TimeZone]], $O$3:$P$8, 2, FALSE) / 24)</f>
        <v>45990.531878125003</v>
      </c>
      <c r="I1593" s="1" t="s">
        <v>1944</v>
      </c>
      <c r="J1593" s="1">
        <v>452.01</v>
      </c>
    </row>
    <row r="1594" spans="1:10" x14ac:dyDescent="0.25">
      <c r="A1594" s="1" t="s">
        <v>354</v>
      </c>
      <c r="B1594" s="1" t="s">
        <v>355</v>
      </c>
      <c r="C1594" s="1" t="s">
        <v>1421</v>
      </c>
      <c r="D1594" s="1">
        <v>33.347299999999997</v>
      </c>
      <c r="E1594" s="1">
        <v>-89.248400000000004</v>
      </c>
      <c r="F1594" s="1" t="s">
        <v>1922</v>
      </c>
      <c r="G1594" s="22">
        <v>1259.4424007198859</v>
      </c>
      <c r="H1594" s="20">
        <f ca="1">NOW() - TIME(5,30,0) + (VLOOKUP(MasterTable[[#This Row],[TimeZone]], $O$3:$P$8, 2, FALSE) / 24)</f>
        <v>45990.531878125003</v>
      </c>
      <c r="I1594" s="1" t="s">
        <v>1944</v>
      </c>
      <c r="J1594" s="1">
        <v>920.85</v>
      </c>
    </row>
    <row r="1595" spans="1:10" x14ac:dyDescent="0.25">
      <c r="A1595" s="1" t="s">
        <v>354</v>
      </c>
      <c r="B1595" s="1" t="s">
        <v>355</v>
      </c>
      <c r="C1595" s="1" t="s">
        <v>50</v>
      </c>
      <c r="D1595" s="1">
        <v>31.4772</v>
      </c>
      <c r="E1595" s="1">
        <v>-90.897900000000007</v>
      </c>
      <c r="F1595" s="1" t="s">
        <v>1922</v>
      </c>
      <c r="G1595" s="22">
        <v>1174.9883937558523</v>
      </c>
      <c r="H1595" s="20">
        <f ca="1">NOW() - TIME(5,30,0) + (VLOOKUP(MasterTable[[#This Row],[TimeZone]], $O$3:$P$8, 2, FALSE) / 24)</f>
        <v>45990.531878125003</v>
      </c>
      <c r="I1595" s="1" t="s">
        <v>1944</v>
      </c>
      <c r="J1595" s="1">
        <v>646.51</v>
      </c>
    </row>
    <row r="1596" spans="1:10" x14ac:dyDescent="0.25">
      <c r="A1596" s="1" t="s">
        <v>354</v>
      </c>
      <c r="B1596" s="1" t="s">
        <v>355</v>
      </c>
      <c r="C1596" s="1" t="s">
        <v>298</v>
      </c>
      <c r="D1596" s="1">
        <v>34.817300000000003</v>
      </c>
      <c r="E1596" s="1">
        <v>-89.188500000000005</v>
      </c>
      <c r="F1596" s="1" t="s">
        <v>1922</v>
      </c>
      <c r="G1596" s="22">
        <v>1262.4933838701679</v>
      </c>
      <c r="H1596" s="20">
        <f ca="1">NOW() - TIME(5,30,0) + (VLOOKUP(MasterTable[[#This Row],[TimeZone]], $O$3:$P$8, 2, FALSE) / 24)</f>
        <v>45990.531878125003</v>
      </c>
      <c r="I1596" s="1" t="s">
        <v>1944</v>
      </c>
      <c r="J1596" s="1">
        <v>880.24</v>
      </c>
    </row>
    <row r="1597" spans="1:10" x14ac:dyDescent="0.25">
      <c r="A1597" s="1" t="s">
        <v>354</v>
      </c>
      <c r="B1597" s="1" t="s">
        <v>355</v>
      </c>
      <c r="C1597" s="1" t="s">
        <v>1295</v>
      </c>
      <c r="D1597" s="1">
        <v>33.128700000000002</v>
      </c>
      <c r="E1597" s="1">
        <v>-90.526600000000002</v>
      </c>
      <c r="F1597" s="1" t="s">
        <v>1922</v>
      </c>
      <c r="G1597" s="22">
        <v>1186.2959953997652</v>
      </c>
      <c r="H1597" s="20">
        <f ca="1">NOW() - TIME(5,30,0) + (VLOOKUP(MasterTable[[#This Row],[TimeZone]], $O$3:$P$8, 2, FALSE) / 24)</f>
        <v>45990.531878125003</v>
      </c>
      <c r="I1597" s="1" t="s">
        <v>1944</v>
      </c>
      <c r="J1597" s="1">
        <v>431.16</v>
      </c>
    </row>
    <row r="1598" spans="1:10" x14ac:dyDescent="0.25">
      <c r="A1598" s="1" t="s">
        <v>354</v>
      </c>
      <c r="B1598" s="1" t="s">
        <v>355</v>
      </c>
      <c r="C1598" s="1" t="s">
        <v>129</v>
      </c>
      <c r="D1598" s="1">
        <v>31.734200000000001</v>
      </c>
      <c r="E1598" s="1">
        <v>-91.037300000000002</v>
      </c>
      <c r="F1598" s="1" t="s">
        <v>1922</v>
      </c>
      <c r="G1598" s="22">
        <v>1164.5734086439811</v>
      </c>
      <c r="H1598" s="20">
        <f ca="1">NOW() - TIME(5,30,0) + (VLOOKUP(MasterTable[[#This Row],[TimeZone]], $O$3:$P$8, 2, FALSE) / 24)</f>
        <v>45990.531878125003</v>
      </c>
      <c r="I1598" s="1" t="s">
        <v>1944</v>
      </c>
      <c r="J1598" s="1">
        <v>1123.8</v>
      </c>
    </row>
    <row r="1599" spans="1:10" x14ac:dyDescent="0.25">
      <c r="A1599" s="1" t="s">
        <v>354</v>
      </c>
      <c r="B1599" s="1" t="s">
        <v>355</v>
      </c>
      <c r="C1599" s="1" t="s">
        <v>1713</v>
      </c>
      <c r="D1599" s="1">
        <v>34.251399999999997</v>
      </c>
      <c r="E1599" s="1">
        <v>-90.289100000000005</v>
      </c>
      <c r="F1599" s="1" t="s">
        <v>1922</v>
      </c>
      <c r="G1599" s="22">
        <v>1198.8577362794006</v>
      </c>
      <c r="H1599" s="20">
        <f ca="1">NOW() - TIME(5,30,0) + (VLOOKUP(MasterTable[[#This Row],[TimeZone]], $O$3:$P$8, 2, FALSE) / 24)</f>
        <v>45990.531878125003</v>
      </c>
      <c r="I1599" s="1" t="s">
        <v>1944</v>
      </c>
      <c r="J1599" s="1">
        <v>160.91999999999999</v>
      </c>
    </row>
    <row r="1600" spans="1:10" x14ac:dyDescent="0.25">
      <c r="A1600" s="1" t="s">
        <v>354</v>
      </c>
      <c r="B1600" s="1" t="s">
        <v>355</v>
      </c>
      <c r="C1600" s="1" t="s">
        <v>1786</v>
      </c>
      <c r="D1600" s="1">
        <v>32.879800000000003</v>
      </c>
      <c r="E1600" s="1">
        <v>-90.813199999999995</v>
      </c>
      <c r="F1600" s="1" t="s">
        <v>1922</v>
      </c>
      <c r="G1600" s="22">
        <v>1170.5803930965756</v>
      </c>
      <c r="H1600" s="20">
        <f ca="1">NOW() - TIME(5,30,0) + (VLOOKUP(MasterTable[[#This Row],[TimeZone]], $O$3:$P$8, 2, FALSE) / 24)</f>
        <v>45990.531878125003</v>
      </c>
      <c r="I1600" s="1" t="s">
        <v>1944</v>
      </c>
      <c r="J1600" s="1">
        <v>434.88</v>
      </c>
    </row>
    <row r="1601" spans="1:10" x14ac:dyDescent="0.25">
      <c r="A1601" s="1" t="s">
        <v>354</v>
      </c>
      <c r="B1601" s="1" t="s">
        <v>355</v>
      </c>
      <c r="C1601" s="1" t="s">
        <v>1897</v>
      </c>
      <c r="D1601" s="1">
        <v>32.741399999999999</v>
      </c>
      <c r="E1601" s="1">
        <v>-90.989199999999997</v>
      </c>
      <c r="F1601" s="1" t="s">
        <v>1922</v>
      </c>
      <c r="G1601" s="22">
        <v>1160.9524403660628</v>
      </c>
      <c r="H1601" s="20">
        <f ca="1">NOW() - TIME(5,30,0) + (VLOOKUP(MasterTable[[#This Row],[TimeZone]], $O$3:$P$8, 2, FALSE) / 24)</f>
        <v>45990.531878125003</v>
      </c>
      <c r="I1601" s="1" t="s">
        <v>1944</v>
      </c>
      <c r="J1601" s="1">
        <v>441.36</v>
      </c>
    </row>
    <row r="1602" spans="1:10" x14ac:dyDescent="0.25">
      <c r="A1602" s="1" t="s">
        <v>435</v>
      </c>
      <c r="B1602" s="1" t="s">
        <v>436</v>
      </c>
      <c r="C1602" s="1" t="s">
        <v>434</v>
      </c>
      <c r="D1602" s="1">
        <v>45.9373</v>
      </c>
      <c r="E1602" s="1">
        <v>-108.2744</v>
      </c>
      <c r="F1602" s="1" t="s">
        <v>1923</v>
      </c>
      <c r="G1602" s="22">
        <v>958.18033186431364</v>
      </c>
      <c r="H1602" s="20">
        <f ca="1">NOW() - TIME(5,30,0) + (VLOOKUP(MasterTable[[#This Row],[TimeZone]], $O$3:$P$8, 2, FALSE) / 24)</f>
        <v>45990.490211458338</v>
      </c>
      <c r="I1602" s="1" t="s">
        <v>1944</v>
      </c>
      <c r="J1602" s="1">
        <v>2649.05</v>
      </c>
    </row>
    <row r="1603" spans="1:10" x14ac:dyDescent="0.25">
      <c r="A1603" s="1" t="s">
        <v>435</v>
      </c>
      <c r="B1603" s="1" t="s">
        <v>436</v>
      </c>
      <c r="C1603" s="1" t="s">
        <v>523</v>
      </c>
      <c r="D1603" s="1">
        <v>45.540399999999998</v>
      </c>
      <c r="E1603" s="1">
        <v>-111.1704</v>
      </c>
      <c r="F1603" s="1" t="s">
        <v>1923</v>
      </c>
      <c r="G1603" s="22">
        <v>920.38226506560011</v>
      </c>
      <c r="H1603" s="20">
        <f ca="1">NOW() - TIME(5,30,0) + (VLOOKUP(MasterTable[[#This Row],[TimeZone]], $O$3:$P$8, 2, FALSE) / 24)</f>
        <v>45990.490211458338</v>
      </c>
      <c r="I1603" s="1" t="s">
        <v>1944</v>
      </c>
      <c r="J1603" s="1">
        <v>328.41</v>
      </c>
    </row>
    <row r="1604" spans="1:10" x14ac:dyDescent="0.25">
      <c r="A1604" s="1" t="s">
        <v>435</v>
      </c>
      <c r="B1604" s="1" t="s">
        <v>436</v>
      </c>
      <c r="C1604" s="1" t="s">
        <v>530</v>
      </c>
      <c r="D1604" s="1">
        <v>47.036499999999997</v>
      </c>
      <c r="E1604" s="1">
        <v>-113.9237</v>
      </c>
      <c r="F1604" s="1" t="s">
        <v>1923</v>
      </c>
      <c r="G1604" s="22">
        <v>1035.808115904455</v>
      </c>
      <c r="H1604" s="20">
        <f ca="1">NOW() - TIME(5,30,0) + (VLOOKUP(MasterTable[[#This Row],[TimeZone]], $O$3:$P$8, 2, FALSE) / 24)</f>
        <v>45990.490211458338</v>
      </c>
      <c r="I1604" s="1" t="s">
        <v>1944</v>
      </c>
      <c r="J1604" s="1">
        <v>2618.34</v>
      </c>
    </row>
    <row r="1605" spans="1:10" x14ac:dyDescent="0.25">
      <c r="A1605" s="1" t="s">
        <v>435</v>
      </c>
      <c r="B1605" s="1" t="s">
        <v>436</v>
      </c>
      <c r="C1605" s="1" t="s">
        <v>560</v>
      </c>
      <c r="D1605" s="1">
        <v>48.295099999999998</v>
      </c>
      <c r="E1605" s="1">
        <v>-114.0497</v>
      </c>
      <c r="F1605" s="1" t="s">
        <v>1923</v>
      </c>
      <c r="G1605" s="22">
        <v>1122.5250185104644</v>
      </c>
      <c r="H1605" s="20">
        <f ca="1">NOW() - TIME(5,30,0) + (VLOOKUP(MasterTable[[#This Row],[TimeZone]], $O$3:$P$8, 2, FALSE) / 24)</f>
        <v>45990.490211458338</v>
      </c>
      <c r="I1605" s="1" t="s">
        <v>1944</v>
      </c>
      <c r="J1605" s="1">
        <v>5256.45</v>
      </c>
    </row>
    <row r="1606" spans="1:10" x14ac:dyDescent="0.25">
      <c r="A1606" s="1" t="s">
        <v>435</v>
      </c>
      <c r="B1606" s="1" t="s">
        <v>436</v>
      </c>
      <c r="C1606" s="1" t="s">
        <v>647</v>
      </c>
      <c r="D1606" s="1">
        <v>47.307899999999997</v>
      </c>
      <c r="E1606" s="1">
        <v>-111.34699999999999</v>
      </c>
      <c r="F1606" s="1" t="s">
        <v>1923</v>
      </c>
      <c r="G1606" s="22">
        <v>1042.654950357145</v>
      </c>
      <c r="H1606" s="20">
        <f ca="1">NOW() - TIME(5,30,0) + (VLOOKUP(MasterTable[[#This Row],[TimeZone]], $O$3:$P$8, 2, FALSE) / 24)</f>
        <v>45990.490211458338</v>
      </c>
      <c r="I1606" s="1" t="s">
        <v>1944</v>
      </c>
      <c r="J1606" s="1">
        <v>2711.65</v>
      </c>
    </row>
    <row r="1607" spans="1:10" x14ac:dyDescent="0.25">
      <c r="A1607" s="1" t="s">
        <v>435</v>
      </c>
      <c r="B1607" s="1" t="s">
        <v>436</v>
      </c>
      <c r="C1607" s="1" t="s">
        <v>703</v>
      </c>
      <c r="D1607" s="1">
        <v>47.122399999999999</v>
      </c>
      <c r="E1607" s="1">
        <v>-112.3905</v>
      </c>
      <c r="F1607" s="1" t="s">
        <v>1923</v>
      </c>
      <c r="G1607" s="22">
        <v>1032.4913922620601</v>
      </c>
      <c r="H1607" s="20">
        <f ca="1">NOW() - TIME(5,30,0) + (VLOOKUP(MasterTable[[#This Row],[TimeZone]], $O$3:$P$8, 2, FALSE) / 24)</f>
        <v>45990.490211458338</v>
      </c>
      <c r="I1607" s="1" t="s">
        <v>1944</v>
      </c>
      <c r="J1607" s="1">
        <v>3497.56</v>
      </c>
    </row>
    <row r="1608" spans="1:10" x14ac:dyDescent="0.25">
      <c r="A1608" s="1" t="s">
        <v>435</v>
      </c>
      <c r="B1608" s="1" t="s">
        <v>436</v>
      </c>
      <c r="C1608" s="1" t="s">
        <v>882</v>
      </c>
      <c r="D1608" s="1">
        <v>46.081699999999998</v>
      </c>
      <c r="E1608" s="1">
        <v>-114.1207</v>
      </c>
      <c r="F1608" s="1" t="s">
        <v>1923</v>
      </c>
      <c r="G1608" s="22">
        <v>972.6448979710309</v>
      </c>
      <c r="H1608" s="20">
        <f ca="1">NOW() - TIME(5,30,0) + (VLOOKUP(MasterTable[[#This Row],[TimeZone]], $O$3:$P$8, 2, FALSE) / 24)</f>
        <v>45990.490211458338</v>
      </c>
      <c r="I1608" s="1" t="s">
        <v>1944</v>
      </c>
      <c r="J1608" s="1">
        <v>2400.3200000000002</v>
      </c>
    </row>
    <row r="1609" spans="1:10" x14ac:dyDescent="0.25">
      <c r="A1609" s="1" t="s">
        <v>435</v>
      </c>
      <c r="B1609" s="1" t="s">
        <v>436</v>
      </c>
      <c r="C1609" s="1" t="s">
        <v>1013</v>
      </c>
      <c r="D1609" s="1">
        <v>45.9024</v>
      </c>
      <c r="E1609" s="1">
        <v>-112.6567</v>
      </c>
      <c r="F1609" s="1" t="s">
        <v>1923</v>
      </c>
      <c r="G1609" s="22">
        <v>949.78574598575551</v>
      </c>
      <c r="H1609" s="20">
        <f ca="1">NOW() - TIME(5,30,0) + (VLOOKUP(MasterTable[[#This Row],[TimeZone]], $O$3:$P$8, 2, FALSE) / 24)</f>
        <v>45990.490211458338</v>
      </c>
      <c r="I1609" s="1" t="s">
        <v>1944</v>
      </c>
      <c r="J1609" s="1">
        <v>718.97</v>
      </c>
    </row>
    <row r="1610" spans="1:10" x14ac:dyDescent="0.25">
      <c r="A1610" s="1" t="s">
        <v>435</v>
      </c>
      <c r="B1610" s="1" t="s">
        <v>436</v>
      </c>
      <c r="C1610" s="1" t="s">
        <v>142</v>
      </c>
      <c r="D1610" s="1">
        <v>47.645899999999997</v>
      </c>
      <c r="E1610" s="1">
        <v>-114.0894</v>
      </c>
      <c r="F1610" s="1" t="s">
        <v>1923</v>
      </c>
      <c r="G1610" s="22">
        <v>1078.6231764936733</v>
      </c>
      <c r="H1610" s="20">
        <f ca="1">NOW() - TIME(5,30,0) + (VLOOKUP(MasterTable[[#This Row],[TimeZone]], $O$3:$P$8, 2, FALSE) / 24)</f>
        <v>45990.490211458338</v>
      </c>
      <c r="I1610" s="1" t="s">
        <v>1944</v>
      </c>
      <c r="J1610" s="1">
        <v>1329.48</v>
      </c>
    </row>
    <row r="1611" spans="1:10" x14ac:dyDescent="0.25">
      <c r="A1611" s="1" t="s">
        <v>435</v>
      </c>
      <c r="B1611" s="1" t="s">
        <v>436</v>
      </c>
      <c r="C1611" s="1" t="s">
        <v>632</v>
      </c>
      <c r="D1611" s="1">
        <v>48.542499999999997</v>
      </c>
      <c r="E1611" s="1">
        <v>-115.4051</v>
      </c>
      <c r="F1611" s="1" t="s">
        <v>1923</v>
      </c>
      <c r="G1611" s="22">
        <v>1151.5767565453939</v>
      </c>
      <c r="H1611" s="20">
        <f ca="1">NOW() - TIME(5,30,0) + (VLOOKUP(MasterTable[[#This Row],[TimeZone]], $O$3:$P$8, 2, FALSE) / 24)</f>
        <v>45990.490211458338</v>
      </c>
      <c r="I1611" s="1" t="s">
        <v>1944</v>
      </c>
      <c r="J1611" s="1">
        <v>572.16999999999996</v>
      </c>
    </row>
    <row r="1612" spans="1:10" x14ac:dyDescent="0.25">
      <c r="A1612" s="1" t="s">
        <v>435</v>
      </c>
      <c r="B1612" s="1" t="s">
        <v>436</v>
      </c>
      <c r="C1612" s="1" t="s">
        <v>1078</v>
      </c>
      <c r="D1612" s="1">
        <v>45.488399999999999</v>
      </c>
      <c r="E1612" s="1">
        <v>-110.52670000000001</v>
      </c>
      <c r="F1612" s="1" t="s">
        <v>1923</v>
      </c>
      <c r="G1612" s="22">
        <v>916.94599017478276</v>
      </c>
      <c r="H1612" s="20">
        <f ca="1">NOW() - TIME(5,30,0) + (VLOOKUP(MasterTable[[#This Row],[TimeZone]], $O$3:$P$8, 2, FALSE) / 24)</f>
        <v>45990.490211458338</v>
      </c>
      <c r="I1612" s="1" t="s">
        <v>1944</v>
      </c>
      <c r="J1612" s="1">
        <v>2210.69</v>
      </c>
    </row>
    <row r="1613" spans="1:10" x14ac:dyDescent="0.25">
      <c r="A1613" s="1" t="s">
        <v>435</v>
      </c>
      <c r="B1613" s="1" t="s">
        <v>436</v>
      </c>
      <c r="C1613" s="1" t="s">
        <v>997</v>
      </c>
      <c r="D1613" s="1">
        <v>48.6282</v>
      </c>
      <c r="E1613" s="1">
        <v>-110.1112</v>
      </c>
      <c r="F1613" s="1" t="s">
        <v>1923</v>
      </c>
      <c r="G1613" s="22">
        <v>1134.442720540939</v>
      </c>
      <c r="H1613" s="20">
        <f ca="1">NOW() - TIME(5,30,0) + (VLOOKUP(MasterTable[[#This Row],[TimeZone]], $O$3:$P$8, 2, FALSE) / 24)</f>
        <v>45990.490211458338</v>
      </c>
      <c r="I1613" s="1" t="s">
        <v>1944</v>
      </c>
      <c r="J1613" s="1">
        <v>2916.05</v>
      </c>
    </row>
    <row r="1614" spans="1:10" x14ac:dyDescent="0.25">
      <c r="A1614" s="1" t="s">
        <v>435</v>
      </c>
      <c r="B1614" s="1" t="s">
        <v>436</v>
      </c>
      <c r="C1614" s="1" t="s">
        <v>1451</v>
      </c>
      <c r="D1614" s="1">
        <v>48.705100000000002</v>
      </c>
      <c r="E1614" s="1">
        <v>-112.99469999999999</v>
      </c>
      <c r="F1614" s="1" t="s">
        <v>1923</v>
      </c>
      <c r="G1614" s="22">
        <v>1144.0267502901249</v>
      </c>
      <c r="H1614" s="20">
        <f ca="1">NOW() - TIME(5,30,0) + (VLOOKUP(MasterTable[[#This Row],[TimeZone]], $O$3:$P$8, 2, FALSE) / 24)</f>
        <v>45990.490211458338</v>
      </c>
      <c r="I1614" s="1" t="s">
        <v>1944</v>
      </c>
      <c r="J1614" s="1">
        <v>3037.11</v>
      </c>
    </row>
    <row r="1615" spans="1:10" x14ac:dyDescent="0.25">
      <c r="A1615" s="1" t="s">
        <v>435</v>
      </c>
      <c r="B1615" s="1" t="s">
        <v>436</v>
      </c>
      <c r="C1615" s="1" t="s">
        <v>1467</v>
      </c>
      <c r="D1615" s="1">
        <v>45.423400000000001</v>
      </c>
      <c r="E1615" s="1">
        <v>-107.4898</v>
      </c>
      <c r="F1615" s="1" t="s">
        <v>1923</v>
      </c>
      <c r="G1615" s="22">
        <v>930.53548876924094</v>
      </c>
      <c r="H1615" s="20">
        <f ca="1">NOW() - TIME(5,30,0) + (VLOOKUP(MasterTable[[#This Row],[TimeZone]], $O$3:$P$8, 2, FALSE) / 24)</f>
        <v>45990.490211458338</v>
      </c>
      <c r="I1615" s="1" t="s">
        <v>1944</v>
      </c>
      <c r="J1615" s="1">
        <v>5014.6499999999996</v>
      </c>
    </row>
    <row r="1616" spans="1:10" x14ac:dyDescent="0.25">
      <c r="A1616" s="1" t="s">
        <v>435</v>
      </c>
      <c r="B1616" s="1" t="s">
        <v>436</v>
      </c>
      <c r="C1616" s="1" t="s">
        <v>1468</v>
      </c>
      <c r="D1616" s="1">
        <v>47.674799999999998</v>
      </c>
      <c r="E1616" s="1">
        <v>-115.13330000000001</v>
      </c>
      <c r="F1616" s="1" t="s">
        <v>1923</v>
      </c>
      <c r="G1616" s="22">
        <v>1090.3428395332071</v>
      </c>
      <c r="H1616" s="20">
        <f ca="1">NOW() - TIME(5,30,0) + (VLOOKUP(MasterTable[[#This Row],[TimeZone]], $O$3:$P$8, 2, FALSE) / 24)</f>
        <v>45990.490211458338</v>
      </c>
      <c r="I1616" s="1" t="s">
        <v>1944</v>
      </c>
      <c r="J1616" s="1">
        <v>2790.03</v>
      </c>
    </row>
    <row r="1617" spans="1:10" x14ac:dyDescent="0.25">
      <c r="A1617" s="1" t="s">
        <v>435</v>
      </c>
      <c r="B1617" s="1" t="s">
        <v>436</v>
      </c>
      <c r="C1617" s="1" t="s">
        <v>129</v>
      </c>
      <c r="D1617" s="1">
        <v>46.148499999999999</v>
      </c>
      <c r="E1617" s="1">
        <v>-112.0938</v>
      </c>
      <c r="F1617" s="1" t="s">
        <v>1923</v>
      </c>
      <c r="G1617" s="22">
        <v>964.30692740849645</v>
      </c>
      <c r="H1617" s="20">
        <f ca="1">NOW() - TIME(5,30,0) + (VLOOKUP(MasterTable[[#This Row],[TimeZone]], $O$3:$P$8, 2, FALSE) / 24)</f>
        <v>45990.490211458338</v>
      </c>
      <c r="I1617" s="1" t="s">
        <v>1944</v>
      </c>
      <c r="J1617" s="1">
        <v>1123.8</v>
      </c>
    </row>
    <row r="1618" spans="1:10" x14ac:dyDescent="0.25">
      <c r="A1618" s="1" t="s">
        <v>435</v>
      </c>
      <c r="B1618" s="1" t="s">
        <v>436</v>
      </c>
      <c r="C1618" s="1" t="s">
        <v>1100</v>
      </c>
      <c r="D1618" s="1">
        <v>46.252699999999997</v>
      </c>
      <c r="E1618" s="1">
        <v>-105.57170000000001</v>
      </c>
      <c r="F1618" s="1" t="s">
        <v>1923</v>
      </c>
      <c r="G1618" s="22">
        <v>1010.3536087783469</v>
      </c>
      <c r="H1618" s="20">
        <f ca="1">NOW() - TIME(5,30,0) + (VLOOKUP(MasterTable[[#This Row],[TimeZone]], $O$3:$P$8, 2, FALSE) / 24)</f>
        <v>45990.490211458338</v>
      </c>
      <c r="I1618" s="1" t="s">
        <v>1944</v>
      </c>
      <c r="J1618" s="1">
        <v>739.9</v>
      </c>
    </row>
    <row r="1619" spans="1:10" x14ac:dyDescent="0.25">
      <c r="A1619" s="1" t="s">
        <v>435</v>
      </c>
      <c r="B1619" s="1" t="s">
        <v>436</v>
      </c>
      <c r="C1619" s="1" t="s">
        <v>1511</v>
      </c>
      <c r="D1619" s="1">
        <v>47.263599999999997</v>
      </c>
      <c r="E1619" s="1">
        <v>-109.22450000000001</v>
      </c>
      <c r="F1619" s="1" t="s">
        <v>1923</v>
      </c>
      <c r="G1619" s="22">
        <v>1043.2157719158251</v>
      </c>
      <c r="H1619" s="20">
        <f ca="1">NOW() - TIME(5,30,0) + (VLOOKUP(MasterTable[[#This Row],[TimeZone]], $O$3:$P$8, 2, FALSE) / 24)</f>
        <v>45990.490211458338</v>
      </c>
      <c r="I1619" s="1" t="s">
        <v>1944</v>
      </c>
      <c r="J1619" s="1">
        <v>4350.3599999999997</v>
      </c>
    </row>
    <row r="1620" spans="1:10" x14ac:dyDescent="0.25">
      <c r="A1620" s="1" t="s">
        <v>435</v>
      </c>
      <c r="B1620" s="1" t="s">
        <v>436</v>
      </c>
      <c r="C1620" s="1" t="s">
        <v>232</v>
      </c>
      <c r="D1620" s="1">
        <v>47.7879</v>
      </c>
      <c r="E1620" s="1">
        <v>-104.56140000000001</v>
      </c>
      <c r="F1620" s="1" t="s">
        <v>1923</v>
      </c>
      <c r="G1620" s="22">
        <v>1126.1226339880093</v>
      </c>
      <c r="H1620" s="20">
        <f ca="1">NOW() - TIME(5,30,0) + (VLOOKUP(MasterTable[[#This Row],[TimeZone]], $O$3:$P$8, 2, FALSE) / 24)</f>
        <v>45990.490211458338</v>
      </c>
      <c r="I1620" s="1" t="s">
        <v>1944</v>
      </c>
      <c r="J1620" s="1">
        <v>362.01</v>
      </c>
    </row>
    <row r="1621" spans="1:10" x14ac:dyDescent="0.25">
      <c r="A1621" s="1" t="s">
        <v>435</v>
      </c>
      <c r="B1621" s="1" t="s">
        <v>436</v>
      </c>
      <c r="C1621" s="1" t="s">
        <v>745</v>
      </c>
      <c r="D1621" s="1">
        <v>45.227400000000003</v>
      </c>
      <c r="E1621" s="1">
        <v>-109.02809999999999</v>
      </c>
      <c r="F1621" s="1" t="s">
        <v>1923</v>
      </c>
      <c r="G1621" s="22">
        <v>904.39743827740199</v>
      </c>
      <c r="H1621" s="20">
        <f ca="1">NOW() - TIME(5,30,0) + (VLOOKUP(MasterTable[[#This Row],[TimeZone]], $O$3:$P$8, 2, FALSE) / 24)</f>
        <v>45990.490211458338</v>
      </c>
      <c r="I1621" s="1" t="s">
        <v>1944</v>
      </c>
      <c r="J1621" s="1">
        <v>2062.19</v>
      </c>
    </row>
    <row r="1622" spans="1:10" x14ac:dyDescent="0.25">
      <c r="A1622" s="1" t="s">
        <v>435</v>
      </c>
      <c r="B1622" s="1" t="s">
        <v>436</v>
      </c>
      <c r="C1622" s="1" t="s">
        <v>1297</v>
      </c>
      <c r="D1622" s="1">
        <v>48.294499999999999</v>
      </c>
      <c r="E1622" s="1">
        <v>-105.0164</v>
      </c>
      <c r="F1622" s="1" t="s">
        <v>1923</v>
      </c>
      <c r="G1622" s="22">
        <v>1152.5990451096206</v>
      </c>
      <c r="H1622" s="20">
        <f ca="1">NOW() - TIME(5,30,0) + (VLOOKUP(MasterTable[[#This Row],[TimeZone]], $O$3:$P$8, 2, FALSE) / 24)</f>
        <v>45990.490211458338</v>
      </c>
      <c r="I1622" s="1" t="s">
        <v>1944</v>
      </c>
      <c r="J1622" s="1">
        <v>2369.65</v>
      </c>
    </row>
    <row r="1623" spans="1:10" x14ac:dyDescent="0.25">
      <c r="A1623" s="1" t="s">
        <v>435</v>
      </c>
      <c r="B1623" s="1" t="s">
        <v>436</v>
      </c>
      <c r="C1623" s="1" t="s">
        <v>1565</v>
      </c>
      <c r="D1623" s="1">
        <v>45.1327</v>
      </c>
      <c r="E1623" s="1">
        <v>-112.89879999999999</v>
      </c>
      <c r="F1623" s="1" t="s">
        <v>1923</v>
      </c>
      <c r="G1623" s="22">
        <v>898.36215118564689</v>
      </c>
      <c r="H1623" s="20">
        <f ca="1">NOW() - TIME(5,30,0) + (VLOOKUP(MasterTable[[#This Row],[TimeZone]], $O$3:$P$8, 2, FALSE) / 24)</f>
        <v>45990.490211458338</v>
      </c>
      <c r="I1623" s="1" t="s">
        <v>1944</v>
      </c>
      <c r="J1623" s="1">
        <v>5572.04</v>
      </c>
    </row>
    <row r="1624" spans="1:10" x14ac:dyDescent="0.25">
      <c r="A1624" s="1" t="s">
        <v>435</v>
      </c>
      <c r="B1624" s="1" t="s">
        <v>436</v>
      </c>
      <c r="C1624" s="1" t="s">
        <v>1569</v>
      </c>
      <c r="D1624" s="1">
        <v>46.0608</v>
      </c>
      <c r="E1624" s="1">
        <v>-113.06780000000001</v>
      </c>
      <c r="F1624" s="1" t="s">
        <v>1923</v>
      </c>
      <c r="G1624" s="22">
        <v>963.00949145307595</v>
      </c>
      <c r="H1624" s="20">
        <f ca="1">NOW() - TIME(5,30,0) + (VLOOKUP(MasterTable[[#This Row],[TimeZone]], $O$3:$P$8, 2, FALSE) / 24)</f>
        <v>45990.490211458338</v>
      </c>
      <c r="I1624" s="1" t="s">
        <v>1944</v>
      </c>
      <c r="J1624" s="1">
        <v>741.16</v>
      </c>
    </row>
    <row r="1625" spans="1:10" x14ac:dyDescent="0.25">
      <c r="A1625" s="1" t="s">
        <v>435</v>
      </c>
      <c r="B1625" s="1" t="s">
        <v>436</v>
      </c>
      <c r="C1625" s="1" t="s">
        <v>1585</v>
      </c>
      <c r="D1625" s="1">
        <v>45.668999999999997</v>
      </c>
      <c r="E1625" s="1">
        <v>-109.3952</v>
      </c>
      <c r="F1625" s="1" t="s">
        <v>1923</v>
      </c>
      <c r="G1625" s="22">
        <v>932.76340000748996</v>
      </c>
      <c r="H1625" s="20">
        <f ca="1">NOW() - TIME(5,30,0) + (VLOOKUP(MasterTable[[#This Row],[TimeZone]], $O$3:$P$8, 2, FALSE) / 24)</f>
        <v>45990.490211458338</v>
      </c>
      <c r="I1625" s="1" t="s">
        <v>1944</v>
      </c>
      <c r="J1625" s="1">
        <v>1804.61</v>
      </c>
    </row>
    <row r="1626" spans="1:10" x14ac:dyDescent="0.25">
      <c r="A1626" s="1" t="s">
        <v>435</v>
      </c>
      <c r="B1626" s="1" t="s">
        <v>436</v>
      </c>
      <c r="C1626" s="1" t="s">
        <v>244</v>
      </c>
      <c r="D1626" s="1">
        <v>45.300699999999999</v>
      </c>
      <c r="E1626" s="1">
        <v>-111.9203</v>
      </c>
      <c r="F1626" s="1" t="s">
        <v>1923</v>
      </c>
      <c r="G1626" s="22">
        <v>905.29195413442369</v>
      </c>
      <c r="H1626" s="20">
        <f ca="1">NOW() - TIME(5,30,0) + (VLOOKUP(MasterTable[[#This Row],[TimeZone]], $O$3:$P$8, 2, FALSE) / 24)</f>
        <v>45990.490211458338</v>
      </c>
      <c r="I1626" s="1" t="s">
        <v>1944</v>
      </c>
      <c r="J1626" s="1">
        <v>812.85</v>
      </c>
    </row>
    <row r="1627" spans="1:10" x14ac:dyDescent="0.25">
      <c r="A1627" s="1" t="s">
        <v>435</v>
      </c>
      <c r="B1627" s="1" t="s">
        <v>436</v>
      </c>
      <c r="C1627" s="1" t="s">
        <v>1095</v>
      </c>
      <c r="D1627" s="1">
        <v>47.266399999999997</v>
      </c>
      <c r="E1627" s="1">
        <v>-104.8995</v>
      </c>
      <c r="F1627" s="1" t="s">
        <v>1923</v>
      </c>
      <c r="G1627" s="22">
        <v>1086.8982638023301</v>
      </c>
      <c r="H1627" s="20">
        <f ca="1">NOW() - TIME(5,30,0) + (VLOOKUP(MasterTable[[#This Row],[TimeZone]], $O$3:$P$8, 2, FALSE) / 24)</f>
        <v>45990.490211458338</v>
      </c>
      <c r="I1627" s="1" t="s">
        <v>1944</v>
      </c>
      <c r="J1627" s="1">
        <v>213.93</v>
      </c>
    </row>
    <row r="1628" spans="1:10" x14ac:dyDescent="0.25">
      <c r="A1628" s="1" t="s">
        <v>435</v>
      </c>
      <c r="B1628" s="1" t="s">
        <v>436</v>
      </c>
      <c r="C1628" s="1" t="s">
        <v>1621</v>
      </c>
      <c r="D1628" s="1">
        <v>46.229700000000001</v>
      </c>
      <c r="E1628" s="1">
        <v>-106.7307</v>
      </c>
      <c r="F1628" s="1" t="s">
        <v>1923</v>
      </c>
      <c r="G1628" s="22">
        <v>993.24831159976782</v>
      </c>
      <c r="H1628" s="20">
        <f ca="1">NOW() - TIME(5,30,0) + (VLOOKUP(MasterTable[[#This Row],[TimeZone]], $O$3:$P$8, 2, FALSE) / 24)</f>
        <v>45990.490211458338</v>
      </c>
      <c r="I1628" s="1" t="s">
        <v>1944</v>
      </c>
      <c r="J1628" s="1">
        <v>5026.9399999999996</v>
      </c>
    </row>
    <row r="1629" spans="1:10" x14ac:dyDescent="0.25">
      <c r="A1629" s="1" t="s">
        <v>435</v>
      </c>
      <c r="B1629" s="1" t="s">
        <v>436</v>
      </c>
      <c r="C1629" s="1" t="s">
        <v>1497</v>
      </c>
      <c r="D1629" s="1">
        <v>48.365299999999998</v>
      </c>
      <c r="E1629" s="1">
        <v>-106.6675</v>
      </c>
      <c r="F1629" s="1" t="s">
        <v>1923</v>
      </c>
      <c r="G1629" s="22">
        <v>1137.3747424584976</v>
      </c>
      <c r="H1629" s="20">
        <f ca="1">NOW() - TIME(5,30,0) + (VLOOKUP(MasterTable[[#This Row],[TimeZone]], $O$3:$P$8, 2, FALSE) / 24)</f>
        <v>45990.490211458338</v>
      </c>
      <c r="I1629" s="1" t="s">
        <v>1944</v>
      </c>
      <c r="J1629" s="1">
        <v>3733.66</v>
      </c>
    </row>
    <row r="1630" spans="1:10" x14ac:dyDescent="0.25">
      <c r="A1630" s="1" t="s">
        <v>435</v>
      </c>
      <c r="B1630" s="1" t="s">
        <v>436</v>
      </c>
      <c r="C1630" s="1" t="s">
        <v>1658</v>
      </c>
      <c r="D1630" s="1">
        <v>46.3324</v>
      </c>
      <c r="E1630" s="1">
        <v>-111.49550000000001</v>
      </c>
      <c r="F1630" s="1" t="s">
        <v>1923</v>
      </c>
      <c r="G1630" s="22">
        <v>975.4829377645184</v>
      </c>
      <c r="H1630" s="20">
        <f ca="1">NOW() - TIME(5,30,0) + (VLOOKUP(MasterTable[[#This Row],[TimeZone]], $O$3:$P$8, 2, FALSE) / 24)</f>
        <v>45990.490211458338</v>
      </c>
      <c r="I1630" s="1" t="s">
        <v>1944</v>
      </c>
      <c r="J1630" s="1">
        <v>1238.94</v>
      </c>
    </row>
    <row r="1631" spans="1:10" x14ac:dyDescent="0.25">
      <c r="A1631" s="1" t="s">
        <v>435</v>
      </c>
      <c r="B1631" s="1" t="s">
        <v>436</v>
      </c>
      <c r="C1631" s="1" t="s">
        <v>1466</v>
      </c>
      <c r="D1631" s="1">
        <v>46.856400000000001</v>
      </c>
      <c r="E1631" s="1">
        <v>-112.9361</v>
      </c>
      <c r="F1631" s="1" t="s">
        <v>1923</v>
      </c>
      <c r="G1631" s="22">
        <v>1016.7827986704175</v>
      </c>
      <c r="H1631" s="20">
        <f ca="1">NOW() - TIME(5,30,0) + (VLOOKUP(MasterTable[[#This Row],[TimeZone]], $O$3:$P$8, 2, FALSE) / 24)</f>
        <v>45990.490211458338</v>
      </c>
      <c r="I1631" s="1" t="s">
        <v>1944</v>
      </c>
      <c r="J1631" s="1">
        <v>180.2</v>
      </c>
    </row>
    <row r="1632" spans="1:10" x14ac:dyDescent="0.25">
      <c r="A1632" s="1" t="s">
        <v>435</v>
      </c>
      <c r="B1632" s="1" t="s">
        <v>436</v>
      </c>
      <c r="C1632" s="1" t="s">
        <v>1182</v>
      </c>
      <c r="D1632" s="1">
        <v>48.432699999999997</v>
      </c>
      <c r="E1632" s="1">
        <v>-108.9586</v>
      </c>
      <c r="F1632" s="1" t="s">
        <v>1923</v>
      </c>
      <c r="G1632" s="22">
        <v>1124.8260624269346</v>
      </c>
      <c r="H1632" s="20">
        <f ca="1">NOW() - TIME(5,30,0) + (VLOOKUP(MasterTable[[#This Row],[TimeZone]], $O$3:$P$8, 2, FALSE) / 24)</f>
        <v>45990.490211458338</v>
      </c>
      <c r="I1632" s="1" t="s">
        <v>1944</v>
      </c>
      <c r="J1632" s="1">
        <v>2661.02</v>
      </c>
    </row>
    <row r="1633" spans="1:10" x14ac:dyDescent="0.25">
      <c r="A1633" s="1" t="s">
        <v>435</v>
      </c>
      <c r="B1633" s="1" t="s">
        <v>436</v>
      </c>
      <c r="C1633" s="1" t="s">
        <v>1201</v>
      </c>
      <c r="D1633" s="1">
        <v>47.8371</v>
      </c>
      <c r="E1633" s="1">
        <v>-112.24079999999999</v>
      </c>
      <c r="F1633" s="1" t="s">
        <v>1923</v>
      </c>
      <c r="G1633" s="22">
        <v>1081.1815246186836</v>
      </c>
      <c r="H1633" s="20">
        <f ca="1">NOW() - TIME(5,30,0) + (VLOOKUP(MasterTable[[#This Row],[TimeZone]], $O$3:$P$8, 2, FALSE) / 24)</f>
        <v>45990.490211458338</v>
      </c>
      <c r="I1633" s="1" t="s">
        <v>1944</v>
      </c>
      <c r="J1633" s="1">
        <v>450.57</v>
      </c>
    </row>
    <row r="1634" spans="1:10" x14ac:dyDescent="0.25">
      <c r="A1634" s="1" t="s">
        <v>435</v>
      </c>
      <c r="B1634" s="1" t="s">
        <v>436</v>
      </c>
      <c r="C1634" s="1" t="s">
        <v>1711</v>
      </c>
      <c r="D1634" s="1">
        <v>48.227800000000002</v>
      </c>
      <c r="E1634" s="1">
        <v>-112.22629999999999</v>
      </c>
      <c r="F1634" s="1" t="s">
        <v>1923</v>
      </c>
      <c r="G1634" s="22">
        <v>1108.0630287244383</v>
      </c>
      <c r="H1634" s="20">
        <f ca="1">NOW() - TIME(5,30,0) + (VLOOKUP(MasterTable[[#This Row],[TimeZone]], $O$3:$P$8, 2, FALSE) / 24)</f>
        <v>45990.490211458338</v>
      </c>
      <c r="I1634" s="1" t="s">
        <v>1944</v>
      </c>
      <c r="J1634" s="1">
        <v>1639.85</v>
      </c>
    </row>
    <row r="1635" spans="1:10" x14ac:dyDescent="0.25">
      <c r="A1635" s="1" t="s">
        <v>435</v>
      </c>
      <c r="B1635" s="1" t="s">
        <v>436</v>
      </c>
      <c r="C1635" s="1" t="s">
        <v>1714</v>
      </c>
      <c r="D1635" s="1">
        <v>47.880600000000001</v>
      </c>
      <c r="E1635" s="1">
        <v>-110.4353</v>
      </c>
      <c r="F1635" s="1" t="s">
        <v>1923</v>
      </c>
      <c r="G1635" s="22">
        <v>1082.2979667638012</v>
      </c>
      <c r="H1635" s="20">
        <f ca="1">NOW() - TIME(5,30,0) + (VLOOKUP(MasterTable[[#This Row],[TimeZone]], $O$3:$P$8, 2, FALSE) / 24)</f>
        <v>45990.490211458338</v>
      </c>
      <c r="I1635" s="1" t="s">
        <v>1944</v>
      </c>
      <c r="J1635" s="1">
        <v>3997</v>
      </c>
    </row>
    <row r="1636" spans="1:10" x14ac:dyDescent="0.25">
      <c r="A1636" s="1" t="s">
        <v>435</v>
      </c>
      <c r="B1636" s="1" t="s">
        <v>436</v>
      </c>
      <c r="C1636" s="1" t="s">
        <v>1752</v>
      </c>
      <c r="D1636" s="1">
        <v>46.496600000000001</v>
      </c>
      <c r="E1636" s="1">
        <v>-108.3981</v>
      </c>
      <c r="F1636" s="1" t="s">
        <v>1923</v>
      </c>
      <c r="G1636" s="22">
        <v>995.42344129470303</v>
      </c>
      <c r="H1636" s="20">
        <f ca="1">NOW() - TIME(5,30,0) + (VLOOKUP(MasterTable[[#This Row],[TimeZone]], $O$3:$P$8, 2, FALSE) / 24)</f>
        <v>45990.490211458338</v>
      </c>
      <c r="I1636" s="1" t="s">
        <v>1944</v>
      </c>
      <c r="J1636" s="1">
        <v>1870.91</v>
      </c>
    </row>
    <row r="1637" spans="1:10" x14ac:dyDescent="0.25">
      <c r="A1637" s="1" t="s">
        <v>435</v>
      </c>
      <c r="B1637" s="1" t="s">
        <v>436</v>
      </c>
      <c r="C1637" s="1" t="s">
        <v>1754</v>
      </c>
      <c r="D1637" s="1">
        <v>48.6554</v>
      </c>
      <c r="E1637" s="1">
        <v>-111.6956</v>
      </c>
      <c r="F1637" s="1" t="s">
        <v>1923</v>
      </c>
      <c r="G1637" s="22">
        <v>1136.2333399851755</v>
      </c>
      <c r="H1637" s="20">
        <f ca="1">NOW() - TIME(5,30,0) + (VLOOKUP(MasterTable[[#This Row],[TimeZone]], $O$3:$P$8, 2, FALSE) / 24)</f>
        <v>45990.490211458338</v>
      </c>
      <c r="I1637" s="1" t="s">
        <v>1944</v>
      </c>
      <c r="J1637" s="1">
        <v>1945.86</v>
      </c>
    </row>
    <row r="1638" spans="1:10" x14ac:dyDescent="0.25">
      <c r="A1638" s="1" t="s">
        <v>435</v>
      </c>
      <c r="B1638" s="1" t="s">
        <v>436</v>
      </c>
      <c r="C1638" s="1" t="s">
        <v>1127</v>
      </c>
      <c r="D1638" s="1">
        <v>47.147199999999998</v>
      </c>
      <c r="E1638" s="1">
        <v>-114.9983</v>
      </c>
      <c r="F1638" s="1" t="s">
        <v>1923</v>
      </c>
      <c r="G1638" s="22">
        <v>1053.4085952232322</v>
      </c>
      <c r="H1638" s="20">
        <f ca="1">NOW() - TIME(5,30,0) + (VLOOKUP(MasterTable[[#This Row],[TimeZone]], $O$3:$P$8, 2, FALSE) / 24)</f>
        <v>45990.490211458338</v>
      </c>
      <c r="I1638" s="1" t="s">
        <v>1944</v>
      </c>
      <c r="J1638" s="1">
        <v>877.7</v>
      </c>
    </row>
    <row r="1639" spans="1:10" x14ac:dyDescent="0.25">
      <c r="A1639" s="1" t="s">
        <v>435</v>
      </c>
      <c r="B1639" s="1" t="s">
        <v>436</v>
      </c>
      <c r="C1639" s="1" t="s">
        <v>1381</v>
      </c>
      <c r="D1639" s="1">
        <v>48.2592</v>
      </c>
      <c r="E1639" s="1">
        <v>-107.91330000000001</v>
      </c>
      <c r="F1639" s="1" t="s">
        <v>1923</v>
      </c>
      <c r="G1639" s="22">
        <v>1119.2572904324227</v>
      </c>
      <c r="H1639" s="20">
        <f ca="1">NOW() - TIME(5,30,0) + (VLOOKUP(MasterTable[[#This Row],[TimeZone]], $O$3:$P$8, 2, FALSE) / 24)</f>
        <v>45990.490211458338</v>
      </c>
      <c r="I1639" s="1" t="s">
        <v>1944</v>
      </c>
      <c r="J1639" s="1">
        <v>727.29</v>
      </c>
    </row>
    <row r="1640" spans="1:10" x14ac:dyDescent="0.25">
      <c r="A1640" s="1" t="s">
        <v>435</v>
      </c>
      <c r="B1640" s="1" t="s">
        <v>436</v>
      </c>
      <c r="C1640" s="1" t="s">
        <v>1790</v>
      </c>
      <c r="D1640" s="1">
        <v>45.813800000000001</v>
      </c>
      <c r="E1640" s="1">
        <v>-109.941</v>
      </c>
      <c r="F1640" s="1" t="s">
        <v>1923</v>
      </c>
      <c r="G1640" s="22">
        <v>940.64950569506414</v>
      </c>
      <c r="H1640" s="20">
        <f ca="1">NOW() - TIME(5,30,0) + (VLOOKUP(MasterTable[[#This Row],[TimeZone]], $O$3:$P$8, 2, FALSE) / 24)</f>
        <v>45990.490211458338</v>
      </c>
      <c r="I1640" s="1" t="s">
        <v>1944</v>
      </c>
      <c r="J1640" s="1">
        <v>1862</v>
      </c>
    </row>
    <row r="1641" spans="1:10" x14ac:dyDescent="0.25">
      <c r="A1641" s="1" t="s">
        <v>435</v>
      </c>
      <c r="B1641" s="1" t="s">
        <v>436</v>
      </c>
      <c r="C1641" s="1" t="s">
        <v>1051</v>
      </c>
      <c r="D1641" s="1">
        <v>48.721200000000003</v>
      </c>
      <c r="E1641" s="1">
        <v>-104.5047</v>
      </c>
      <c r="F1641" s="1" t="s">
        <v>1923</v>
      </c>
      <c r="G1641" s="22">
        <v>1187.9175258136308</v>
      </c>
      <c r="H1641" s="20">
        <f ca="1">NOW() - TIME(5,30,0) + (VLOOKUP(MasterTable[[#This Row],[TimeZone]], $O$3:$P$8, 2, FALSE) / 24)</f>
        <v>45990.490211458338</v>
      </c>
      <c r="I1641" s="1" t="s">
        <v>1944</v>
      </c>
      <c r="J1641" s="1">
        <v>896.61</v>
      </c>
    </row>
    <row r="1642" spans="1:10" x14ac:dyDescent="0.25">
      <c r="A1642" s="1" t="s">
        <v>435</v>
      </c>
      <c r="B1642" s="1" t="s">
        <v>436</v>
      </c>
      <c r="C1642" s="1" t="s">
        <v>1802</v>
      </c>
      <c r="D1642" s="1">
        <v>46.404499999999999</v>
      </c>
      <c r="E1642" s="1">
        <v>-113.4404</v>
      </c>
      <c r="F1642" s="1" t="s">
        <v>1923</v>
      </c>
      <c r="G1642" s="22">
        <v>989.02802328745247</v>
      </c>
      <c r="H1642" s="20">
        <f ca="1">NOW() - TIME(5,30,0) + (VLOOKUP(MasterTable[[#This Row],[TimeZone]], $O$3:$P$8, 2, FALSE) / 24)</f>
        <v>45990.490211458338</v>
      </c>
      <c r="I1642" s="1" t="s">
        <v>1944</v>
      </c>
      <c r="J1642" s="1">
        <v>1733.11</v>
      </c>
    </row>
    <row r="1643" spans="1:10" x14ac:dyDescent="0.25">
      <c r="A1643" s="1" t="s">
        <v>435</v>
      </c>
      <c r="B1643" s="1" t="s">
        <v>436</v>
      </c>
      <c r="C1643" s="1" t="s">
        <v>1830</v>
      </c>
      <c r="D1643" s="1">
        <v>46.334000000000003</v>
      </c>
      <c r="E1643" s="1">
        <v>-104.4174</v>
      </c>
      <c r="F1643" s="1" t="s">
        <v>1923</v>
      </c>
      <c r="G1643" s="22">
        <v>1034.4953261763787</v>
      </c>
      <c r="H1643" s="20">
        <f ca="1">NOW() - TIME(5,30,0) + (VLOOKUP(MasterTable[[#This Row],[TimeZone]], $O$3:$P$8, 2, FALSE) / 24)</f>
        <v>45990.490211458338</v>
      </c>
      <c r="I1643" s="1" t="s">
        <v>1944</v>
      </c>
      <c r="J1643" s="1">
        <v>1623.02</v>
      </c>
    </row>
    <row r="1644" spans="1:10" x14ac:dyDescent="0.25">
      <c r="A1644" s="1" t="s">
        <v>435</v>
      </c>
      <c r="B1644" s="1" t="s">
        <v>436</v>
      </c>
      <c r="C1644" s="1" t="s">
        <v>1862</v>
      </c>
      <c r="D1644" s="1">
        <v>47.045400000000001</v>
      </c>
      <c r="E1644" s="1">
        <v>-110.26600000000001</v>
      </c>
      <c r="F1644" s="1" t="s">
        <v>1923</v>
      </c>
      <c r="G1644" s="22">
        <v>1024.8744290527231</v>
      </c>
      <c r="H1644" s="20">
        <f ca="1">NOW() - TIME(5,30,0) + (VLOOKUP(MasterTable[[#This Row],[TimeZone]], $O$3:$P$8, 2, FALSE) / 24)</f>
        <v>45990.490211458338</v>
      </c>
      <c r="I1644" s="1" t="s">
        <v>1944</v>
      </c>
      <c r="J1644" s="1">
        <v>1870.71</v>
      </c>
    </row>
    <row r="1645" spans="1:10" x14ac:dyDescent="0.25">
      <c r="A1645" s="1" t="s">
        <v>435</v>
      </c>
      <c r="B1645" s="1" t="s">
        <v>436</v>
      </c>
      <c r="C1645" s="1" t="s">
        <v>1863</v>
      </c>
      <c r="D1645" s="1">
        <v>46.466299999999997</v>
      </c>
      <c r="E1645" s="1">
        <v>-109.8446</v>
      </c>
      <c r="F1645" s="1" t="s">
        <v>1923</v>
      </c>
      <c r="G1645" s="22">
        <v>985.93744946962556</v>
      </c>
      <c r="H1645" s="20">
        <f ca="1">NOW() - TIME(5,30,0) + (VLOOKUP(MasterTable[[#This Row],[TimeZone]], $O$3:$P$8, 2, FALSE) / 24)</f>
        <v>45990.490211458338</v>
      </c>
      <c r="I1645" s="1" t="s">
        <v>1944</v>
      </c>
      <c r="J1645" s="1">
        <v>1428.29</v>
      </c>
    </row>
    <row r="1646" spans="1:10" x14ac:dyDescent="0.25">
      <c r="A1646" s="1" t="s">
        <v>435</v>
      </c>
      <c r="B1646" s="1" t="s">
        <v>436</v>
      </c>
      <c r="C1646" s="1" t="s">
        <v>1867</v>
      </c>
      <c r="D1646" s="1">
        <v>46.598199999999999</v>
      </c>
      <c r="E1646" s="1">
        <v>-110.8857</v>
      </c>
      <c r="F1646" s="1" t="s">
        <v>1923</v>
      </c>
      <c r="G1646" s="22">
        <v>993.38378194553729</v>
      </c>
      <c r="H1646" s="20">
        <f ca="1">NOW() - TIME(5,30,0) + (VLOOKUP(MasterTable[[#This Row],[TimeZone]], $O$3:$P$8, 2, FALSE) / 24)</f>
        <v>45990.490211458338</v>
      </c>
      <c r="I1646" s="1" t="s">
        <v>1944</v>
      </c>
      <c r="J1646" s="1">
        <v>2394.83</v>
      </c>
    </row>
    <row r="1647" spans="1:10" x14ac:dyDescent="0.25">
      <c r="A1647" s="1" t="s">
        <v>435</v>
      </c>
      <c r="B1647" s="1" t="s">
        <v>436</v>
      </c>
      <c r="C1647" s="1" t="s">
        <v>603</v>
      </c>
      <c r="D1647" s="1">
        <v>48.561700000000002</v>
      </c>
      <c r="E1647" s="1">
        <v>-111.02460000000001</v>
      </c>
      <c r="F1647" s="1" t="s">
        <v>1923</v>
      </c>
      <c r="G1647" s="22">
        <v>1129.066088687129</v>
      </c>
      <c r="H1647" s="20">
        <f ca="1">NOW() - TIME(5,30,0) + (VLOOKUP(MasterTable[[#This Row],[TimeZone]], $O$3:$P$8, 2, FALSE) / 24)</f>
        <v>45990.490211458338</v>
      </c>
      <c r="I1647" s="1" t="s">
        <v>1944</v>
      </c>
      <c r="J1647" s="1">
        <v>843.16</v>
      </c>
    </row>
    <row r="1648" spans="1:10" x14ac:dyDescent="0.25">
      <c r="A1648" s="1" t="s">
        <v>435</v>
      </c>
      <c r="B1648" s="1" t="s">
        <v>436</v>
      </c>
      <c r="C1648" s="1" t="s">
        <v>1871</v>
      </c>
      <c r="D1648" s="1">
        <v>47.645200000000003</v>
      </c>
      <c r="E1648" s="1">
        <v>-105.7954</v>
      </c>
      <c r="F1648" s="1" t="s">
        <v>1923</v>
      </c>
      <c r="G1648" s="22">
        <v>1099.2140141423383</v>
      </c>
      <c r="H1648" s="20">
        <f ca="1">NOW() - TIME(5,30,0) + (VLOOKUP(MasterTable[[#This Row],[TimeZone]], $O$3:$P$8, 2, FALSE) / 24)</f>
        <v>45990.490211458338</v>
      </c>
      <c r="I1648" s="1" t="s">
        <v>1944</v>
      </c>
      <c r="J1648" s="1">
        <v>2682.77</v>
      </c>
    </row>
    <row r="1649" spans="1:10" x14ac:dyDescent="0.25">
      <c r="A1649" s="1" t="s">
        <v>435</v>
      </c>
      <c r="B1649" s="1" t="s">
        <v>436</v>
      </c>
      <c r="C1649" s="1" t="s">
        <v>1873</v>
      </c>
      <c r="D1649" s="1">
        <v>45.395000000000003</v>
      </c>
      <c r="E1649" s="1">
        <v>-105.6302</v>
      </c>
      <c r="F1649" s="1" t="s">
        <v>1923</v>
      </c>
      <c r="G1649" s="22">
        <v>953.30345871916484</v>
      </c>
      <c r="H1649" s="20">
        <f ca="1">NOW() - TIME(5,30,0) + (VLOOKUP(MasterTable[[#This Row],[TimeZone]], $O$3:$P$8, 2, FALSE) / 24)</f>
        <v>45990.490211458338</v>
      </c>
      <c r="I1649" s="1" t="s">
        <v>1944</v>
      </c>
      <c r="J1649" s="1">
        <v>3297.94</v>
      </c>
    </row>
    <row r="1650" spans="1:10" x14ac:dyDescent="0.25">
      <c r="A1650" s="1" t="s">
        <v>435</v>
      </c>
      <c r="B1650" s="1" t="s">
        <v>436</v>
      </c>
      <c r="C1650" s="1" t="s">
        <v>1885</v>
      </c>
      <c r="D1650" s="1">
        <v>48.783799999999999</v>
      </c>
      <c r="E1650" s="1">
        <v>-105.5485</v>
      </c>
      <c r="F1650" s="1" t="s">
        <v>1923</v>
      </c>
      <c r="G1650" s="22">
        <v>1178.0014798327845</v>
      </c>
      <c r="H1650" s="20">
        <f ca="1">NOW() - TIME(5,30,0) + (VLOOKUP(MasterTable[[#This Row],[TimeZone]], $O$3:$P$8, 2, FALSE) / 24)</f>
        <v>45990.490211458338</v>
      </c>
      <c r="I1650" s="1" t="s">
        <v>1944</v>
      </c>
      <c r="J1650" s="1">
        <v>1426.52</v>
      </c>
    </row>
    <row r="1651" spans="1:10" x14ac:dyDescent="0.25">
      <c r="A1651" s="1" t="s">
        <v>435</v>
      </c>
      <c r="B1651" s="1" t="s">
        <v>436</v>
      </c>
      <c r="C1651" s="1" t="s">
        <v>803</v>
      </c>
      <c r="D1651" s="1">
        <v>45.516800000000003</v>
      </c>
      <c r="E1651" s="1">
        <v>-104.53619999999999</v>
      </c>
      <c r="F1651" s="1" t="s">
        <v>1923</v>
      </c>
      <c r="G1651" s="22">
        <v>980.05404769836025</v>
      </c>
      <c r="H1651" s="20">
        <f ca="1">NOW() - TIME(5,30,0) + (VLOOKUP(MasterTable[[#This Row],[TimeZone]], $O$3:$P$8, 2, FALSE) / 24)</f>
        <v>45990.490211458338</v>
      </c>
      <c r="I1651" s="1" t="s">
        <v>1944</v>
      </c>
      <c r="J1651" s="1">
        <v>412.15</v>
      </c>
    </row>
    <row r="1652" spans="1:10" x14ac:dyDescent="0.25">
      <c r="A1652" s="1" t="s">
        <v>435</v>
      </c>
      <c r="B1652" s="1" t="s">
        <v>436</v>
      </c>
      <c r="C1652" s="1" t="s">
        <v>1624</v>
      </c>
      <c r="D1652" s="1">
        <v>46.860500000000002</v>
      </c>
      <c r="E1652" s="1">
        <v>-105.378</v>
      </c>
      <c r="F1652" s="1" t="s">
        <v>1923</v>
      </c>
      <c r="G1652" s="22">
        <v>1053.1264649230579</v>
      </c>
      <c r="H1652" s="20">
        <f ca="1">NOW() - TIME(5,30,0) + (VLOOKUP(MasterTable[[#This Row],[TimeZone]], $O$3:$P$8, 2, FALSE) / 24)</f>
        <v>45990.490211458338</v>
      </c>
      <c r="I1652" s="1" t="s">
        <v>1944</v>
      </c>
      <c r="J1652" s="1">
        <v>675.76</v>
      </c>
    </row>
    <row r="1653" spans="1:10" x14ac:dyDescent="0.25">
      <c r="A1653" s="1" t="s">
        <v>435</v>
      </c>
      <c r="B1653" s="1" t="s">
        <v>436</v>
      </c>
      <c r="C1653" s="1" t="s">
        <v>1896</v>
      </c>
      <c r="D1653" s="1">
        <v>46.965299999999999</v>
      </c>
      <c r="E1653" s="1">
        <v>-104.249</v>
      </c>
      <c r="F1653" s="1" t="s">
        <v>1923</v>
      </c>
      <c r="G1653" s="22">
        <v>1077.9906261825417</v>
      </c>
      <c r="H1653" s="20">
        <f ca="1">NOW() - TIME(5,30,0) + (VLOOKUP(MasterTable[[#This Row],[TimeZone]], $O$3:$P$8, 2, FALSE) / 24)</f>
        <v>45990.490211458338</v>
      </c>
      <c r="I1653" s="1" t="s">
        <v>1944</v>
      </c>
      <c r="J1653" s="1">
        <v>890.09</v>
      </c>
    </row>
    <row r="1654" spans="1:10" x14ac:dyDescent="0.25">
      <c r="A1654" s="1" t="s">
        <v>435</v>
      </c>
      <c r="B1654" s="1" t="s">
        <v>436</v>
      </c>
      <c r="C1654" s="1" t="s">
        <v>765</v>
      </c>
      <c r="D1654" s="1">
        <v>47.2776</v>
      </c>
      <c r="E1654" s="1">
        <v>-106.99290000000001</v>
      </c>
      <c r="F1654" s="1" t="s">
        <v>1923</v>
      </c>
      <c r="G1654" s="22">
        <v>1060.7383981733919</v>
      </c>
      <c r="H1654" s="20">
        <f ca="1">NOW() - TIME(5,30,0) + (VLOOKUP(MasterTable[[#This Row],[TimeZone]], $O$3:$P$8, 2, FALSE) / 24)</f>
        <v>45990.490211458338</v>
      </c>
      <c r="I1654" s="1" t="s">
        <v>1944</v>
      </c>
      <c r="J1654" s="1">
        <v>2955.76</v>
      </c>
    </row>
    <row r="1655" spans="1:10" x14ac:dyDescent="0.25">
      <c r="A1655" s="1" t="s">
        <v>435</v>
      </c>
      <c r="B1655" s="1" t="s">
        <v>436</v>
      </c>
      <c r="C1655" s="1" t="s">
        <v>1878</v>
      </c>
      <c r="D1655" s="1">
        <v>46.3812</v>
      </c>
      <c r="E1655" s="1">
        <v>-109.1752</v>
      </c>
      <c r="F1655" s="1" t="s">
        <v>1923</v>
      </c>
      <c r="G1655" s="22">
        <v>982.78946859909092</v>
      </c>
      <c r="H1655" s="20">
        <f ca="1">NOW() - TIME(5,30,0) + (VLOOKUP(MasterTable[[#This Row],[TimeZone]], $O$3:$P$8, 2, FALSE) / 24)</f>
        <v>45990.490211458338</v>
      </c>
      <c r="I1655" s="1" t="s">
        <v>1944</v>
      </c>
      <c r="J1655" s="1">
        <v>1176.4000000000001</v>
      </c>
    </row>
    <row r="1656" spans="1:10" x14ac:dyDescent="0.25">
      <c r="A1656" s="1" t="s">
        <v>435</v>
      </c>
      <c r="B1656" s="1" t="s">
        <v>436</v>
      </c>
      <c r="C1656" s="1" t="s">
        <v>1909</v>
      </c>
      <c r="D1656" s="1">
        <v>46.211500000000001</v>
      </c>
      <c r="E1656" s="1">
        <v>-107.27160000000001</v>
      </c>
      <c r="F1656" s="1" t="s">
        <v>1923</v>
      </c>
      <c r="G1656" s="22">
        <v>985.9717852888524</v>
      </c>
      <c r="H1656" s="20">
        <f ca="1">NOW() - TIME(5,30,0) + (VLOOKUP(MasterTable[[#This Row],[TimeZone]], $O$3:$P$8, 2, FALSE) / 24)</f>
        <v>45990.490211458338</v>
      </c>
      <c r="I1656" s="1" t="s">
        <v>1944</v>
      </c>
      <c r="J1656" s="1">
        <v>984.11</v>
      </c>
    </row>
    <row r="1657" spans="1:10" x14ac:dyDescent="0.25">
      <c r="A1657" s="1" t="s">
        <v>435</v>
      </c>
      <c r="B1657" s="1" t="s">
        <v>436</v>
      </c>
      <c r="C1657" s="1" t="s">
        <v>1918</v>
      </c>
      <c r="D1657" s="1">
        <v>47.1175</v>
      </c>
      <c r="E1657" s="1">
        <v>-108.25020000000001</v>
      </c>
      <c r="F1657" s="1" t="s">
        <v>1923</v>
      </c>
      <c r="G1657" s="22">
        <v>1038.89045774785</v>
      </c>
      <c r="H1657" s="20">
        <f ca="1">NOW() - TIME(5,30,0) + (VLOOKUP(MasterTable[[#This Row],[TimeZone]], $O$3:$P$8, 2, FALSE) / 24)</f>
        <v>45990.490211458338</v>
      </c>
      <c r="I1657" s="1" t="s">
        <v>1944</v>
      </c>
      <c r="J1657" s="1">
        <v>1674.01</v>
      </c>
    </row>
    <row r="1658" spans="1:10" x14ac:dyDescent="0.25">
      <c r="A1658" s="1" t="s">
        <v>65</v>
      </c>
      <c r="B1658" s="1" t="s">
        <v>66</v>
      </c>
      <c r="C1658" s="1" t="s">
        <v>64</v>
      </c>
      <c r="D1658" s="1">
        <v>35.790300000000002</v>
      </c>
      <c r="E1658" s="1">
        <v>-78.650300000000001</v>
      </c>
      <c r="F1658" s="1" t="s">
        <v>1925</v>
      </c>
      <c r="G1658" s="22">
        <v>1856.7226237656266</v>
      </c>
      <c r="H1658" s="20">
        <f ca="1">NOW() - TIME(5,30,0) + (VLOOKUP(MasterTable[[#This Row],[TimeZone]], $O$3:$P$8, 2, FALSE) / 24)</f>
        <v>45990.573544791667</v>
      </c>
      <c r="I1658" s="1" t="s">
        <v>1944</v>
      </c>
      <c r="J1658" s="1">
        <v>857.26</v>
      </c>
    </row>
    <row r="1659" spans="1:10" x14ac:dyDescent="0.25">
      <c r="A1659" s="1" t="s">
        <v>65</v>
      </c>
      <c r="B1659" s="1" t="s">
        <v>66</v>
      </c>
      <c r="C1659" s="1" t="s">
        <v>70</v>
      </c>
      <c r="D1659" s="1">
        <v>35.246699999999997</v>
      </c>
      <c r="E1659" s="1">
        <v>-80.832800000000006</v>
      </c>
      <c r="F1659" s="1" t="s">
        <v>1925</v>
      </c>
      <c r="G1659" s="22">
        <v>1735.1980256041707</v>
      </c>
      <c r="H1659" s="20">
        <f ca="1">NOW() - TIME(5,30,0) + (VLOOKUP(MasterTable[[#This Row],[TimeZone]], $O$3:$P$8, 2, FALSE) / 24)</f>
        <v>45990.573544791667</v>
      </c>
      <c r="I1659" s="1" t="s">
        <v>1944</v>
      </c>
      <c r="J1659" s="1">
        <v>546.22</v>
      </c>
    </row>
    <row r="1660" spans="1:10" x14ac:dyDescent="0.25">
      <c r="A1660" s="1" t="s">
        <v>65</v>
      </c>
      <c r="B1660" s="1" t="s">
        <v>66</v>
      </c>
      <c r="C1660" s="1" t="s">
        <v>185</v>
      </c>
      <c r="D1660" s="1">
        <v>36.079500000000003</v>
      </c>
      <c r="E1660" s="1">
        <v>-79.788899999999998</v>
      </c>
      <c r="F1660" s="1" t="s">
        <v>1925</v>
      </c>
      <c r="G1660" s="22">
        <v>1792.6176950541887</v>
      </c>
      <c r="H1660" s="20">
        <f ca="1">NOW() - TIME(5,30,0) + (VLOOKUP(MasterTable[[#This Row],[TimeZone]], $O$3:$P$8, 2, FALSE) / 24)</f>
        <v>45990.573544791667</v>
      </c>
      <c r="I1660" s="1" t="s">
        <v>1944</v>
      </c>
      <c r="J1660" s="1">
        <v>657.7</v>
      </c>
    </row>
    <row r="1661" spans="1:10" x14ac:dyDescent="0.25">
      <c r="A1661" s="1" t="s">
        <v>65</v>
      </c>
      <c r="B1661" s="1" t="s">
        <v>66</v>
      </c>
      <c r="C1661" s="1" t="s">
        <v>248</v>
      </c>
      <c r="D1661" s="1">
        <v>36.130600000000001</v>
      </c>
      <c r="E1661" s="1">
        <v>-80.256399999999999</v>
      </c>
      <c r="F1661" s="1" t="s">
        <v>1925</v>
      </c>
      <c r="G1661" s="22">
        <v>1766.4947116916214</v>
      </c>
      <c r="H1661" s="20">
        <f ca="1">NOW() - TIME(5,30,0) + (VLOOKUP(MasterTable[[#This Row],[TimeZone]], $O$3:$P$8, 2, FALSE) / 24)</f>
        <v>45990.573544791667</v>
      </c>
      <c r="I1661" s="1" t="s">
        <v>1944</v>
      </c>
      <c r="J1661" s="1">
        <v>247.37</v>
      </c>
    </row>
    <row r="1662" spans="1:10" x14ac:dyDescent="0.25">
      <c r="A1662" s="1" t="s">
        <v>65</v>
      </c>
      <c r="B1662" s="1" t="s">
        <v>66</v>
      </c>
      <c r="C1662" s="1" t="s">
        <v>271</v>
      </c>
      <c r="D1662" s="1">
        <v>35.048699999999997</v>
      </c>
      <c r="E1662" s="1">
        <v>-78.827699999999993</v>
      </c>
      <c r="F1662" s="1" t="s">
        <v>1925</v>
      </c>
      <c r="G1662" s="22">
        <v>1848.9668387825568</v>
      </c>
      <c r="H1662" s="20">
        <f ca="1">NOW() - TIME(5,30,0) + (VLOOKUP(MasterTable[[#This Row],[TimeZone]], $O$3:$P$8, 2, FALSE) / 24)</f>
        <v>45990.573544791667</v>
      </c>
      <c r="I1662" s="1" t="s">
        <v>1944</v>
      </c>
      <c r="J1662" s="1">
        <v>347</v>
      </c>
    </row>
    <row r="1663" spans="1:10" x14ac:dyDescent="0.25">
      <c r="A1663" s="1" t="s">
        <v>65</v>
      </c>
      <c r="B1663" s="1" t="s">
        <v>66</v>
      </c>
      <c r="C1663" s="1" t="s">
        <v>274</v>
      </c>
      <c r="D1663" s="1">
        <v>36.036000000000001</v>
      </c>
      <c r="E1663" s="1">
        <v>-78.876599999999996</v>
      </c>
      <c r="F1663" s="1" t="s">
        <v>1925</v>
      </c>
      <c r="G1663" s="22">
        <v>1843.6192761813581</v>
      </c>
      <c r="H1663" s="20">
        <f ca="1">NOW() - TIME(5,30,0) + (VLOOKUP(MasterTable[[#This Row],[TimeZone]], $O$3:$P$8, 2, FALSE) / 24)</f>
        <v>45990.573544791667</v>
      </c>
      <c r="I1663" s="1" t="s">
        <v>1944</v>
      </c>
      <c r="J1663" s="1">
        <v>297.79000000000002</v>
      </c>
    </row>
    <row r="1664" spans="1:10" x14ac:dyDescent="0.25">
      <c r="A1664" s="1" t="s">
        <v>65</v>
      </c>
      <c r="B1664" s="1" t="s">
        <v>66</v>
      </c>
      <c r="C1664" s="1" t="s">
        <v>315</v>
      </c>
      <c r="D1664" s="1">
        <v>35.611199999999997</v>
      </c>
      <c r="E1664" s="1">
        <v>-82.530100000000004</v>
      </c>
      <c r="F1664" s="1" t="s">
        <v>1925</v>
      </c>
      <c r="G1664" s="22">
        <v>1639.2534274095683</v>
      </c>
      <c r="H1664" s="20">
        <f ca="1">NOW() - TIME(5,30,0) + (VLOOKUP(MasterTable[[#This Row],[TimeZone]], $O$3:$P$8, 2, FALSE) / 24)</f>
        <v>45990.573544791667</v>
      </c>
      <c r="I1664" s="1" t="s">
        <v>1944</v>
      </c>
      <c r="J1664" s="1">
        <v>659.8</v>
      </c>
    </row>
    <row r="1665" spans="1:10" x14ac:dyDescent="0.25">
      <c r="A1665" s="1" t="s">
        <v>65</v>
      </c>
      <c r="B1665" s="1" t="s">
        <v>66</v>
      </c>
      <c r="C1665" s="1" t="s">
        <v>177</v>
      </c>
      <c r="D1665" s="1">
        <v>34.988399999999999</v>
      </c>
      <c r="E1665" s="1">
        <v>-80.530699999999996</v>
      </c>
      <c r="F1665" s="1" t="s">
        <v>1925</v>
      </c>
      <c r="G1665" s="22">
        <v>1752.9189038658358</v>
      </c>
      <c r="H1665" s="20">
        <f ca="1">NOW() - TIME(5,30,0) + (VLOOKUP(MasterTable[[#This Row],[TimeZone]], $O$3:$P$8, 2, FALSE) / 24)</f>
        <v>45990.573544791667</v>
      </c>
      <c r="I1665" s="1" t="s">
        <v>1944</v>
      </c>
      <c r="J1665" s="1">
        <v>1055.27</v>
      </c>
    </row>
    <row r="1666" spans="1:10" x14ac:dyDescent="0.25">
      <c r="A1666" s="1" t="s">
        <v>65</v>
      </c>
      <c r="B1666" s="1" t="s">
        <v>66</v>
      </c>
      <c r="C1666" s="1" t="s">
        <v>344</v>
      </c>
      <c r="D1666" s="1">
        <v>35.294400000000003</v>
      </c>
      <c r="E1666" s="1">
        <v>-81.180300000000003</v>
      </c>
      <c r="F1666" s="1" t="s">
        <v>1925</v>
      </c>
      <c r="G1666" s="22">
        <v>1715.5090639775992</v>
      </c>
      <c r="H1666" s="20">
        <f ca="1">NOW() - TIME(5,30,0) + (VLOOKUP(MasterTable[[#This Row],[TimeZone]], $O$3:$P$8, 2, FALSE) / 24)</f>
        <v>45990.573544791667</v>
      </c>
      <c r="I1666" s="1" t="s">
        <v>1944</v>
      </c>
      <c r="J1666" s="1">
        <v>363.54</v>
      </c>
    </row>
    <row r="1667" spans="1:10" x14ac:dyDescent="0.25">
      <c r="A1667" s="1" t="s">
        <v>65</v>
      </c>
      <c r="B1667" s="1" t="s">
        <v>66</v>
      </c>
      <c r="C1667" s="1" t="s">
        <v>345</v>
      </c>
      <c r="D1667" s="1">
        <v>35.386800000000001</v>
      </c>
      <c r="E1667" s="1">
        <v>-80.551900000000003</v>
      </c>
      <c r="F1667" s="1" t="s">
        <v>1925</v>
      </c>
      <c r="G1667" s="22">
        <v>1750.7440039370545</v>
      </c>
      <c r="H1667" s="20">
        <f ca="1">NOW() - TIME(5,30,0) + (VLOOKUP(MasterTable[[#This Row],[TimeZone]], $O$3:$P$8, 2, FALSE) / 24)</f>
        <v>45990.573544791667</v>
      </c>
      <c r="I1667" s="1" t="s">
        <v>1944</v>
      </c>
      <c r="J1667" s="1">
        <v>364.98</v>
      </c>
    </row>
    <row r="1668" spans="1:10" x14ac:dyDescent="0.25">
      <c r="A1668" s="1" t="s">
        <v>65</v>
      </c>
      <c r="B1668" s="1" t="s">
        <v>66</v>
      </c>
      <c r="C1668" s="1" t="s">
        <v>346</v>
      </c>
      <c r="D1668" s="1">
        <v>34.232900000000001</v>
      </c>
      <c r="E1668" s="1">
        <v>-77.884799999999998</v>
      </c>
      <c r="F1668" s="1" t="s">
        <v>1925</v>
      </c>
      <c r="G1668" s="22">
        <v>1906.5430170103573</v>
      </c>
      <c r="H1668" s="20">
        <f ca="1">NOW() - TIME(5,30,0) + (VLOOKUP(MasterTable[[#This Row],[TimeZone]], $O$3:$P$8, 2, FALSE) / 24)</f>
        <v>45990.573544791667</v>
      </c>
      <c r="I1668" s="1" t="s">
        <v>1944</v>
      </c>
      <c r="J1668" s="1">
        <v>327.92</v>
      </c>
    </row>
    <row r="1669" spans="1:10" x14ac:dyDescent="0.25">
      <c r="A1669" s="1" t="s">
        <v>65</v>
      </c>
      <c r="B1669" s="1" t="s">
        <v>66</v>
      </c>
      <c r="C1669" s="1" t="s">
        <v>352</v>
      </c>
      <c r="D1669" s="1">
        <v>35.517800000000001</v>
      </c>
      <c r="E1669" s="1">
        <v>-78.365700000000004</v>
      </c>
      <c r="F1669" s="1" t="s">
        <v>1925</v>
      </c>
      <c r="G1669" s="22">
        <v>1873.3945848469882</v>
      </c>
      <c r="H1669" s="20">
        <f ca="1">NOW() - TIME(5,30,0) + (VLOOKUP(MasterTable[[#This Row],[TimeZone]], $O$3:$P$8, 2, FALSE) / 24)</f>
        <v>45990.573544791667</v>
      </c>
      <c r="I1669" s="1" t="s">
        <v>1944</v>
      </c>
      <c r="J1669" s="1">
        <v>795.79</v>
      </c>
    </row>
    <row r="1670" spans="1:10" x14ac:dyDescent="0.25">
      <c r="A1670" s="1" t="s">
        <v>65</v>
      </c>
      <c r="B1670" s="1" t="s">
        <v>66</v>
      </c>
      <c r="C1670" s="1" t="s">
        <v>366</v>
      </c>
      <c r="D1670" s="1">
        <v>34.732199999999999</v>
      </c>
      <c r="E1670" s="1">
        <v>-77.432199999999995</v>
      </c>
      <c r="F1670" s="1" t="s">
        <v>1925</v>
      </c>
      <c r="G1670" s="22">
        <v>1929.3374881572176</v>
      </c>
      <c r="H1670" s="20">
        <f ca="1">NOW() - TIME(5,30,0) + (VLOOKUP(MasterTable[[#This Row],[TimeZone]], $O$3:$P$8, 2, FALSE) / 24)</f>
        <v>45990.573544791667</v>
      </c>
      <c r="I1670" s="1" t="s">
        <v>1944</v>
      </c>
      <c r="J1670" s="1">
        <v>908.56</v>
      </c>
    </row>
    <row r="1671" spans="1:10" x14ac:dyDescent="0.25">
      <c r="A1671" s="1" t="s">
        <v>65</v>
      </c>
      <c r="B1671" s="1" t="s">
        <v>66</v>
      </c>
      <c r="C1671" s="1" t="s">
        <v>390</v>
      </c>
      <c r="D1671" s="1">
        <v>35.807099999999998</v>
      </c>
      <c r="E1671" s="1">
        <v>-80.873400000000004</v>
      </c>
      <c r="F1671" s="1" t="s">
        <v>1925</v>
      </c>
      <c r="G1671" s="22">
        <v>1732.1373582444548</v>
      </c>
      <c r="H1671" s="20">
        <f ca="1">NOW() - TIME(5,30,0) + (VLOOKUP(MasterTable[[#This Row],[TimeZone]], $O$3:$P$8, 2, FALSE) / 24)</f>
        <v>45990.573544791667</v>
      </c>
      <c r="I1671" s="1" t="s">
        <v>1944</v>
      </c>
      <c r="J1671" s="1">
        <v>597.01</v>
      </c>
    </row>
    <row r="1672" spans="1:10" x14ac:dyDescent="0.25">
      <c r="A1672" s="1" t="s">
        <v>65</v>
      </c>
      <c r="B1672" s="1" t="s">
        <v>66</v>
      </c>
      <c r="C1672" s="1" t="s">
        <v>421</v>
      </c>
      <c r="D1672" s="1">
        <v>36.043700000000001</v>
      </c>
      <c r="E1672" s="1">
        <v>-79.399500000000003</v>
      </c>
      <c r="F1672" s="1" t="s">
        <v>1925</v>
      </c>
      <c r="G1672" s="22">
        <v>1814.3985492795937</v>
      </c>
      <c r="H1672" s="20">
        <f ca="1">NOW() - TIME(5,30,0) + (VLOOKUP(MasterTable[[#This Row],[TimeZone]], $O$3:$P$8, 2, FALSE) / 24)</f>
        <v>45990.573544791667</v>
      </c>
      <c r="I1672" s="1" t="s">
        <v>1944</v>
      </c>
      <c r="J1672" s="1">
        <v>434.77</v>
      </c>
    </row>
    <row r="1673" spans="1:10" x14ac:dyDescent="0.25">
      <c r="A1673" s="1" t="s">
        <v>65</v>
      </c>
      <c r="B1673" s="1" t="s">
        <v>66</v>
      </c>
      <c r="C1673" s="1" t="s">
        <v>423</v>
      </c>
      <c r="D1673" s="1">
        <v>35.593299999999999</v>
      </c>
      <c r="E1673" s="1">
        <v>-77.374499999999998</v>
      </c>
      <c r="F1673" s="1" t="s">
        <v>1925</v>
      </c>
      <c r="G1673" s="22">
        <v>1928.8115581823854</v>
      </c>
      <c r="H1673" s="20">
        <f ca="1">NOW() - TIME(5,30,0) + (VLOOKUP(MasterTable[[#This Row],[TimeZone]], $O$3:$P$8, 2, FALSE) / 24)</f>
        <v>45990.573544791667</v>
      </c>
      <c r="I1673" s="1" t="s">
        <v>1944</v>
      </c>
      <c r="J1673" s="1">
        <v>654.77</v>
      </c>
    </row>
    <row r="1674" spans="1:10" x14ac:dyDescent="0.25">
      <c r="A1674" s="1" t="s">
        <v>65</v>
      </c>
      <c r="B1674" s="1" t="s">
        <v>66</v>
      </c>
      <c r="C1674" s="1" t="s">
        <v>144</v>
      </c>
      <c r="D1674" s="1">
        <v>35.793300000000002</v>
      </c>
      <c r="E1674" s="1">
        <v>-80.212699999999998</v>
      </c>
      <c r="F1674" s="1" t="s">
        <v>1925</v>
      </c>
      <c r="G1674" s="22">
        <v>1769.1737525171973</v>
      </c>
      <c r="H1674" s="20">
        <f ca="1">NOW() - TIME(5,30,0) + (VLOOKUP(MasterTable[[#This Row],[TimeZone]], $O$3:$P$8, 2, FALSE) / 24)</f>
        <v>45990.573544791667</v>
      </c>
      <c r="I1674" s="1" t="s">
        <v>1944</v>
      </c>
      <c r="J1674" s="1">
        <v>566.77</v>
      </c>
    </row>
    <row r="1675" spans="1:10" x14ac:dyDescent="0.25">
      <c r="A1675" s="1" t="s">
        <v>65</v>
      </c>
      <c r="B1675" s="1" t="s">
        <v>66</v>
      </c>
      <c r="C1675" s="1" t="s">
        <v>447</v>
      </c>
      <c r="D1675" s="1">
        <v>35.661999999999999</v>
      </c>
      <c r="E1675" s="1">
        <v>-81.215100000000007</v>
      </c>
      <c r="F1675" s="1" t="s">
        <v>1925</v>
      </c>
      <c r="G1675" s="22">
        <v>1713.0779888117349</v>
      </c>
      <c r="H1675" s="20">
        <f ca="1">NOW() - TIME(5,30,0) + (VLOOKUP(MasterTable[[#This Row],[TimeZone]], $O$3:$P$8, 2, FALSE) / 24)</f>
        <v>45990.573544791667</v>
      </c>
      <c r="I1675" s="1" t="s">
        <v>1944</v>
      </c>
      <c r="J1675" s="1">
        <v>413.51</v>
      </c>
    </row>
    <row r="1676" spans="1:10" x14ac:dyDescent="0.25">
      <c r="A1676" s="1" t="s">
        <v>65</v>
      </c>
      <c r="B1676" s="1" t="s">
        <v>66</v>
      </c>
      <c r="C1676" s="1" t="s">
        <v>475</v>
      </c>
      <c r="D1676" s="1">
        <v>35.639400000000002</v>
      </c>
      <c r="E1676" s="1">
        <v>-80.524699999999996</v>
      </c>
      <c r="F1676" s="1" t="s">
        <v>1925</v>
      </c>
      <c r="G1676" s="22">
        <v>1751.8616252674526</v>
      </c>
      <c r="H1676" s="20">
        <f ca="1">NOW() - TIME(5,30,0) + (VLOOKUP(MasterTable[[#This Row],[TimeZone]], $O$3:$P$8, 2, FALSE) / 24)</f>
        <v>45990.573544791667</v>
      </c>
      <c r="I1676" s="1" t="s">
        <v>1944</v>
      </c>
      <c r="J1676" s="1">
        <v>286.25</v>
      </c>
    </row>
    <row r="1677" spans="1:10" x14ac:dyDescent="0.25">
      <c r="A1677" s="1" t="s">
        <v>65</v>
      </c>
      <c r="B1677" s="1" t="s">
        <v>66</v>
      </c>
      <c r="C1677" s="1" t="s">
        <v>13</v>
      </c>
      <c r="D1677" s="1">
        <v>36.061100000000003</v>
      </c>
      <c r="E1677" s="1">
        <v>-79.120699999999999</v>
      </c>
      <c r="F1677" s="1" t="s">
        <v>1925</v>
      </c>
      <c r="G1677" s="22">
        <v>1829.9514971651695</v>
      </c>
      <c r="H1677" s="20">
        <f ca="1">NOW() - TIME(5,30,0) + (VLOOKUP(MasterTable[[#This Row],[TimeZone]], $O$3:$P$8, 2, FALSE) / 24)</f>
        <v>45990.573544791667</v>
      </c>
      <c r="I1677" s="1" t="s">
        <v>1944</v>
      </c>
      <c r="J1677" s="1">
        <v>947.98</v>
      </c>
    </row>
    <row r="1678" spans="1:10" x14ac:dyDescent="0.25">
      <c r="A1678" s="1" t="s">
        <v>65</v>
      </c>
      <c r="B1678" s="1" t="s">
        <v>66</v>
      </c>
      <c r="C1678" s="1" t="s">
        <v>476</v>
      </c>
      <c r="D1678" s="1">
        <v>34.0715</v>
      </c>
      <c r="E1678" s="1">
        <v>-78.238299999999995</v>
      </c>
      <c r="F1678" s="1" t="s">
        <v>1925</v>
      </c>
      <c r="G1678" s="22">
        <v>1887.4385794516561</v>
      </c>
      <c r="H1678" s="20">
        <f ca="1">NOW() - TIME(5,30,0) + (VLOOKUP(MasterTable[[#This Row],[TimeZone]], $O$3:$P$8, 2, FALSE) / 24)</f>
        <v>45990.573544791667</v>
      </c>
      <c r="I1678" s="1" t="s">
        <v>1944</v>
      </c>
      <c r="J1678" s="1">
        <v>1050.01</v>
      </c>
    </row>
    <row r="1679" spans="1:10" x14ac:dyDescent="0.25">
      <c r="A1679" s="1" t="s">
        <v>65</v>
      </c>
      <c r="B1679" s="1" t="s">
        <v>66</v>
      </c>
      <c r="C1679" s="1" t="s">
        <v>477</v>
      </c>
      <c r="D1679" s="1">
        <v>35.710299999999997</v>
      </c>
      <c r="E1679" s="1">
        <v>-79.805999999999997</v>
      </c>
      <c r="F1679" s="1" t="s">
        <v>1925</v>
      </c>
      <c r="G1679" s="22">
        <v>1792.0897213150283</v>
      </c>
      <c r="H1679" s="20">
        <f ca="1">NOW() - TIME(5,30,0) + (VLOOKUP(MasterTable[[#This Row],[TimeZone]], $O$3:$P$8, 2, FALSE) / 24)</f>
        <v>45990.573544791667</v>
      </c>
      <c r="I1679" s="1" t="s">
        <v>1944</v>
      </c>
      <c r="J1679" s="1">
        <v>584.11</v>
      </c>
    </row>
    <row r="1680" spans="1:10" x14ac:dyDescent="0.25">
      <c r="A1680" s="1" t="s">
        <v>65</v>
      </c>
      <c r="B1680" s="1" t="s">
        <v>66</v>
      </c>
      <c r="C1680" s="1" t="s">
        <v>493</v>
      </c>
      <c r="D1680" s="1">
        <v>35.368899999999996</v>
      </c>
      <c r="E1680" s="1">
        <v>-78.869299999999996</v>
      </c>
      <c r="F1680" s="1" t="s">
        <v>1925</v>
      </c>
      <c r="G1680" s="22">
        <v>1845.5215656433325</v>
      </c>
      <c r="H1680" s="20">
        <f ca="1">NOW() - TIME(5,30,0) + (VLOOKUP(MasterTable[[#This Row],[TimeZone]], $O$3:$P$8, 2, FALSE) / 24)</f>
        <v>45990.573544791667</v>
      </c>
      <c r="I1680" s="1" t="s">
        <v>1944</v>
      </c>
      <c r="J1680" s="1">
        <v>601.29999999999995</v>
      </c>
    </row>
    <row r="1681" spans="1:10" x14ac:dyDescent="0.25">
      <c r="A1681" s="1" t="s">
        <v>65</v>
      </c>
      <c r="B1681" s="1" t="s">
        <v>66</v>
      </c>
      <c r="C1681" s="1" t="s">
        <v>34</v>
      </c>
      <c r="D1681" s="1">
        <v>35.363999999999997</v>
      </c>
      <c r="E1681" s="1">
        <v>-78.004000000000005</v>
      </c>
      <c r="F1681" s="1" t="s">
        <v>1925</v>
      </c>
      <c r="G1681" s="22">
        <v>1894.2386380322398</v>
      </c>
      <c r="H1681" s="20">
        <f ca="1">NOW() - TIME(5,30,0) + (VLOOKUP(MasterTable[[#This Row],[TimeZone]], $O$3:$P$8, 2, FALSE) / 24)</f>
        <v>45990.573544791667</v>
      </c>
      <c r="I1681" s="1" t="s">
        <v>1944</v>
      </c>
      <c r="J1681" s="1">
        <v>648.79999999999995</v>
      </c>
    </row>
    <row r="1682" spans="1:10" x14ac:dyDescent="0.25">
      <c r="A1682" s="1" t="s">
        <v>65</v>
      </c>
      <c r="B1682" s="1" t="s">
        <v>66</v>
      </c>
      <c r="C1682" s="1" t="s">
        <v>535</v>
      </c>
      <c r="D1682" s="1">
        <v>35.336300000000001</v>
      </c>
      <c r="E1682" s="1">
        <v>-82.48</v>
      </c>
      <c r="F1682" s="1" t="s">
        <v>1925</v>
      </c>
      <c r="G1682" s="22">
        <v>1642.1879231682042</v>
      </c>
      <c r="H1682" s="20">
        <f ca="1">NOW() - TIME(5,30,0) + (VLOOKUP(MasterTable[[#This Row],[TimeZone]], $O$3:$P$8, 2, FALSE) / 24)</f>
        <v>45990.573544791667</v>
      </c>
      <c r="I1682" s="1" t="s">
        <v>1944</v>
      </c>
      <c r="J1682" s="1">
        <v>395.12</v>
      </c>
    </row>
    <row r="1683" spans="1:10" x14ac:dyDescent="0.25">
      <c r="A1683" s="1" t="s">
        <v>65</v>
      </c>
      <c r="B1683" s="1" t="s">
        <v>66</v>
      </c>
      <c r="C1683" s="1" t="s">
        <v>537</v>
      </c>
      <c r="D1683" s="1">
        <v>34.6402</v>
      </c>
      <c r="E1683" s="1">
        <v>-79.103899999999996</v>
      </c>
      <c r="F1683" s="1" t="s">
        <v>1925</v>
      </c>
      <c r="G1683" s="22">
        <v>1835.0645985655365</v>
      </c>
      <c r="H1683" s="20">
        <f ca="1">NOW() - TIME(5,30,0) + (VLOOKUP(MasterTable[[#This Row],[TimeZone]], $O$3:$P$8, 2, FALSE) / 24)</f>
        <v>45990.573544791667</v>
      </c>
      <c r="I1683" s="1" t="s">
        <v>1944</v>
      </c>
      <c r="J1683" s="1">
        <v>951.03</v>
      </c>
    </row>
    <row r="1684" spans="1:10" x14ac:dyDescent="0.25">
      <c r="A1684" s="1" t="s">
        <v>65</v>
      </c>
      <c r="B1684" s="1" t="s">
        <v>66</v>
      </c>
      <c r="C1684" s="1" t="s">
        <v>582</v>
      </c>
      <c r="D1684" s="1">
        <v>35.310600000000001</v>
      </c>
      <c r="E1684" s="1">
        <v>-79.481399999999994</v>
      </c>
      <c r="F1684" s="1" t="s">
        <v>1925</v>
      </c>
      <c r="G1684" s="22">
        <v>1811.2214982851781</v>
      </c>
      <c r="H1684" s="20">
        <f ca="1">NOW() - TIME(5,30,0) + (VLOOKUP(MasterTable[[#This Row],[TimeZone]], $O$3:$P$8, 2, FALSE) / 24)</f>
        <v>45990.573544791667</v>
      </c>
      <c r="I1684" s="1" t="s">
        <v>1944</v>
      </c>
      <c r="J1684" s="1">
        <v>705.67</v>
      </c>
    </row>
    <row r="1685" spans="1:10" x14ac:dyDescent="0.25">
      <c r="A1685" s="1" t="s">
        <v>65</v>
      </c>
      <c r="B1685" s="1" t="s">
        <v>66</v>
      </c>
      <c r="C1685" s="1" t="s">
        <v>586</v>
      </c>
      <c r="D1685" s="1">
        <v>35.124899999999997</v>
      </c>
      <c r="E1685" s="1">
        <v>-77.093900000000005</v>
      </c>
      <c r="F1685" s="1" t="s">
        <v>1925</v>
      </c>
      <c r="G1685" s="22">
        <v>1946.4896499412721</v>
      </c>
      <c r="H1685" s="20">
        <f ca="1">NOW() - TIME(5,30,0) + (VLOOKUP(MasterTable[[#This Row],[TimeZone]], $O$3:$P$8, 2, FALSE) / 24)</f>
        <v>45990.573544791667</v>
      </c>
      <c r="I1685" s="1" t="s">
        <v>1944</v>
      </c>
      <c r="J1685" s="1">
        <v>774.14</v>
      </c>
    </row>
    <row r="1686" spans="1:10" x14ac:dyDescent="0.25">
      <c r="A1686" s="1" t="s">
        <v>65</v>
      </c>
      <c r="B1686" s="1" t="s">
        <v>66</v>
      </c>
      <c r="C1686" s="1" t="s">
        <v>294</v>
      </c>
      <c r="D1686" s="1">
        <v>35.334099999999999</v>
      </c>
      <c r="E1686" s="1">
        <v>-81.555499999999995</v>
      </c>
      <c r="F1686" s="1" t="s">
        <v>1925</v>
      </c>
      <c r="G1686" s="22">
        <v>1694.2960974108755</v>
      </c>
      <c r="H1686" s="20">
        <f ca="1">NOW() - TIME(5,30,0) + (VLOOKUP(MasterTable[[#This Row],[TimeZone]], $O$3:$P$8, 2, FALSE) / 24)</f>
        <v>45990.573544791667</v>
      </c>
      <c r="I1686" s="1" t="s">
        <v>1944</v>
      </c>
      <c r="J1686" s="1">
        <v>598.79999999999995</v>
      </c>
    </row>
    <row r="1687" spans="1:10" x14ac:dyDescent="0.25">
      <c r="A1687" s="1" t="s">
        <v>65</v>
      </c>
      <c r="B1687" s="1" t="s">
        <v>66</v>
      </c>
      <c r="C1687" s="1" t="s">
        <v>613</v>
      </c>
      <c r="D1687" s="1">
        <v>35.967300000000002</v>
      </c>
      <c r="E1687" s="1">
        <v>-77.986400000000003</v>
      </c>
      <c r="F1687" s="1" t="s">
        <v>1925</v>
      </c>
      <c r="G1687" s="22">
        <v>1893.4885471954833</v>
      </c>
      <c r="H1687" s="20">
        <f ca="1">NOW() - TIME(5,30,0) + (VLOOKUP(MasterTable[[#This Row],[TimeZone]], $O$3:$P$8, 2, FALSE) / 24)</f>
        <v>45990.573544791667</v>
      </c>
      <c r="I1687" s="1" t="s">
        <v>1944</v>
      </c>
      <c r="J1687" s="1">
        <v>542.69000000000005</v>
      </c>
    </row>
    <row r="1688" spans="1:10" x14ac:dyDescent="0.25">
      <c r="A1688" s="1" t="s">
        <v>65</v>
      </c>
      <c r="B1688" s="1" t="s">
        <v>66</v>
      </c>
      <c r="C1688" s="1" t="s">
        <v>280</v>
      </c>
      <c r="D1688" s="1">
        <v>36.396000000000001</v>
      </c>
      <c r="E1688" s="1">
        <v>-79.775000000000006</v>
      </c>
      <c r="F1688" s="1" t="s">
        <v>1925</v>
      </c>
      <c r="G1688" s="22">
        <v>1793.2901145211201</v>
      </c>
      <c r="H1688" s="20">
        <f ca="1">NOW() - TIME(5,30,0) + (VLOOKUP(MasterTable[[#This Row],[TimeZone]], $O$3:$P$8, 2, FALSE) / 24)</f>
        <v>45990.573544791667</v>
      </c>
      <c r="I1688" s="1" t="s">
        <v>1944</v>
      </c>
      <c r="J1688" s="1">
        <v>793.96</v>
      </c>
    </row>
    <row r="1689" spans="1:10" x14ac:dyDescent="0.25">
      <c r="A1689" s="1" t="s">
        <v>65</v>
      </c>
      <c r="B1689" s="1" t="s">
        <v>66</v>
      </c>
      <c r="C1689" s="1" t="s">
        <v>632</v>
      </c>
      <c r="D1689" s="1">
        <v>35.485599999999998</v>
      </c>
      <c r="E1689" s="1">
        <v>-81.223500000000001</v>
      </c>
      <c r="F1689" s="1" t="s">
        <v>1925</v>
      </c>
      <c r="G1689" s="22">
        <v>1712.7865507696727</v>
      </c>
      <c r="H1689" s="20">
        <f ca="1">NOW() - TIME(5,30,0) + (VLOOKUP(MasterTable[[#This Row],[TimeZone]], $O$3:$P$8, 2, FALSE) / 24)</f>
        <v>45990.573544791667</v>
      </c>
      <c r="I1689" s="1" t="s">
        <v>1944</v>
      </c>
      <c r="J1689" s="1">
        <v>572.16999999999996</v>
      </c>
    </row>
    <row r="1690" spans="1:10" x14ac:dyDescent="0.25">
      <c r="A1690" s="1" t="s">
        <v>65</v>
      </c>
      <c r="B1690" s="1" t="s">
        <v>66</v>
      </c>
      <c r="C1690" s="1" t="s">
        <v>639</v>
      </c>
      <c r="D1690" s="1">
        <v>35.749600000000001</v>
      </c>
      <c r="E1690" s="1">
        <v>-81.704800000000006</v>
      </c>
      <c r="F1690" s="1" t="s">
        <v>1925</v>
      </c>
      <c r="G1690" s="22">
        <v>1685.5572878199559</v>
      </c>
      <c r="H1690" s="20">
        <f ca="1">NOW() - TIME(5,30,0) + (VLOOKUP(MasterTable[[#This Row],[TimeZone]], $O$3:$P$8, 2, FALSE) / 24)</f>
        <v>45990.573544791667</v>
      </c>
      <c r="I1690" s="1" t="s">
        <v>1944</v>
      </c>
      <c r="J1690" s="1">
        <v>834.99</v>
      </c>
    </row>
    <row r="1691" spans="1:10" x14ac:dyDescent="0.25">
      <c r="A1691" s="1" t="s">
        <v>65</v>
      </c>
      <c r="B1691" s="1" t="s">
        <v>66</v>
      </c>
      <c r="C1691" s="1" t="s">
        <v>667</v>
      </c>
      <c r="D1691" s="1">
        <v>35.953000000000003</v>
      </c>
      <c r="E1691" s="1">
        <v>-81.546400000000006</v>
      </c>
      <c r="F1691" s="1" t="s">
        <v>1925</v>
      </c>
      <c r="G1691" s="22">
        <v>1694.4257300181403</v>
      </c>
      <c r="H1691" s="20">
        <f ca="1">NOW() - TIME(5,30,0) + (VLOOKUP(MasterTable[[#This Row],[TimeZone]], $O$3:$P$8, 2, FALSE) / 24)</f>
        <v>45990.573544791667</v>
      </c>
      <c r="I1691" s="1" t="s">
        <v>1944</v>
      </c>
      <c r="J1691" s="1">
        <v>348.18</v>
      </c>
    </row>
    <row r="1692" spans="1:10" x14ac:dyDescent="0.25">
      <c r="A1692" s="1" t="s">
        <v>65</v>
      </c>
      <c r="B1692" s="1" t="s">
        <v>66</v>
      </c>
      <c r="C1692" s="1" t="s">
        <v>470</v>
      </c>
      <c r="D1692" s="1">
        <v>35.705100000000002</v>
      </c>
      <c r="E1692" s="1">
        <v>-77.918700000000001</v>
      </c>
      <c r="F1692" s="1" t="s">
        <v>1925</v>
      </c>
      <c r="G1692" s="22">
        <v>1897.9366376761704</v>
      </c>
      <c r="H1692" s="20">
        <f ca="1">NOW() - TIME(5,30,0) + (VLOOKUP(MasterTable[[#This Row],[TimeZone]], $O$3:$P$8, 2, FALSE) / 24)</f>
        <v>45990.573544791667</v>
      </c>
      <c r="I1692" s="1" t="s">
        <v>1944</v>
      </c>
      <c r="J1692" s="1">
        <v>574.97</v>
      </c>
    </row>
    <row r="1693" spans="1:10" x14ac:dyDescent="0.25">
      <c r="A1693" s="1" t="s">
        <v>65</v>
      </c>
      <c r="B1693" s="1" t="s">
        <v>66</v>
      </c>
      <c r="C1693" s="1" t="s">
        <v>293</v>
      </c>
      <c r="D1693" s="1">
        <v>35.702599999999997</v>
      </c>
      <c r="E1693" s="1">
        <v>-79.255399999999995</v>
      </c>
      <c r="F1693" s="1" t="s">
        <v>1925</v>
      </c>
      <c r="G1693" s="22">
        <v>1822.9863698601955</v>
      </c>
      <c r="H1693" s="20">
        <f ca="1">NOW() - TIME(5,30,0) + (VLOOKUP(MasterTable[[#This Row],[TimeZone]], $O$3:$P$8, 2, FALSE) / 24)</f>
        <v>45990.573544791667</v>
      </c>
      <c r="I1693" s="1" t="s">
        <v>1944</v>
      </c>
      <c r="J1693" s="1">
        <v>632.28</v>
      </c>
    </row>
    <row r="1694" spans="1:10" x14ac:dyDescent="0.25">
      <c r="A1694" s="1" t="s">
        <v>65</v>
      </c>
      <c r="B1694" s="1" t="s">
        <v>66</v>
      </c>
      <c r="C1694" s="1" t="s">
        <v>50</v>
      </c>
      <c r="D1694" s="1">
        <v>36.082700000000003</v>
      </c>
      <c r="E1694" s="1">
        <v>-78.285700000000006</v>
      </c>
      <c r="F1694" s="1" t="s">
        <v>1925</v>
      </c>
      <c r="G1694" s="22">
        <v>1876.5440779967721</v>
      </c>
      <c r="H1694" s="20">
        <f ca="1">NOW() - TIME(5,30,0) + (VLOOKUP(MasterTable[[#This Row],[TimeZone]], $O$3:$P$8, 2, FALSE) / 24)</f>
        <v>45990.573544791667</v>
      </c>
      <c r="I1694" s="1" t="s">
        <v>1944</v>
      </c>
      <c r="J1694" s="1">
        <v>646.51</v>
      </c>
    </row>
    <row r="1695" spans="1:10" x14ac:dyDescent="0.25">
      <c r="A1695" s="1" t="s">
        <v>65</v>
      </c>
      <c r="B1695" s="1" t="s">
        <v>66</v>
      </c>
      <c r="C1695" s="1" t="s">
        <v>707</v>
      </c>
      <c r="D1695" s="1">
        <v>36.4146</v>
      </c>
      <c r="E1695" s="1">
        <v>-80.688000000000002</v>
      </c>
      <c r="F1695" s="1" t="s">
        <v>1925</v>
      </c>
      <c r="G1695" s="22">
        <v>1742.5249042401881</v>
      </c>
      <c r="H1695" s="20">
        <f ca="1">NOW() - TIME(5,30,0) + (VLOOKUP(MasterTable[[#This Row],[TimeZone]], $O$3:$P$8, 2, FALSE) / 24)</f>
        <v>45990.573544791667</v>
      </c>
      <c r="I1695" s="1" t="s">
        <v>1944</v>
      </c>
      <c r="J1695" s="1">
        <v>537.79</v>
      </c>
    </row>
    <row r="1696" spans="1:10" x14ac:dyDescent="0.25">
      <c r="A1696" s="1" t="s">
        <v>65</v>
      </c>
      <c r="B1696" s="1" t="s">
        <v>66</v>
      </c>
      <c r="C1696" s="1" t="s">
        <v>716</v>
      </c>
      <c r="D1696" s="1">
        <v>34.835700000000003</v>
      </c>
      <c r="E1696" s="1">
        <v>-76.658900000000003</v>
      </c>
      <c r="F1696" s="1" t="s">
        <v>1925</v>
      </c>
      <c r="G1696" s="22">
        <v>1972.5232984406452</v>
      </c>
      <c r="H1696" s="20">
        <f ca="1">NOW() - TIME(5,30,0) + (VLOOKUP(MasterTable[[#This Row],[TimeZone]], $O$3:$P$8, 2, FALSE) / 24)</f>
        <v>45990.573544791667</v>
      </c>
      <c r="I1696" s="1" t="s">
        <v>1944</v>
      </c>
      <c r="J1696" s="1">
        <v>1340.53</v>
      </c>
    </row>
    <row r="1697" spans="1:10" x14ac:dyDescent="0.25">
      <c r="A1697" s="1" t="s">
        <v>65</v>
      </c>
      <c r="B1697" s="1" t="s">
        <v>66</v>
      </c>
      <c r="C1697" s="1" t="s">
        <v>739</v>
      </c>
      <c r="D1697" s="1">
        <v>36.206200000000003</v>
      </c>
      <c r="E1697" s="1">
        <v>-81.162999999999997</v>
      </c>
      <c r="F1697" s="1" t="s">
        <v>1925</v>
      </c>
      <c r="G1697" s="22">
        <v>1715.9359108515991</v>
      </c>
      <c r="H1697" s="20">
        <f ca="1">NOW() - TIME(5,30,0) + (VLOOKUP(MasterTable[[#This Row],[TimeZone]], $O$3:$P$8, 2, FALSE) / 24)</f>
        <v>45990.573544791667</v>
      </c>
      <c r="I1697" s="1" t="s">
        <v>1944</v>
      </c>
      <c r="J1697" s="1">
        <v>474</v>
      </c>
    </row>
    <row r="1698" spans="1:10" x14ac:dyDescent="0.25">
      <c r="A1698" s="1" t="s">
        <v>65</v>
      </c>
      <c r="B1698" s="1" t="s">
        <v>66</v>
      </c>
      <c r="C1698" s="1" t="s">
        <v>265</v>
      </c>
      <c r="D1698" s="1">
        <v>35.4026</v>
      </c>
      <c r="E1698" s="1">
        <v>-81.919799999999995</v>
      </c>
      <c r="F1698" s="1" t="s">
        <v>1925</v>
      </c>
      <c r="G1698" s="22">
        <v>1673.6890833512566</v>
      </c>
      <c r="H1698" s="20">
        <f ca="1">NOW() - TIME(5,30,0) + (VLOOKUP(MasterTable[[#This Row],[TimeZone]], $O$3:$P$8, 2, FALSE) / 24)</f>
        <v>45990.573544791667</v>
      </c>
      <c r="I1698" s="1" t="s">
        <v>1944</v>
      </c>
      <c r="J1698" s="1">
        <v>565.9</v>
      </c>
    </row>
    <row r="1699" spans="1:10" x14ac:dyDescent="0.25">
      <c r="A1699" s="1" t="s">
        <v>65</v>
      </c>
      <c r="B1699" s="1" t="s">
        <v>66</v>
      </c>
      <c r="C1699" s="1" t="s">
        <v>127</v>
      </c>
      <c r="D1699" s="1">
        <v>35.475200000000001</v>
      </c>
      <c r="E1699" s="1">
        <v>-79.171499999999995</v>
      </c>
      <c r="F1699" s="1" t="s">
        <v>1925</v>
      </c>
      <c r="G1699" s="22">
        <v>1828.2199133802874</v>
      </c>
      <c r="H1699" s="20">
        <f ca="1">NOW() - TIME(5,30,0) + (VLOOKUP(MasterTable[[#This Row],[TimeZone]], $O$3:$P$8, 2, FALSE) / 24)</f>
        <v>45990.573544791667</v>
      </c>
      <c r="I1699" s="1" t="s">
        <v>1944</v>
      </c>
      <c r="J1699" s="1">
        <v>615.54999999999995</v>
      </c>
    </row>
    <row r="1700" spans="1:10" x14ac:dyDescent="0.25">
      <c r="A1700" s="1" t="s">
        <v>65</v>
      </c>
      <c r="B1700" s="1" t="s">
        <v>66</v>
      </c>
      <c r="C1700" s="1" t="s">
        <v>759</v>
      </c>
      <c r="D1700" s="1">
        <v>35.311900000000001</v>
      </c>
      <c r="E1700" s="1">
        <v>-80.251000000000005</v>
      </c>
      <c r="F1700" s="1" t="s">
        <v>1925</v>
      </c>
      <c r="G1700" s="22">
        <v>1767.8540269409266</v>
      </c>
      <c r="H1700" s="20">
        <f ca="1">NOW() - TIME(5,30,0) + (VLOOKUP(MasterTable[[#This Row],[TimeZone]], $O$3:$P$8, 2, FALSE) / 24)</f>
        <v>45990.573544791667</v>
      </c>
      <c r="I1700" s="1" t="s">
        <v>1944</v>
      </c>
      <c r="J1700" s="1">
        <v>404.26</v>
      </c>
    </row>
    <row r="1701" spans="1:10" x14ac:dyDescent="0.25">
      <c r="A1701" s="1" t="s">
        <v>65</v>
      </c>
      <c r="B1701" s="1" t="s">
        <v>66</v>
      </c>
      <c r="C1701" s="1" t="s">
        <v>760</v>
      </c>
      <c r="D1701" s="1">
        <v>34.524900000000002</v>
      </c>
      <c r="E1701" s="1">
        <v>-77.905199999999994</v>
      </c>
      <c r="F1701" s="1" t="s">
        <v>1925</v>
      </c>
      <c r="G1701" s="22">
        <v>1903.6590508768115</v>
      </c>
      <c r="H1701" s="20">
        <f ca="1">NOW() - TIME(5,30,0) + (VLOOKUP(MasterTable[[#This Row],[TimeZone]], $O$3:$P$8, 2, FALSE) / 24)</f>
        <v>45990.573544791667</v>
      </c>
      <c r="I1701" s="1" t="s">
        <v>1944</v>
      </c>
      <c r="J1701" s="1">
        <v>932.64</v>
      </c>
    </row>
    <row r="1702" spans="1:10" x14ac:dyDescent="0.25">
      <c r="A1702" s="1" t="s">
        <v>65</v>
      </c>
      <c r="B1702" s="1" t="s">
        <v>66</v>
      </c>
      <c r="C1702" s="1" t="s">
        <v>764</v>
      </c>
      <c r="D1702" s="1">
        <v>35.555999999999997</v>
      </c>
      <c r="E1702" s="1">
        <v>-82.982200000000006</v>
      </c>
      <c r="F1702" s="1" t="s">
        <v>1925</v>
      </c>
      <c r="G1702" s="22">
        <v>1613.8446037990605</v>
      </c>
      <c r="H1702" s="20">
        <f ca="1">NOW() - TIME(5,30,0) + (VLOOKUP(MasterTable[[#This Row],[TimeZone]], $O$3:$P$8, 2, FALSE) / 24)</f>
        <v>45990.573544791667</v>
      </c>
      <c r="I1702" s="1" t="s">
        <v>1944</v>
      </c>
      <c r="J1702" s="1">
        <v>554.62</v>
      </c>
    </row>
    <row r="1703" spans="1:10" x14ac:dyDescent="0.25">
      <c r="A1703" s="1" t="s">
        <v>65</v>
      </c>
      <c r="B1703" s="1" t="s">
        <v>66</v>
      </c>
      <c r="C1703" s="1" t="s">
        <v>769</v>
      </c>
      <c r="D1703" s="1">
        <v>36.304000000000002</v>
      </c>
      <c r="E1703" s="1">
        <v>-78.652699999999996</v>
      </c>
      <c r="F1703" s="1" t="s">
        <v>1925</v>
      </c>
      <c r="G1703" s="22">
        <v>1855.7874224811987</v>
      </c>
      <c r="H1703" s="20">
        <f ca="1">NOW() - TIME(5,30,0) + (VLOOKUP(MasterTable[[#This Row],[TimeZone]], $O$3:$P$8, 2, FALSE) / 24)</f>
        <v>45990.573544791667</v>
      </c>
      <c r="I1703" s="1" t="s">
        <v>1944</v>
      </c>
      <c r="J1703" s="1">
        <v>536.55999999999995</v>
      </c>
    </row>
    <row r="1704" spans="1:10" x14ac:dyDescent="0.25">
      <c r="A1704" s="1" t="s">
        <v>65</v>
      </c>
      <c r="B1704" s="1" t="s">
        <v>66</v>
      </c>
      <c r="C1704" s="1" t="s">
        <v>787</v>
      </c>
      <c r="D1704" s="1">
        <v>34.991599999999998</v>
      </c>
      <c r="E1704" s="1">
        <v>-78.371399999999994</v>
      </c>
      <c r="F1704" s="1" t="s">
        <v>1925</v>
      </c>
      <c r="G1704" s="22">
        <v>1874.9737782317623</v>
      </c>
      <c r="H1704" s="20">
        <f ca="1">NOW() - TIME(5,30,0) + (VLOOKUP(MasterTable[[#This Row],[TimeZone]], $O$3:$P$8, 2, FALSE) / 24)</f>
        <v>45990.573544791667</v>
      </c>
      <c r="I1704" s="1" t="s">
        <v>1944</v>
      </c>
      <c r="J1704" s="1">
        <v>947.45</v>
      </c>
    </row>
    <row r="1705" spans="1:10" x14ac:dyDescent="0.25">
      <c r="A1705" s="1" t="s">
        <v>65</v>
      </c>
      <c r="B1705" s="1" t="s">
        <v>66</v>
      </c>
      <c r="C1705" s="1" t="s">
        <v>810</v>
      </c>
      <c r="D1705" s="1">
        <v>35.238799999999998</v>
      </c>
      <c r="E1705" s="1">
        <v>-77.641300000000001</v>
      </c>
      <c r="F1705" s="1" t="s">
        <v>1925</v>
      </c>
      <c r="G1705" s="22">
        <v>1915.1397107202401</v>
      </c>
      <c r="H1705" s="20">
        <f ca="1">NOW() - TIME(5,30,0) + (VLOOKUP(MasterTable[[#This Row],[TimeZone]], $O$3:$P$8, 2, FALSE) / 24)</f>
        <v>45990.573544791667</v>
      </c>
      <c r="I1705" s="1" t="s">
        <v>1944</v>
      </c>
      <c r="J1705" s="1">
        <v>402.09</v>
      </c>
    </row>
    <row r="1706" spans="1:10" x14ac:dyDescent="0.25">
      <c r="A1706" s="1" t="s">
        <v>65</v>
      </c>
      <c r="B1706" s="1" t="s">
        <v>66</v>
      </c>
      <c r="C1706" s="1" t="s">
        <v>813</v>
      </c>
      <c r="D1706" s="1">
        <v>36.231099999999998</v>
      </c>
      <c r="E1706" s="1">
        <v>-81.696399999999997</v>
      </c>
      <c r="F1706" s="1" t="s">
        <v>1925</v>
      </c>
      <c r="G1706" s="22">
        <v>1686.223563183341</v>
      </c>
      <c r="H1706" s="20">
        <f ca="1">NOW() - TIME(5,30,0) + (VLOOKUP(MasterTable[[#This Row],[TimeZone]], $O$3:$P$8, 2, FALSE) / 24)</f>
        <v>45990.573544791667</v>
      </c>
      <c r="I1706" s="1" t="s">
        <v>1944</v>
      </c>
      <c r="J1706" s="1">
        <v>312.73</v>
      </c>
    </row>
    <row r="1707" spans="1:10" x14ac:dyDescent="0.25">
      <c r="A1707" s="1" t="s">
        <v>65</v>
      </c>
      <c r="B1707" s="1" t="s">
        <v>66</v>
      </c>
      <c r="C1707" s="1" t="s">
        <v>823</v>
      </c>
      <c r="D1707" s="1">
        <v>35.017499999999998</v>
      </c>
      <c r="E1707" s="1">
        <v>-79.237300000000005</v>
      </c>
      <c r="F1707" s="1" t="s">
        <v>1925</v>
      </c>
      <c r="G1707" s="22">
        <v>1825.943255347968</v>
      </c>
      <c r="H1707" s="20">
        <f ca="1">NOW() - TIME(5,30,0) + (VLOOKUP(MasterTable[[#This Row],[TimeZone]], $O$3:$P$8, 2, FALSE) / 24)</f>
        <v>45990.573544791667</v>
      </c>
      <c r="I1707" s="1" t="s">
        <v>1944</v>
      </c>
      <c r="J1707" s="1">
        <v>392.34</v>
      </c>
    </row>
    <row r="1708" spans="1:10" x14ac:dyDescent="0.25">
      <c r="A1708" s="1" t="s">
        <v>65</v>
      </c>
      <c r="B1708" s="1" t="s">
        <v>66</v>
      </c>
      <c r="C1708" s="1" t="s">
        <v>840</v>
      </c>
      <c r="D1708" s="1">
        <v>34.265700000000002</v>
      </c>
      <c r="E1708" s="1">
        <v>-78.655000000000001</v>
      </c>
      <c r="F1708" s="1" t="s">
        <v>1925</v>
      </c>
      <c r="G1708" s="22">
        <v>1862.5221635914206</v>
      </c>
      <c r="H1708" s="20">
        <f ca="1">NOW() - TIME(5,30,0) + (VLOOKUP(MasterTable[[#This Row],[TimeZone]], $O$3:$P$8, 2, FALSE) / 24)</f>
        <v>45990.573544791667</v>
      </c>
      <c r="I1708" s="1" t="s">
        <v>1944</v>
      </c>
      <c r="J1708" s="1">
        <v>953.6</v>
      </c>
    </row>
    <row r="1709" spans="1:10" x14ac:dyDescent="0.25">
      <c r="A1709" s="1" t="s">
        <v>65</v>
      </c>
      <c r="B1709" s="1" t="s">
        <v>66</v>
      </c>
      <c r="C1709" s="1" t="s">
        <v>850</v>
      </c>
      <c r="D1709" s="1">
        <v>34.936500000000002</v>
      </c>
      <c r="E1709" s="1">
        <v>-77.933000000000007</v>
      </c>
      <c r="F1709" s="1" t="s">
        <v>1925</v>
      </c>
      <c r="G1709" s="22">
        <v>1899.9912894615914</v>
      </c>
      <c r="H1709" s="20">
        <f ca="1">NOW() - TIME(5,30,0) + (VLOOKUP(MasterTable[[#This Row],[TimeZone]], $O$3:$P$8, 2, FALSE) / 24)</f>
        <v>45990.573544791667</v>
      </c>
      <c r="I1709" s="1" t="s">
        <v>1944</v>
      </c>
      <c r="J1709" s="1">
        <v>819.11</v>
      </c>
    </row>
    <row r="1710" spans="1:10" x14ac:dyDescent="0.25">
      <c r="A1710" s="1" t="s">
        <v>65</v>
      </c>
      <c r="B1710" s="1" t="s">
        <v>66</v>
      </c>
      <c r="C1710" s="1" t="s">
        <v>852</v>
      </c>
      <c r="D1710" s="1">
        <v>35.9129</v>
      </c>
      <c r="E1710" s="1">
        <v>-77.597099999999998</v>
      </c>
      <c r="F1710" s="1" t="s">
        <v>1925</v>
      </c>
      <c r="G1710" s="22">
        <v>1915.38358624392</v>
      </c>
      <c r="H1710" s="20">
        <f ca="1">NOW() - TIME(5,30,0) + (VLOOKUP(MasterTable[[#This Row],[TimeZone]], $O$3:$P$8, 2, FALSE) / 24)</f>
        <v>45990.573544791667</v>
      </c>
      <c r="I1710" s="1" t="s">
        <v>1944</v>
      </c>
      <c r="J1710" s="1">
        <v>506.58</v>
      </c>
    </row>
    <row r="1711" spans="1:10" x14ac:dyDescent="0.25">
      <c r="A1711" s="1" t="s">
        <v>65</v>
      </c>
      <c r="B1711" s="1" t="s">
        <v>66</v>
      </c>
      <c r="C1711" s="1" t="s">
        <v>855</v>
      </c>
      <c r="D1711" s="1">
        <v>36.257399999999997</v>
      </c>
      <c r="E1711" s="1">
        <v>-77.651700000000005</v>
      </c>
      <c r="F1711" s="1" t="s">
        <v>1925</v>
      </c>
      <c r="G1711" s="22">
        <v>1911.5963401639985</v>
      </c>
      <c r="H1711" s="20">
        <f ca="1">NOW() - TIME(5,30,0) + (VLOOKUP(MasterTable[[#This Row],[TimeZone]], $O$3:$P$8, 2, FALSE) / 24)</f>
        <v>45990.573544791667</v>
      </c>
      <c r="I1711" s="1" t="s">
        <v>1944</v>
      </c>
      <c r="J1711" s="1">
        <v>731.35</v>
      </c>
    </row>
    <row r="1712" spans="1:10" x14ac:dyDescent="0.25">
      <c r="A1712" s="1" t="s">
        <v>65</v>
      </c>
      <c r="B1712" s="1" t="s">
        <v>66</v>
      </c>
      <c r="C1712" s="1" t="s">
        <v>891</v>
      </c>
      <c r="D1712" s="1">
        <v>36.401899999999998</v>
      </c>
      <c r="E1712" s="1">
        <v>-80.239699999999999</v>
      </c>
      <c r="F1712" s="1" t="s">
        <v>1925</v>
      </c>
      <c r="G1712" s="22">
        <v>1767.4465017250229</v>
      </c>
      <c r="H1712" s="20">
        <f ca="1">NOW() - TIME(5,30,0) + (VLOOKUP(MasterTable[[#This Row],[TimeZone]], $O$3:$P$8, 2, FALSE) / 24)</f>
        <v>45990.573544791667</v>
      </c>
      <c r="I1712" s="1" t="s">
        <v>1944</v>
      </c>
      <c r="J1712" s="1">
        <v>455.89</v>
      </c>
    </row>
    <row r="1713" spans="1:10" x14ac:dyDescent="0.25">
      <c r="A1713" s="1" t="s">
        <v>65</v>
      </c>
      <c r="B1713" s="1" t="s">
        <v>66</v>
      </c>
      <c r="C1713" s="1" t="s">
        <v>893</v>
      </c>
      <c r="D1713" s="1">
        <v>35.681699999999999</v>
      </c>
      <c r="E1713" s="1">
        <v>-82.049300000000002</v>
      </c>
      <c r="F1713" s="1" t="s">
        <v>1925</v>
      </c>
      <c r="G1713" s="22">
        <v>1666.243758984868</v>
      </c>
      <c r="H1713" s="20">
        <f ca="1">NOW() - TIME(5,30,0) + (VLOOKUP(MasterTable[[#This Row],[TimeZone]], $O$3:$P$8, 2, FALSE) / 24)</f>
        <v>45990.573544791667</v>
      </c>
      <c r="I1713" s="1" t="s">
        <v>1944</v>
      </c>
      <c r="J1713" s="1">
        <v>446.41</v>
      </c>
    </row>
    <row r="1714" spans="1:10" x14ac:dyDescent="0.25">
      <c r="A1714" s="1" t="s">
        <v>65</v>
      </c>
      <c r="B1714" s="1" t="s">
        <v>66</v>
      </c>
      <c r="C1714" s="1" t="s">
        <v>389</v>
      </c>
      <c r="D1714" s="1">
        <v>35.494</v>
      </c>
      <c r="E1714" s="1">
        <v>-76.859800000000007</v>
      </c>
      <c r="F1714" s="1" t="s">
        <v>1925</v>
      </c>
      <c r="G1714" s="22">
        <v>1958.0749596682235</v>
      </c>
      <c r="H1714" s="20">
        <f ca="1">NOW() - TIME(5,30,0) + (VLOOKUP(MasterTable[[#This Row],[TimeZone]], $O$3:$P$8, 2, FALSE) / 24)</f>
        <v>45990.573544791667</v>
      </c>
      <c r="I1714" s="1" t="s">
        <v>1944</v>
      </c>
      <c r="J1714" s="1">
        <v>958.69</v>
      </c>
    </row>
    <row r="1715" spans="1:10" x14ac:dyDescent="0.25">
      <c r="A1715" s="1" t="s">
        <v>65</v>
      </c>
      <c r="B1715" s="1" t="s">
        <v>66</v>
      </c>
      <c r="C1715" s="1" t="s">
        <v>911</v>
      </c>
      <c r="D1715" s="1">
        <v>35.929099999999998</v>
      </c>
      <c r="E1715" s="1">
        <v>-80.544499999999999</v>
      </c>
      <c r="F1715" s="1" t="s">
        <v>1925</v>
      </c>
      <c r="G1715" s="22">
        <v>1750.4788585356225</v>
      </c>
      <c r="H1715" s="20">
        <f ca="1">NOW() - TIME(5,30,0) + (VLOOKUP(MasterTable[[#This Row],[TimeZone]], $O$3:$P$8, 2, FALSE) / 24)</f>
        <v>45990.573544791667</v>
      </c>
      <c r="I1715" s="1" t="s">
        <v>1944</v>
      </c>
      <c r="J1715" s="1">
        <v>266.89</v>
      </c>
    </row>
    <row r="1716" spans="1:10" x14ac:dyDescent="0.25">
      <c r="A1716" s="1" t="s">
        <v>65</v>
      </c>
      <c r="B1716" s="1" t="s">
        <v>66</v>
      </c>
      <c r="C1716" s="1" t="s">
        <v>140</v>
      </c>
      <c r="D1716" s="1">
        <v>35.287599999999998</v>
      </c>
      <c r="E1716" s="1">
        <v>-83.140799999999999</v>
      </c>
      <c r="F1716" s="1" t="s">
        <v>1925</v>
      </c>
      <c r="G1716" s="22">
        <v>1604.9626022753416</v>
      </c>
      <c r="H1716" s="20">
        <f ca="1">NOW() - TIME(5,30,0) + (VLOOKUP(MasterTable[[#This Row],[TimeZone]], $O$3:$P$8, 2, FALSE) / 24)</f>
        <v>45990.573544791667</v>
      </c>
      <c r="I1716" s="1" t="s">
        <v>1944</v>
      </c>
      <c r="J1716" s="1">
        <v>1126.77</v>
      </c>
    </row>
    <row r="1717" spans="1:10" x14ac:dyDescent="0.25">
      <c r="A1717" s="1" t="s">
        <v>65</v>
      </c>
      <c r="B1717" s="1" t="s">
        <v>66</v>
      </c>
      <c r="C1717" s="1" t="s">
        <v>203</v>
      </c>
      <c r="D1717" s="1">
        <v>35.005899999999997</v>
      </c>
      <c r="E1717" s="1">
        <v>-79.747900000000001</v>
      </c>
      <c r="F1717" s="1" t="s">
        <v>1925</v>
      </c>
      <c r="G1717" s="22">
        <v>1797.1253396554155</v>
      </c>
      <c r="H1717" s="20">
        <f ca="1">NOW() - TIME(5,30,0) + (VLOOKUP(MasterTable[[#This Row],[TimeZone]], $O$3:$P$8, 2, FALSE) / 24)</f>
        <v>45990.573544791667</v>
      </c>
      <c r="I1717" s="1" t="s">
        <v>1944</v>
      </c>
      <c r="J1717" s="1">
        <v>328.45</v>
      </c>
    </row>
    <row r="1718" spans="1:10" x14ac:dyDescent="0.25">
      <c r="A1718" s="1" t="s">
        <v>65</v>
      </c>
      <c r="B1718" s="1" t="s">
        <v>66</v>
      </c>
      <c r="C1718" s="1" t="s">
        <v>925</v>
      </c>
      <c r="D1718" s="1">
        <v>36.364899999999999</v>
      </c>
      <c r="E1718" s="1">
        <v>-78.407899999999998</v>
      </c>
      <c r="F1718" s="1" t="s">
        <v>1925</v>
      </c>
      <c r="G1718" s="22">
        <v>1869.3540106076359</v>
      </c>
      <c r="H1718" s="20">
        <f ca="1">NOW() - TIME(5,30,0) + (VLOOKUP(MasterTable[[#This Row],[TimeZone]], $O$3:$P$8, 2, FALSE) / 24)</f>
        <v>45990.573544791667</v>
      </c>
      <c r="I1718" s="1" t="s">
        <v>1944</v>
      </c>
      <c r="J1718" s="1">
        <v>269.82</v>
      </c>
    </row>
    <row r="1719" spans="1:10" x14ac:dyDescent="0.25">
      <c r="A1719" s="1" t="s">
        <v>65</v>
      </c>
      <c r="B1719" s="1" t="s">
        <v>66</v>
      </c>
      <c r="C1719" s="1" t="s">
        <v>941</v>
      </c>
      <c r="D1719" s="1">
        <v>36.295499999999997</v>
      </c>
      <c r="E1719" s="1">
        <v>-76.284300000000002</v>
      </c>
      <c r="F1719" s="1" t="s">
        <v>1925</v>
      </c>
      <c r="G1719" s="22">
        <v>1987.6480048697172</v>
      </c>
      <c r="H1719" s="20">
        <f ca="1">NOW() - TIME(5,30,0) + (VLOOKUP(MasterTable[[#This Row],[TimeZone]], $O$3:$P$8, 2, FALSE) / 24)</f>
        <v>45990.573544791667</v>
      </c>
      <c r="I1719" s="1" t="s">
        <v>1944</v>
      </c>
      <c r="J1719" s="1">
        <v>289.44</v>
      </c>
    </row>
    <row r="1720" spans="1:10" x14ac:dyDescent="0.25">
      <c r="A1720" s="1" t="s">
        <v>65</v>
      </c>
      <c r="B1720" s="1" t="s">
        <v>66</v>
      </c>
      <c r="C1720" s="1" t="s">
        <v>962</v>
      </c>
      <c r="D1720" s="1">
        <v>36.39</v>
      </c>
      <c r="E1720" s="1">
        <v>-78.971800000000002</v>
      </c>
      <c r="F1720" s="1" t="s">
        <v>1925</v>
      </c>
      <c r="G1720" s="22">
        <v>1837.9660795676118</v>
      </c>
      <c r="H1720" s="20">
        <f ca="1">NOW() - TIME(5,30,0) + (VLOOKUP(MasterTable[[#This Row],[TimeZone]], $O$3:$P$8, 2, FALSE) / 24)</f>
        <v>45990.573544791667</v>
      </c>
      <c r="I1720" s="1" t="s">
        <v>1944</v>
      </c>
      <c r="J1720" s="1">
        <v>404.09</v>
      </c>
    </row>
    <row r="1721" spans="1:10" x14ac:dyDescent="0.25">
      <c r="A1721" s="1" t="s">
        <v>65</v>
      </c>
      <c r="B1721" s="1" t="s">
        <v>66</v>
      </c>
      <c r="C1721" s="1" t="s">
        <v>980</v>
      </c>
      <c r="D1721" s="1">
        <v>35.782400000000003</v>
      </c>
      <c r="E1721" s="1">
        <v>-75.7988</v>
      </c>
      <c r="F1721" s="1" t="s">
        <v>1925</v>
      </c>
      <c r="G1721" s="22">
        <v>2016.4165214507927</v>
      </c>
      <c r="H1721" s="20">
        <f ca="1">NOW() - TIME(5,30,0) + (VLOOKUP(MasterTable[[#This Row],[TimeZone]], $O$3:$P$8, 2, FALSE) / 24)</f>
        <v>45990.573544791667</v>
      </c>
      <c r="I1721" s="1" t="s">
        <v>1944</v>
      </c>
      <c r="J1721" s="1">
        <v>1561.51</v>
      </c>
    </row>
    <row r="1722" spans="1:10" x14ac:dyDescent="0.25">
      <c r="A1722" s="1" t="s">
        <v>65</v>
      </c>
      <c r="B1722" s="1" t="s">
        <v>66</v>
      </c>
      <c r="C1722" s="1" t="s">
        <v>583</v>
      </c>
      <c r="D1722" s="1">
        <v>35.150500000000001</v>
      </c>
      <c r="E1722" s="1">
        <v>-83.422200000000004</v>
      </c>
      <c r="F1722" s="1" t="s">
        <v>1925</v>
      </c>
      <c r="G1722" s="22">
        <v>1589.1605981841017</v>
      </c>
      <c r="H1722" s="20">
        <f ca="1">NOW() - TIME(5,30,0) + (VLOOKUP(MasterTable[[#This Row],[TimeZone]], $O$3:$P$8, 2, FALSE) / 24)</f>
        <v>45990.573544791667</v>
      </c>
      <c r="I1722" s="1" t="s">
        <v>1944</v>
      </c>
      <c r="J1722" s="1">
        <v>613.24</v>
      </c>
    </row>
    <row r="1723" spans="1:10" x14ac:dyDescent="0.25">
      <c r="A1723" s="1" t="s">
        <v>65</v>
      </c>
      <c r="B1723" s="1" t="s">
        <v>66</v>
      </c>
      <c r="C1723" s="1" t="s">
        <v>983</v>
      </c>
      <c r="D1723" s="1">
        <v>36.160499999999999</v>
      </c>
      <c r="E1723" s="1">
        <v>-80.665199999999999</v>
      </c>
      <c r="F1723" s="1" t="s">
        <v>1925</v>
      </c>
      <c r="G1723" s="22">
        <v>1743.6823940644674</v>
      </c>
      <c r="H1723" s="20">
        <f ca="1">NOW() - TIME(5,30,0) + (VLOOKUP(MasterTable[[#This Row],[TimeZone]], $O$3:$P$8, 2, FALSE) / 24)</f>
        <v>45990.573544791667</v>
      </c>
      <c r="I1723" s="1" t="s">
        <v>1944</v>
      </c>
      <c r="J1723" s="1">
        <v>337.49</v>
      </c>
    </row>
    <row r="1724" spans="1:10" x14ac:dyDescent="0.25">
      <c r="A1724" s="1" t="s">
        <v>65</v>
      </c>
      <c r="B1724" s="1" t="s">
        <v>66</v>
      </c>
      <c r="C1724" s="1" t="s">
        <v>1004</v>
      </c>
      <c r="D1724" s="1">
        <v>35.920999999999999</v>
      </c>
      <c r="E1724" s="1">
        <v>-81.177000000000007</v>
      </c>
      <c r="F1724" s="1" t="s">
        <v>1925</v>
      </c>
      <c r="G1724" s="22">
        <v>1715.0912499737647</v>
      </c>
      <c r="H1724" s="20">
        <f ca="1">NOW() - TIME(5,30,0) + (VLOOKUP(MasterTable[[#This Row],[TimeZone]], $O$3:$P$8, 2, FALSE) / 24)</f>
        <v>45990.573544791667</v>
      </c>
      <c r="I1724" s="1" t="s">
        <v>1944</v>
      </c>
      <c r="J1724" s="1">
        <v>252.54</v>
      </c>
    </row>
    <row r="1725" spans="1:10" x14ac:dyDescent="0.25">
      <c r="A1725" s="1" t="s">
        <v>65</v>
      </c>
      <c r="B1725" s="1" t="s">
        <v>66</v>
      </c>
      <c r="C1725" s="1" t="s">
        <v>1022</v>
      </c>
      <c r="D1725" s="1">
        <v>34.840899999999998</v>
      </c>
      <c r="E1725" s="1">
        <v>-79.480400000000003</v>
      </c>
      <c r="F1725" s="1" t="s">
        <v>1925</v>
      </c>
      <c r="G1725" s="22">
        <v>1812.8649294172517</v>
      </c>
      <c r="H1725" s="20">
        <f ca="1">NOW() - TIME(5,30,0) + (VLOOKUP(MasterTable[[#This Row],[TimeZone]], $O$3:$P$8, 2, FALSE) / 24)</f>
        <v>45990.573544791667</v>
      </c>
      <c r="I1725" s="1" t="s">
        <v>1944</v>
      </c>
      <c r="J1725" s="1">
        <v>439.25</v>
      </c>
    </row>
    <row r="1726" spans="1:10" x14ac:dyDescent="0.25">
      <c r="A1726" s="1" t="s">
        <v>65</v>
      </c>
      <c r="B1726" s="1" t="s">
        <v>66</v>
      </c>
      <c r="C1726" s="1" t="s">
        <v>1037</v>
      </c>
      <c r="D1726" s="1">
        <v>35.202100000000002</v>
      </c>
      <c r="E1726" s="1">
        <v>-82.798199999999994</v>
      </c>
      <c r="F1726" s="1" t="s">
        <v>1925</v>
      </c>
      <c r="G1726" s="22">
        <v>1624.3579346646784</v>
      </c>
      <c r="H1726" s="20">
        <f ca="1">NOW() - TIME(5,30,0) + (VLOOKUP(MasterTable[[#This Row],[TimeZone]], $O$3:$P$8, 2, FALSE) / 24)</f>
        <v>45990.573544791667</v>
      </c>
      <c r="I1726" s="1" t="s">
        <v>1944</v>
      </c>
      <c r="J1726" s="1">
        <v>380.56</v>
      </c>
    </row>
    <row r="1727" spans="1:10" x14ac:dyDescent="0.25">
      <c r="A1727" s="1" t="s">
        <v>65</v>
      </c>
      <c r="B1727" s="1" t="s">
        <v>66</v>
      </c>
      <c r="C1727" s="1" t="s">
        <v>1081</v>
      </c>
      <c r="D1727" s="1">
        <v>36.405000000000001</v>
      </c>
      <c r="E1727" s="1">
        <v>-76.007900000000006</v>
      </c>
      <c r="F1727" s="1" t="s">
        <v>1925</v>
      </c>
      <c r="G1727" s="22">
        <v>2002.7443346656694</v>
      </c>
      <c r="H1727" s="20">
        <f ca="1">NOW() - TIME(5,30,0) + (VLOOKUP(MasterTable[[#This Row],[TimeZone]], $O$3:$P$8, 2, FALSE) / 24)</f>
        <v>45990.573544791667</v>
      </c>
      <c r="I1727" s="1" t="s">
        <v>1944</v>
      </c>
      <c r="J1727" s="1">
        <v>525.65</v>
      </c>
    </row>
    <row r="1728" spans="1:10" x14ac:dyDescent="0.25">
      <c r="A1728" s="1" t="s">
        <v>65</v>
      </c>
      <c r="B1728" s="1" t="s">
        <v>66</v>
      </c>
      <c r="C1728" s="1" t="s">
        <v>1082</v>
      </c>
      <c r="D1728" s="1">
        <v>34.614600000000003</v>
      </c>
      <c r="E1728" s="1">
        <v>-78.563699999999997</v>
      </c>
      <c r="F1728" s="1" t="s">
        <v>1925</v>
      </c>
      <c r="G1728" s="22">
        <v>1865.8277644524305</v>
      </c>
      <c r="H1728" s="20">
        <f ca="1">NOW() - TIME(5,30,0) + (VLOOKUP(MasterTable[[#This Row],[TimeZone]], $O$3:$P$8, 2, FALSE) / 24)</f>
        <v>45990.573544791667</v>
      </c>
      <c r="I1728" s="1" t="s">
        <v>1944</v>
      </c>
      <c r="J1728" s="1">
        <v>887.13</v>
      </c>
    </row>
    <row r="1729" spans="1:10" x14ac:dyDescent="0.25">
      <c r="A1729" s="1" t="s">
        <v>65</v>
      </c>
      <c r="B1729" s="1" t="s">
        <v>66</v>
      </c>
      <c r="C1729" s="1" t="s">
        <v>313</v>
      </c>
      <c r="D1729" s="1">
        <v>35.133899999999997</v>
      </c>
      <c r="E1729" s="1">
        <v>-84.063500000000005</v>
      </c>
      <c r="F1729" s="1" t="s">
        <v>1925</v>
      </c>
      <c r="G1729" s="22">
        <v>1552.934727482316</v>
      </c>
      <c r="H1729" s="20">
        <f ca="1">NOW() - TIME(5,30,0) + (VLOOKUP(MasterTable[[#This Row],[TimeZone]], $O$3:$P$8, 2, FALSE) / 24)</f>
        <v>45990.573544791667</v>
      </c>
      <c r="I1729" s="1" t="s">
        <v>1944</v>
      </c>
      <c r="J1729" s="1">
        <v>599.95000000000005</v>
      </c>
    </row>
    <row r="1730" spans="1:10" x14ac:dyDescent="0.25">
      <c r="A1730" s="1" t="s">
        <v>65</v>
      </c>
      <c r="B1730" s="1" t="s">
        <v>66</v>
      </c>
      <c r="C1730" s="1" t="s">
        <v>1131</v>
      </c>
      <c r="D1730" s="1">
        <v>36.434100000000001</v>
      </c>
      <c r="E1730" s="1">
        <v>-81.500299999999996</v>
      </c>
      <c r="F1730" s="1" t="s">
        <v>1925</v>
      </c>
      <c r="G1730" s="22">
        <v>1697.3894719118409</v>
      </c>
      <c r="H1730" s="20">
        <f ca="1">NOW() - TIME(5,30,0) + (VLOOKUP(MasterTable[[#This Row],[TimeZone]], $O$3:$P$8, 2, FALSE) / 24)</f>
        <v>45990.573544791667</v>
      </c>
      <c r="I1730" s="1" t="s">
        <v>1944</v>
      </c>
      <c r="J1730" s="1">
        <v>426.78</v>
      </c>
    </row>
    <row r="1731" spans="1:10" x14ac:dyDescent="0.25">
      <c r="A1731" s="1" t="s">
        <v>65</v>
      </c>
      <c r="B1731" s="1" t="s">
        <v>66</v>
      </c>
      <c r="C1731" s="1" t="s">
        <v>75</v>
      </c>
      <c r="D1731" s="1">
        <v>35.332500000000003</v>
      </c>
      <c r="E1731" s="1">
        <v>-79.905500000000004</v>
      </c>
      <c r="F1731" s="1" t="s">
        <v>1925</v>
      </c>
      <c r="G1731" s="22">
        <v>1787.2711468371649</v>
      </c>
      <c r="H1731" s="20">
        <f ca="1">NOW() - TIME(5,30,0) + (VLOOKUP(MasterTable[[#This Row],[TimeZone]], $O$3:$P$8, 2, FALSE) / 24)</f>
        <v>45990.573544791667</v>
      </c>
      <c r="I1731" s="1" t="s">
        <v>1944</v>
      </c>
      <c r="J1731" s="1">
        <v>799.76</v>
      </c>
    </row>
    <row r="1732" spans="1:10" x14ac:dyDescent="0.25">
      <c r="A1732" s="1" t="s">
        <v>65</v>
      </c>
      <c r="B1732" s="1" t="s">
        <v>66</v>
      </c>
      <c r="C1732" s="1" t="s">
        <v>1214</v>
      </c>
      <c r="D1732" s="1">
        <v>36.3932</v>
      </c>
      <c r="E1732" s="1">
        <v>-79.333500000000001</v>
      </c>
      <c r="F1732" s="1" t="s">
        <v>1925</v>
      </c>
      <c r="G1732" s="22">
        <v>1817.8466057898227</v>
      </c>
      <c r="H1732" s="20">
        <f ca="1">NOW() - TIME(5,30,0) + (VLOOKUP(MasterTable[[#This Row],[TimeZone]], $O$3:$P$8, 2, FALSE) / 24)</f>
        <v>45990.573544791667</v>
      </c>
      <c r="I1732" s="1" t="s">
        <v>1944</v>
      </c>
      <c r="J1732" s="1">
        <v>428.43</v>
      </c>
    </row>
    <row r="1733" spans="1:10" x14ac:dyDescent="0.25">
      <c r="A1733" s="1" t="s">
        <v>65</v>
      </c>
      <c r="B1733" s="1" t="s">
        <v>66</v>
      </c>
      <c r="C1733" s="1" t="s">
        <v>1231</v>
      </c>
      <c r="D1733" s="1">
        <v>34.973799999999997</v>
      </c>
      <c r="E1733" s="1">
        <v>-80.102699999999999</v>
      </c>
      <c r="F1733" s="1" t="s">
        <v>1925</v>
      </c>
      <c r="G1733" s="22">
        <v>1777.1707346245314</v>
      </c>
      <c r="H1733" s="20">
        <f ca="1">NOW() - TIME(5,30,0) + (VLOOKUP(MasterTable[[#This Row],[TimeZone]], $O$3:$P$8, 2, FALSE) / 24)</f>
        <v>45990.573544791667</v>
      </c>
      <c r="I1733" s="1" t="s">
        <v>1944</v>
      </c>
      <c r="J1733" s="1">
        <v>537.13</v>
      </c>
    </row>
    <row r="1734" spans="1:10" x14ac:dyDescent="0.25">
      <c r="A1734" s="1" t="s">
        <v>65</v>
      </c>
      <c r="B1734" s="1" t="s">
        <v>66</v>
      </c>
      <c r="C1734" s="1" t="s">
        <v>452</v>
      </c>
      <c r="D1734" s="1">
        <v>35.843200000000003</v>
      </c>
      <c r="E1734" s="1">
        <v>-77.109200000000001</v>
      </c>
      <c r="F1734" s="1" t="s">
        <v>1925</v>
      </c>
      <c r="G1734" s="22">
        <v>1942.872231156641</v>
      </c>
      <c r="H1734" s="20">
        <f ca="1">NOW() - TIME(5,30,0) + (VLOOKUP(MasterTable[[#This Row],[TimeZone]], $O$3:$P$8, 2, FALSE) / 24)</f>
        <v>45990.573544791667</v>
      </c>
      <c r="I1734" s="1" t="s">
        <v>1944</v>
      </c>
      <c r="J1734" s="1">
        <v>752.79</v>
      </c>
    </row>
    <row r="1735" spans="1:10" x14ac:dyDescent="0.25">
      <c r="A1735" s="1" t="s">
        <v>65</v>
      </c>
      <c r="B1735" s="1" t="s">
        <v>66</v>
      </c>
      <c r="C1735" s="1" t="s">
        <v>244</v>
      </c>
      <c r="D1735" s="1">
        <v>35.857999999999997</v>
      </c>
      <c r="E1735" s="1">
        <v>-82.705799999999996</v>
      </c>
      <c r="F1735" s="1" t="s">
        <v>1925</v>
      </c>
      <c r="G1735" s="22">
        <v>1629.4917914546418</v>
      </c>
      <c r="H1735" s="20">
        <f ca="1">NOW() - TIME(5,30,0) + (VLOOKUP(MasterTable[[#This Row],[TimeZone]], $O$3:$P$8, 2, FALSE) / 24)</f>
        <v>45990.573544791667</v>
      </c>
      <c r="I1735" s="1" t="s">
        <v>1944</v>
      </c>
      <c r="J1735" s="1">
        <v>812.85</v>
      </c>
    </row>
    <row r="1736" spans="1:10" x14ac:dyDescent="0.25">
      <c r="A1736" s="1" t="s">
        <v>65</v>
      </c>
      <c r="B1736" s="1" t="s">
        <v>66</v>
      </c>
      <c r="C1736" s="1" t="s">
        <v>1265</v>
      </c>
      <c r="D1736" s="1">
        <v>36.359099999999998</v>
      </c>
      <c r="E1736" s="1">
        <v>-76.981999999999999</v>
      </c>
      <c r="F1736" s="1" t="s">
        <v>1925</v>
      </c>
      <c r="G1736" s="22">
        <v>1948.6859760698469</v>
      </c>
      <c r="H1736" s="20">
        <f ca="1">NOW() - TIME(5,30,0) + (VLOOKUP(MasterTable[[#This Row],[TimeZone]], $O$3:$P$8, 2, FALSE) / 24)</f>
        <v>45990.573544791667</v>
      </c>
      <c r="I1736" s="1" t="s">
        <v>1944</v>
      </c>
      <c r="J1736" s="1">
        <v>360.42</v>
      </c>
    </row>
    <row r="1737" spans="1:10" x14ac:dyDescent="0.25">
      <c r="A1737" s="1" t="s">
        <v>65</v>
      </c>
      <c r="B1737" s="1" t="s">
        <v>66</v>
      </c>
      <c r="C1737" s="1" t="s">
        <v>289</v>
      </c>
      <c r="D1737" s="1">
        <v>35.484999999999999</v>
      </c>
      <c r="E1737" s="1">
        <v>-77.675799999999995</v>
      </c>
      <c r="F1737" s="1" t="s">
        <v>1925</v>
      </c>
      <c r="G1737" s="22">
        <v>1912.2666706018847</v>
      </c>
      <c r="H1737" s="20">
        <f ca="1">NOW() - TIME(5,30,0) + (VLOOKUP(MasterTable[[#This Row],[TimeZone]], $O$3:$P$8, 2, FALSE) / 24)</f>
        <v>45990.573544791667</v>
      </c>
      <c r="I1737" s="1" t="s">
        <v>1944</v>
      </c>
      <c r="J1737" s="1">
        <v>659.93</v>
      </c>
    </row>
    <row r="1738" spans="1:10" x14ac:dyDescent="0.25">
      <c r="A1738" s="1" t="s">
        <v>65</v>
      </c>
      <c r="B1738" s="1" t="s">
        <v>66</v>
      </c>
      <c r="C1738" s="1" t="s">
        <v>134</v>
      </c>
      <c r="D1738" s="1">
        <v>35.279299999999999</v>
      </c>
      <c r="E1738" s="1">
        <v>-82.169700000000006</v>
      </c>
      <c r="F1738" s="1" t="s">
        <v>1925</v>
      </c>
      <c r="G1738" s="22">
        <v>1659.7398826652768</v>
      </c>
      <c r="H1738" s="20">
        <f ca="1">NOW() - TIME(5,30,0) + (VLOOKUP(MasterTable[[#This Row],[TimeZone]], $O$3:$P$8, 2, FALSE) / 24)</f>
        <v>45990.573544791667</v>
      </c>
      <c r="I1738" s="1" t="s">
        <v>1944</v>
      </c>
      <c r="J1738" s="1">
        <v>862.42</v>
      </c>
    </row>
    <row r="1739" spans="1:10" x14ac:dyDescent="0.25">
      <c r="A1739" s="1" t="s">
        <v>65</v>
      </c>
      <c r="B1739" s="1" t="s">
        <v>66</v>
      </c>
      <c r="C1739" s="1" t="s">
        <v>331</v>
      </c>
      <c r="D1739" s="1">
        <v>36.396500000000003</v>
      </c>
      <c r="E1739" s="1">
        <v>-78.106700000000004</v>
      </c>
      <c r="F1739" s="1" t="s">
        <v>1925</v>
      </c>
      <c r="G1739" s="22">
        <v>1886.0750879090976</v>
      </c>
      <c r="H1739" s="20">
        <f ca="1">NOW() - TIME(5,30,0) + (VLOOKUP(MasterTable[[#This Row],[TimeZone]], $O$3:$P$8, 2, FALSE) / 24)</f>
        <v>45990.573544791667</v>
      </c>
      <c r="I1739" s="1" t="s">
        <v>1944</v>
      </c>
      <c r="J1739" s="1">
        <v>286.74</v>
      </c>
    </row>
    <row r="1740" spans="1:10" x14ac:dyDescent="0.25">
      <c r="A1740" s="1" t="s">
        <v>65</v>
      </c>
      <c r="B1740" s="1" t="s">
        <v>66</v>
      </c>
      <c r="C1740" s="1" t="s">
        <v>1305</v>
      </c>
      <c r="D1740" s="1">
        <v>35.898899999999998</v>
      </c>
      <c r="E1740" s="1">
        <v>-82.307599999999994</v>
      </c>
      <c r="F1740" s="1" t="s">
        <v>1925</v>
      </c>
      <c r="G1740" s="22">
        <v>1651.8130157622043</v>
      </c>
      <c r="H1740" s="20">
        <f ca="1">NOW() - TIME(5,30,0) + (VLOOKUP(MasterTable[[#This Row],[TimeZone]], $O$3:$P$8, 2, FALSE) / 24)</f>
        <v>45990.573544791667</v>
      </c>
      <c r="I1740" s="1" t="s">
        <v>1944</v>
      </c>
      <c r="J1740" s="1">
        <v>313.11</v>
      </c>
    </row>
    <row r="1741" spans="1:10" x14ac:dyDescent="0.25">
      <c r="A1741" s="1" t="s">
        <v>65</v>
      </c>
      <c r="B1741" s="1" t="s">
        <v>66</v>
      </c>
      <c r="C1741" s="1" t="s">
        <v>1333</v>
      </c>
      <c r="D1741" s="1">
        <v>36.076500000000003</v>
      </c>
      <c r="E1741" s="1">
        <v>-81.922600000000003</v>
      </c>
      <c r="F1741" s="1" t="s">
        <v>1925</v>
      </c>
      <c r="G1741" s="22">
        <v>1673.4618370553321</v>
      </c>
      <c r="H1741" s="20">
        <f ca="1">NOW() - TIME(5,30,0) + (VLOOKUP(MasterTable[[#This Row],[TimeZone]], $O$3:$P$8, 2, FALSE) / 24)</f>
        <v>45990.573544791667</v>
      </c>
      <c r="I1741" s="1" t="s">
        <v>1944</v>
      </c>
      <c r="J1741" s="1">
        <v>247.21</v>
      </c>
    </row>
    <row r="1742" spans="1:10" x14ac:dyDescent="0.25">
      <c r="A1742" s="1" t="s">
        <v>65</v>
      </c>
      <c r="B1742" s="1" t="s">
        <v>66</v>
      </c>
      <c r="C1742" s="1" t="s">
        <v>1337</v>
      </c>
      <c r="D1742" s="1">
        <v>36.066299999999998</v>
      </c>
      <c r="E1742" s="1">
        <v>-76.978800000000007</v>
      </c>
      <c r="F1742" s="1" t="s">
        <v>1925</v>
      </c>
      <c r="G1742" s="22">
        <v>1949.5313247824802</v>
      </c>
      <c r="H1742" s="20">
        <f ca="1">NOW() - TIME(5,30,0) + (VLOOKUP(MasterTable[[#This Row],[TimeZone]], $O$3:$P$8, 2, FALSE) / 24)</f>
        <v>45990.573544791667</v>
      </c>
      <c r="I1742" s="1" t="s">
        <v>1944</v>
      </c>
      <c r="J1742" s="1">
        <v>741.22</v>
      </c>
    </row>
    <row r="1743" spans="1:10" x14ac:dyDescent="0.25">
      <c r="A1743" s="1" t="s">
        <v>65</v>
      </c>
      <c r="B1743" s="1" t="s">
        <v>66</v>
      </c>
      <c r="C1743" s="1" t="s">
        <v>281</v>
      </c>
      <c r="D1743" s="1">
        <v>36.4178</v>
      </c>
      <c r="E1743" s="1">
        <v>-77.396900000000002</v>
      </c>
      <c r="F1743" s="1" t="s">
        <v>1925</v>
      </c>
      <c r="G1743" s="22">
        <v>1925.5124165975992</v>
      </c>
      <c r="H1743" s="20">
        <f ca="1">NOW() - TIME(5,30,0) + (VLOOKUP(MasterTable[[#This Row],[TimeZone]], $O$3:$P$8, 2, FALSE) / 24)</f>
        <v>45990.573544791667</v>
      </c>
      <c r="I1743" s="1" t="s">
        <v>1944</v>
      </c>
      <c r="J1743" s="1">
        <v>550.61</v>
      </c>
    </row>
    <row r="1744" spans="1:10" x14ac:dyDescent="0.25">
      <c r="A1744" s="1" t="s">
        <v>65</v>
      </c>
      <c r="B1744" s="1" t="s">
        <v>66</v>
      </c>
      <c r="C1744" s="1" t="s">
        <v>1243</v>
      </c>
      <c r="D1744" s="1">
        <v>36.013300000000001</v>
      </c>
      <c r="E1744" s="1">
        <v>-82.163600000000002</v>
      </c>
      <c r="F1744" s="1" t="s">
        <v>1925</v>
      </c>
      <c r="G1744" s="22">
        <v>1659.9474551092908</v>
      </c>
      <c r="H1744" s="20">
        <f ca="1">NOW() - TIME(5,30,0) + (VLOOKUP(MasterTable[[#This Row],[TimeZone]], $O$3:$P$8, 2, FALSE) / 24)</f>
        <v>45990.573544791667</v>
      </c>
      <c r="I1744" s="1" t="s">
        <v>1944</v>
      </c>
      <c r="J1744" s="1">
        <v>513.80999999999995</v>
      </c>
    </row>
    <row r="1745" spans="1:12" x14ac:dyDescent="0.25">
      <c r="A1745" s="1" t="s">
        <v>65</v>
      </c>
      <c r="B1745" s="1" t="s">
        <v>66</v>
      </c>
      <c r="C1745" s="1" t="s">
        <v>1433</v>
      </c>
      <c r="D1745" s="1">
        <v>35.486800000000002</v>
      </c>
      <c r="E1745" s="1">
        <v>-83.492800000000003</v>
      </c>
      <c r="F1745" s="1" t="s">
        <v>1925</v>
      </c>
      <c r="G1745" s="22">
        <v>1585.113972803035</v>
      </c>
      <c r="H1745" s="20">
        <f ca="1">NOW() - TIME(5,30,0) + (VLOOKUP(MasterTable[[#This Row],[TimeZone]], $O$3:$P$8, 2, FALSE) / 24)</f>
        <v>45990.573544791667</v>
      </c>
      <c r="I1745" s="1" t="s">
        <v>1944</v>
      </c>
      <c r="J1745" s="1">
        <v>540.64</v>
      </c>
    </row>
    <row r="1746" spans="1:12" x14ac:dyDescent="0.25">
      <c r="A1746" s="1" t="s">
        <v>65</v>
      </c>
      <c r="B1746" s="1" t="s">
        <v>66</v>
      </c>
      <c r="C1746" s="1" t="s">
        <v>1447</v>
      </c>
      <c r="D1746" s="1">
        <v>36.150799999999997</v>
      </c>
      <c r="E1746" s="1">
        <v>-76.607900000000001</v>
      </c>
      <c r="F1746" s="1" t="s">
        <v>1925</v>
      </c>
      <c r="G1746" s="22">
        <v>1969.9989995505518</v>
      </c>
      <c r="H1746" s="20">
        <f ca="1">NOW() - TIME(5,30,0) + (VLOOKUP(MasterTable[[#This Row],[TimeZone]], $O$3:$P$8, 2, FALSE) / 24)</f>
        <v>45990.573544791667</v>
      </c>
      <c r="I1746" s="1" t="s">
        <v>1944</v>
      </c>
      <c r="J1746" s="1">
        <v>233.31</v>
      </c>
    </row>
    <row r="1747" spans="1:12" x14ac:dyDescent="0.25">
      <c r="A1747" s="1" t="s">
        <v>65</v>
      </c>
      <c r="B1747" s="1" t="s">
        <v>66</v>
      </c>
      <c r="C1747" s="1" t="s">
        <v>1463</v>
      </c>
      <c r="D1747" s="1">
        <v>36.2059</v>
      </c>
      <c r="E1747" s="1">
        <v>-76.441100000000006</v>
      </c>
      <c r="F1747" s="1" t="s">
        <v>1925</v>
      </c>
      <c r="G1747" s="22">
        <v>1979.1493137207474</v>
      </c>
      <c r="H1747" s="20">
        <f ca="1">NOW() - TIME(5,30,0) + (VLOOKUP(MasterTable[[#This Row],[TimeZone]], $O$3:$P$8, 2, FALSE) / 24)</f>
        <v>45990.573544791667</v>
      </c>
      <c r="I1747" s="1" t="s">
        <v>1944</v>
      </c>
      <c r="J1747" s="1">
        <v>328.93</v>
      </c>
    </row>
    <row r="1748" spans="1:12" x14ac:dyDescent="0.25">
      <c r="A1748" s="1" t="s">
        <v>65</v>
      </c>
      <c r="B1748" s="1" t="s">
        <v>66</v>
      </c>
      <c r="C1748" s="1" t="s">
        <v>1489</v>
      </c>
      <c r="D1748" s="1">
        <v>35.1434</v>
      </c>
      <c r="E1748" s="1">
        <v>-76.740700000000004</v>
      </c>
      <c r="F1748" s="1" t="s">
        <v>1925</v>
      </c>
      <c r="G1748" s="22">
        <v>1966.3141104815084</v>
      </c>
      <c r="H1748" s="20">
        <f ca="1">NOW() - TIME(5,30,0) + (VLOOKUP(MasterTable[[#This Row],[TimeZone]], $O$3:$P$8, 2, FALSE) / 24)</f>
        <v>45990.573544791667</v>
      </c>
      <c r="I1748" s="1" t="s">
        <v>1944</v>
      </c>
      <c r="J1748" s="1">
        <v>566.23</v>
      </c>
    </row>
    <row r="1749" spans="1:12" x14ac:dyDescent="0.25">
      <c r="A1749" s="1" t="s">
        <v>65</v>
      </c>
      <c r="B1749" s="1" t="s">
        <v>66</v>
      </c>
      <c r="C1749" s="1" t="s">
        <v>327</v>
      </c>
      <c r="D1749" s="1">
        <v>35.057200000000002</v>
      </c>
      <c r="E1749" s="1">
        <v>-83.750200000000007</v>
      </c>
      <c r="F1749" s="1" t="s">
        <v>1925</v>
      </c>
      <c r="G1749" s="22">
        <v>1570.6873595000684</v>
      </c>
      <c r="H1749" s="20">
        <f ca="1">NOW() - TIME(5,30,0) + (VLOOKUP(MasterTable[[#This Row],[TimeZone]], $O$3:$P$8, 2, FALSE) / 24)</f>
        <v>45990.573544791667</v>
      </c>
      <c r="I1749" s="1" t="s">
        <v>1944</v>
      </c>
      <c r="J1749" s="1">
        <v>606</v>
      </c>
    </row>
    <row r="1750" spans="1:12" x14ac:dyDescent="0.25">
      <c r="A1750" s="1" t="s">
        <v>65</v>
      </c>
      <c r="B1750" s="1" t="s">
        <v>66</v>
      </c>
      <c r="C1750" s="1" t="s">
        <v>1403</v>
      </c>
      <c r="D1750" s="1">
        <v>36.491599999999998</v>
      </c>
      <c r="E1750" s="1">
        <v>-81.126999999999995</v>
      </c>
      <c r="F1750" s="1" t="s">
        <v>1925</v>
      </c>
      <c r="G1750" s="22">
        <v>1718.2088448093957</v>
      </c>
      <c r="H1750" s="20">
        <f ca="1">NOW() - TIME(5,30,0) + (VLOOKUP(MasterTable[[#This Row],[TimeZone]], $O$3:$P$8, 2, FALSE) / 24)</f>
        <v>45990.573544791667</v>
      </c>
      <c r="I1750" s="1" t="s">
        <v>1944</v>
      </c>
      <c r="J1750" s="1">
        <v>235.52</v>
      </c>
    </row>
    <row r="1751" spans="1:12" x14ac:dyDescent="0.25">
      <c r="A1751" s="1" t="s">
        <v>65</v>
      </c>
      <c r="B1751" s="1" t="s">
        <v>66</v>
      </c>
      <c r="C1751" s="1" t="s">
        <v>28</v>
      </c>
      <c r="D1751" s="1">
        <v>35.822499999999998</v>
      </c>
      <c r="E1751" s="1">
        <v>-76.577500000000001</v>
      </c>
      <c r="F1751" s="1" t="s">
        <v>1925</v>
      </c>
      <c r="G1751" s="22">
        <v>1972.6919841666829</v>
      </c>
      <c r="H1751" s="20">
        <f ca="1">NOW() - TIME(5,30,0) + (VLOOKUP(MasterTable[[#This Row],[TimeZone]], $O$3:$P$8, 2, FALSE) / 24)</f>
        <v>45990.573544791667</v>
      </c>
      <c r="I1751" s="1" t="s">
        <v>1944</v>
      </c>
      <c r="J1751" s="1">
        <v>1088.54</v>
      </c>
    </row>
    <row r="1752" spans="1:12" x14ac:dyDescent="0.25">
      <c r="A1752" s="1" t="s">
        <v>65</v>
      </c>
      <c r="B1752" s="1" t="s">
        <v>66</v>
      </c>
      <c r="C1752" s="1" t="s">
        <v>194</v>
      </c>
      <c r="D1752" s="1">
        <v>36.389099999999999</v>
      </c>
      <c r="E1752" s="1">
        <v>-76.207899999999995</v>
      </c>
      <c r="F1752" s="1" t="s">
        <v>1925</v>
      </c>
      <c r="G1752" s="22">
        <v>1991.6663956303255</v>
      </c>
      <c r="H1752" s="20">
        <f ca="1">NOW() - TIME(5,30,0) + (VLOOKUP(MasterTable[[#This Row],[TimeZone]], $O$3:$P$8, 2, FALSE) / 24)</f>
        <v>45990.573544791667</v>
      </c>
      <c r="I1752" s="1" t="s">
        <v>1944</v>
      </c>
      <c r="J1752" s="1">
        <v>782.52</v>
      </c>
    </row>
    <row r="1753" spans="1:12" x14ac:dyDescent="0.25">
      <c r="A1753" s="1" t="s">
        <v>65</v>
      </c>
      <c r="B1753" s="1" t="s">
        <v>66</v>
      </c>
      <c r="C1753" s="1" t="s">
        <v>1538</v>
      </c>
      <c r="D1753" s="1">
        <v>36.444899999999997</v>
      </c>
      <c r="E1753" s="1">
        <v>-76.700500000000005</v>
      </c>
      <c r="F1753" s="1" t="s">
        <v>1925</v>
      </c>
      <c r="G1753" s="22">
        <v>1964.1683926280193</v>
      </c>
      <c r="H1753" s="20">
        <f ca="1">NOW() - TIME(5,30,0) + (VLOOKUP(MasterTable[[#This Row],[TimeZone]], $O$3:$P$8, 2, FALSE) / 24)</f>
        <v>45990.573544791667</v>
      </c>
      <c r="I1753" s="1" t="s">
        <v>1944</v>
      </c>
      <c r="J1753" s="1">
        <v>345.6</v>
      </c>
    </row>
    <row r="1754" spans="1:12" x14ac:dyDescent="0.25">
      <c r="A1754" s="1" t="s">
        <v>65</v>
      </c>
      <c r="B1754" s="1" t="s">
        <v>66</v>
      </c>
      <c r="C1754" s="1" t="s">
        <v>733</v>
      </c>
      <c r="D1754" s="1">
        <v>35.021700000000003</v>
      </c>
      <c r="E1754" s="1">
        <v>-77.355199999999996</v>
      </c>
      <c r="F1754" s="1" t="s">
        <v>1925</v>
      </c>
      <c r="G1754" s="22">
        <v>1932.2313408377117</v>
      </c>
      <c r="H1754" s="20">
        <f ca="1">NOW() - TIME(5,30,0) + (VLOOKUP(MasterTable[[#This Row],[TimeZone]], $O$3:$P$8, 2, FALSE) / 24)</f>
        <v>45990.573544791667</v>
      </c>
      <c r="I1754" s="1" t="s">
        <v>1944</v>
      </c>
      <c r="J1754" s="1">
        <v>395.39</v>
      </c>
    </row>
    <row r="1755" spans="1:12" x14ac:dyDescent="0.25">
      <c r="A1755" s="1" t="s">
        <v>65</v>
      </c>
      <c r="B1755" s="1" t="s">
        <v>66</v>
      </c>
      <c r="C1755" s="1" t="s">
        <v>966</v>
      </c>
      <c r="D1755" s="1">
        <v>35.350200000000001</v>
      </c>
      <c r="E1755" s="1">
        <v>-83.833500000000001</v>
      </c>
      <c r="F1755" s="1" t="s">
        <v>1925</v>
      </c>
      <c r="G1755" s="22">
        <v>1565.8975128230429</v>
      </c>
      <c r="H1755" s="20">
        <f ca="1">NOW() - TIME(5,30,0) + (VLOOKUP(MasterTable[[#This Row],[TimeZone]], $O$3:$P$8, 2, FALSE) / 24)</f>
        <v>45990.573544791667</v>
      </c>
      <c r="I1755" s="1" t="s">
        <v>1944</v>
      </c>
      <c r="J1755" s="1">
        <v>4641.1400000000003</v>
      </c>
    </row>
    <row r="1756" spans="1:12" x14ac:dyDescent="0.25">
      <c r="A1756" s="1" t="s">
        <v>65</v>
      </c>
      <c r="B1756" s="1" t="s">
        <v>66</v>
      </c>
      <c r="C1756" s="1" t="s">
        <v>1764</v>
      </c>
      <c r="D1756" s="1">
        <v>35.5306</v>
      </c>
      <c r="E1756" s="1">
        <v>-76.2517</v>
      </c>
      <c r="F1756" s="1" t="s">
        <v>1925</v>
      </c>
      <c r="G1756" s="22">
        <v>1992.0669723997121</v>
      </c>
      <c r="H1756" s="20">
        <f ca="1">NOW() - TIME(5,30,0) + (VLOOKUP(MasterTable[[#This Row],[TimeZone]], $O$3:$P$8, 2, FALSE) / 24)</f>
        <v>45990.573544791667</v>
      </c>
      <c r="I1756" s="1" t="s">
        <v>1944</v>
      </c>
      <c r="J1756" s="1">
        <v>1424</v>
      </c>
    </row>
    <row r="1757" spans="1:12" x14ac:dyDescent="0.25">
      <c r="A1757" s="1" t="s">
        <v>65</v>
      </c>
      <c r="B1757" s="1" t="s">
        <v>66</v>
      </c>
      <c r="C1757" s="1" t="s">
        <v>1804</v>
      </c>
      <c r="D1757" s="1">
        <v>35.8172</v>
      </c>
      <c r="E1757" s="1">
        <v>-76.209000000000003</v>
      </c>
      <c r="F1757" s="1" t="s">
        <v>1925</v>
      </c>
      <c r="G1757" s="22">
        <v>1993.3303159897537</v>
      </c>
      <c r="H1757" s="20">
        <f ca="1">NOW() - TIME(5,30,0) + (VLOOKUP(MasterTable[[#This Row],[TimeZone]], $O$3:$P$8, 2, FALSE) / 24)</f>
        <v>45990.573544791667</v>
      </c>
      <c r="I1757" s="1" t="s">
        <v>1944</v>
      </c>
      <c r="J1757" s="1">
        <v>600.29999999999995</v>
      </c>
    </row>
    <row r="1758" spans="1:12" x14ac:dyDescent="0.25">
      <c r="A1758" s="1" t="s">
        <v>393</v>
      </c>
      <c r="B1758" s="1" t="s">
        <v>394</v>
      </c>
      <c r="C1758" s="1" t="s">
        <v>392</v>
      </c>
      <c r="D1758" s="1">
        <v>46.933</v>
      </c>
      <c r="E1758" s="1">
        <v>-97.248000000000005</v>
      </c>
      <c r="F1758" s="1" t="s">
        <v>1922</v>
      </c>
      <c r="G1758" s="22">
        <v>1246.6135967531966</v>
      </c>
      <c r="H1758" s="20">
        <f ca="1">NOW() - TIME(5,30,0) + (VLOOKUP(MasterTable[[#This Row],[TimeZone]], $O$3:$P$8, 2, FALSE) / 24)</f>
        <v>45990.531878125003</v>
      </c>
      <c r="I1758" s="1" t="s">
        <v>1944</v>
      </c>
      <c r="J1758" s="1">
        <v>383.73</v>
      </c>
    </row>
    <row r="1759" spans="1:12" x14ac:dyDescent="0.25">
      <c r="A1759" s="1" t="s">
        <v>393</v>
      </c>
      <c r="B1759" s="1" t="s">
        <v>394</v>
      </c>
      <c r="C1759" s="1" t="s">
        <v>594</v>
      </c>
      <c r="D1759" s="1">
        <v>46.977499999999999</v>
      </c>
      <c r="E1759" s="1">
        <v>-100.4687</v>
      </c>
      <c r="F1759" s="1" t="s">
        <v>1922</v>
      </c>
      <c r="G1759" s="22">
        <v>1159.2962556573714</v>
      </c>
      <c r="H1759" s="20">
        <f ca="1">NOW() - TIME(5,30,0) + (VLOOKUP(MasterTable[[#This Row],[TimeZone]], $O$3:$P$8, 2, FALSE) / 24)</f>
        <v>45990.531878125003</v>
      </c>
      <c r="I1759" s="1" t="s">
        <v>1944</v>
      </c>
      <c r="J1759" s="1">
        <v>1668.04</v>
      </c>
      <c r="K1759" s="10"/>
      <c r="L1759" s="10"/>
    </row>
    <row r="1760" spans="1:12" x14ac:dyDescent="0.25">
      <c r="A1760" s="1" t="s">
        <v>393</v>
      </c>
      <c r="B1760" s="1" t="s">
        <v>394</v>
      </c>
      <c r="C1760" s="1" t="s">
        <v>702</v>
      </c>
      <c r="D1760" s="1">
        <v>47.921900000000001</v>
      </c>
      <c r="E1760" s="1">
        <v>-97.456900000000005</v>
      </c>
      <c r="F1760" s="1" t="s">
        <v>1922</v>
      </c>
      <c r="G1760" s="22">
        <v>1293.5292624234651</v>
      </c>
      <c r="H1760" s="20">
        <f ca="1">NOW() - TIME(5,30,0) + (VLOOKUP(MasterTable[[#This Row],[TimeZone]], $O$3:$P$8, 2, FALSE) / 24)</f>
        <v>45990.531878125003</v>
      </c>
      <c r="I1760" s="1" t="s">
        <v>1944</v>
      </c>
      <c r="J1760" s="1">
        <v>1439.83</v>
      </c>
      <c r="K1760" s="11"/>
      <c r="L1760" s="11"/>
    </row>
    <row r="1761" spans="1:12" x14ac:dyDescent="0.25">
      <c r="A1761" s="1" t="s">
        <v>393</v>
      </c>
      <c r="B1761" s="1" t="s">
        <v>394</v>
      </c>
      <c r="C1761" s="1" t="s">
        <v>714</v>
      </c>
      <c r="D1761" s="1">
        <v>48.221699999999998</v>
      </c>
      <c r="E1761" s="1">
        <v>-101.54179999999999</v>
      </c>
      <c r="F1761" s="1" t="s">
        <v>1922</v>
      </c>
      <c r="G1761" s="22">
        <v>1209.1969773445167</v>
      </c>
      <c r="H1761" s="20">
        <f ca="1">NOW() - TIME(5,30,0) + (VLOOKUP(MasterTable[[#This Row],[TimeZone]], $O$3:$P$8, 2, FALSE) / 24)</f>
        <v>45990.531878125003</v>
      </c>
      <c r="I1761" s="1" t="s">
        <v>1944</v>
      </c>
      <c r="J1761" s="1">
        <v>2056.25</v>
      </c>
      <c r="K1761" s="11"/>
      <c r="L1761" s="11"/>
    </row>
    <row r="1762" spans="1:12" x14ac:dyDescent="0.25">
      <c r="A1762" s="1" t="s">
        <v>393</v>
      </c>
      <c r="B1762" s="1" t="s">
        <v>394</v>
      </c>
      <c r="C1762" s="1" t="s">
        <v>960</v>
      </c>
      <c r="D1762" s="1">
        <v>48.343699999999998</v>
      </c>
      <c r="E1762" s="1">
        <v>-103.4802</v>
      </c>
      <c r="F1762" s="1" t="s">
        <v>1942</v>
      </c>
      <c r="G1762" s="22">
        <v>1179.7146175509961</v>
      </c>
      <c r="H1762" s="20" t="e">
        <f ca="1">NOW() - TIME(5,30,0) + (VLOOKUP(MasterTable[[#This Row],[TimeZone]], $O$3:$P$8, 2, FALSE) / 24)</f>
        <v>#N/A</v>
      </c>
      <c r="I1762" s="1" t="s">
        <v>1944</v>
      </c>
      <c r="J1762" s="1">
        <v>2147.9699999999998</v>
      </c>
      <c r="K1762" s="11"/>
      <c r="L1762" s="11"/>
    </row>
    <row r="1763" spans="1:12" x14ac:dyDescent="0.25">
      <c r="A1763" s="1" t="s">
        <v>393</v>
      </c>
      <c r="B1763" s="1" t="s">
        <v>394</v>
      </c>
      <c r="C1763" s="1" t="s">
        <v>1032</v>
      </c>
      <c r="D1763" s="1">
        <v>46.716099999999997</v>
      </c>
      <c r="E1763" s="1">
        <v>-101.2811</v>
      </c>
      <c r="F1763" s="1" t="s">
        <v>1923</v>
      </c>
      <c r="G1763" s="22">
        <v>1123.9274350759536</v>
      </c>
      <c r="H1763" s="20">
        <f ca="1">NOW() - TIME(5,30,0) + (VLOOKUP(MasterTable[[#This Row],[TimeZone]], $O$3:$P$8, 2, FALSE) / 24)</f>
        <v>45990.490211458338</v>
      </c>
      <c r="I1763" s="1" t="s">
        <v>1944</v>
      </c>
      <c r="J1763" s="1">
        <v>729.94</v>
      </c>
      <c r="K1763" s="11"/>
      <c r="L1763" s="11"/>
    </row>
    <row r="1764" spans="1:12" x14ac:dyDescent="0.25">
      <c r="A1764" s="1" t="s">
        <v>393</v>
      </c>
      <c r="B1764" s="1" t="s">
        <v>394</v>
      </c>
      <c r="C1764" s="1" t="s">
        <v>255</v>
      </c>
      <c r="D1764" s="1">
        <v>46.810699999999997</v>
      </c>
      <c r="E1764" s="1">
        <v>-102.6551</v>
      </c>
      <c r="F1764" s="1" t="s">
        <v>1923</v>
      </c>
      <c r="G1764" s="22">
        <v>1098.749008548275</v>
      </c>
      <c r="H1764" s="20">
        <f ca="1">NOW() - TIME(5,30,0) + (VLOOKUP(MasterTable[[#This Row],[TimeZone]], $O$3:$P$8, 2, FALSE) / 24)</f>
        <v>45990.490211458338</v>
      </c>
      <c r="I1764" s="1" t="s">
        <v>1944</v>
      </c>
      <c r="J1764" s="1">
        <v>288.20999999999998</v>
      </c>
      <c r="K1764" s="11"/>
      <c r="L1764" s="11"/>
    </row>
    <row r="1765" spans="1:12" x14ac:dyDescent="0.25">
      <c r="A1765" s="1" t="s">
        <v>393</v>
      </c>
      <c r="B1765" s="1" t="s">
        <v>394</v>
      </c>
      <c r="C1765" s="1" t="s">
        <v>1240</v>
      </c>
      <c r="D1765" s="1">
        <v>46.979300000000002</v>
      </c>
      <c r="E1765" s="1">
        <v>-98.958799999999997</v>
      </c>
      <c r="F1765" s="1" t="s">
        <v>1922</v>
      </c>
      <c r="G1765" s="22">
        <v>1199.2964371828132</v>
      </c>
      <c r="H1765" s="20">
        <f ca="1">NOW() - TIME(5,30,0) + (VLOOKUP(MasterTable[[#This Row],[TimeZone]], $O$3:$P$8, 2, FALSE) / 24)</f>
        <v>45990.531878125003</v>
      </c>
      <c r="I1765" s="1" t="s">
        <v>1944</v>
      </c>
      <c r="J1765" s="1">
        <v>2298.2600000000002</v>
      </c>
      <c r="K1765" s="11"/>
      <c r="L1765" s="11"/>
    </row>
    <row r="1766" spans="1:12" x14ac:dyDescent="0.25">
      <c r="A1766" s="1" t="s">
        <v>393</v>
      </c>
      <c r="B1766" s="1" t="s">
        <v>394</v>
      </c>
      <c r="C1766" s="1" t="s">
        <v>232</v>
      </c>
      <c r="D1766" s="1">
        <v>46.264600000000002</v>
      </c>
      <c r="E1766" s="1">
        <v>-96.948300000000003</v>
      </c>
      <c r="F1766" s="1" t="s">
        <v>1922</v>
      </c>
      <c r="G1766" s="22">
        <v>1221.2832676633341</v>
      </c>
      <c r="H1766" s="20">
        <f ca="1">NOW() - TIME(5,30,0) + (VLOOKUP(MasterTable[[#This Row],[TimeZone]], $O$3:$P$8, 2, FALSE) / 24)</f>
        <v>45990.531878125003</v>
      </c>
      <c r="I1766" s="1" t="s">
        <v>1944</v>
      </c>
      <c r="J1766" s="1">
        <v>362.01</v>
      </c>
      <c r="K1766" s="11"/>
      <c r="L1766" s="11"/>
    </row>
    <row r="1767" spans="1:12" x14ac:dyDescent="0.25">
      <c r="A1767" s="1" t="s">
        <v>393</v>
      </c>
      <c r="B1767" s="1" t="s">
        <v>394</v>
      </c>
      <c r="C1767" s="1" t="s">
        <v>1423</v>
      </c>
      <c r="D1767" s="1">
        <v>47.740200000000002</v>
      </c>
      <c r="E1767" s="1">
        <v>-103.39530000000001</v>
      </c>
      <c r="F1767" s="1" t="s">
        <v>1923</v>
      </c>
      <c r="G1767" s="22">
        <v>1142.6633063688569</v>
      </c>
      <c r="H1767" s="20">
        <f ca="1">NOW() - TIME(5,30,0) + (VLOOKUP(MasterTable[[#This Row],[TimeZone]], $O$3:$P$8, 2, FALSE) / 24)</f>
        <v>45990.490211458338</v>
      </c>
      <c r="I1767" s="1" t="s">
        <v>1944</v>
      </c>
      <c r="J1767" s="1">
        <v>2860.89</v>
      </c>
      <c r="K1767" s="11"/>
      <c r="L1767" s="11"/>
    </row>
    <row r="1768" spans="1:12" x14ac:dyDescent="0.25">
      <c r="A1768" s="1" t="s">
        <v>393</v>
      </c>
      <c r="B1768" s="1" t="s">
        <v>394</v>
      </c>
      <c r="C1768" s="1" t="s">
        <v>1498</v>
      </c>
      <c r="D1768" s="1">
        <v>48.772500000000001</v>
      </c>
      <c r="E1768" s="1">
        <v>-99.840900000000005</v>
      </c>
      <c r="F1768" s="1" t="s">
        <v>1922</v>
      </c>
      <c r="G1768" s="22">
        <v>1280.2932390313561</v>
      </c>
      <c r="H1768" s="20">
        <f ca="1">NOW() - TIME(5,30,0) + (VLOOKUP(MasterTable[[#This Row],[TimeZone]], $O$3:$P$8, 2, FALSE) / 24)</f>
        <v>45990.531878125003</v>
      </c>
      <c r="I1768" s="1" t="s">
        <v>1944</v>
      </c>
      <c r="J1768" s="1">
        <v>939.33</v>
      </c>
      <c r="K1768" s="11"/>
      <c r="L1768" s="11"/>
    </row>
    <row r="1769" spans="1:12" x14ac:dyDescent="0.25">
      <c r="A1769" s="1" t="s">
        <v>393</v>
      </c>
      <c r="B1769" s="1" t="s">
        <v>394</v>
      </c>
      <c r="C1769" s="1" t="s">
        <v>183</v>
      </c>
      <c r="D1769" s="1">
        <v>48.268900000000002</v>
      </c>
      <c r="E1769" s="1">
        <v>-98.720100000000002</v>
      </c>
      <c r="F1769" s="1" t="s">
        <v>1922</v>
      </c>
      <c r="G1769" s="22">
        <v>1278.5580061647979</v>
      </c>
      <c r="H1769" s="20">
        <f ca="1">NOW() - TIME(5,30,0) + (VLOOKUP(MasterTable[[#This Row],[TimeZone]], $O$3:$P$8, 2, FALSE) / 24)</f>
        <v>45990.531878125003</v>
      </c>
      <c r="I1769" s="1" t="s">
        <v>1944</v>
      </c>
      <c r="J1769" s="1">
        <v>170.13</v>
      </c>
      <c r="K1769" s="11"/>
      <c r="L1769" s="11"/>
    </row>
    <row r="1770" spans="1:12" x14ac:dyDescent="0.25">
      <c r="A1770" s="1" t="s">
        <v>393</v>
      </c>
      <c r="B1770" s="1" t="s">
        <v>394</v>
      </c>
      <c r="C1770" s="1" t="s">
        <v>1529</v>
      </c>
      <c r="D1770" s="1">
        <v>46.936100000000003</v>
      </c>
      <c r="E1770" s="1">
        <v>-98.071600000000004</v>
      </c>
      <c r="F1770" s="1" t="s">
        <v>1922</v>
      </c>
      <c r="G1770" s="22">
        <v>1222.1871420753255</v>
      </c>
      <c r="H1770" s="20">
        <f ca="1">NOW() - TIME(5,30,0) + (VLOOKUP(MasterTable[[#This Row],[TimeZone]], $O$3:$P$8, 2, FALSE) / 24)</f>
        <v>45990.531878125003</v>
      </c>
      <c r="I1770" s="1" t="s">
        <v>1944</v>
      </c>
      <c r="J1770" s="1">
        <v>1513.23</v>
      </c>
      <c r="K1770" s="11"/>
      <c r="L1770" s="11"/>
    </row>
    <row r="1771" spans="1:12" x14ac:dyDescent="0.25">
      <c r="A1771" s="1" t="s">
        <v>393</v>
      </c>
      <c r="B1771" s="1" t="s">
        <v>394</v>
      </c>
      <c r="C1771" s="1" t="s">
        <v>1537</v>
      </c>
      <c r="D1771" s="1">
        <v>48.369500000000002</v>
      </c>
      <c r="E1771" s="1">
        <v>-97.721299999999999</v>
      </c>
      <c r="F1771" s="1" t="s">
        <v>1922</v>
      </c>
      <c r="G1771" s="22">
        <v>1310.8065656593981</v>
      </c>
      <c r="H1771" s="20">
        <f ca="1">NOW() - TIME(5,30,0) + (VLOOKUP(MasterTable[[#This Row],[TimeZone]], $O$3:$P$8, 2, FALSE) / 24)</f>
        <v>45990.531878125003</v>
      </c>
      <c r="I1771" s="1" t="s">
        <v>1944</v>
      </c>
      <c r="J1771" s="1">
        <v>1294.1099999999999</v>
      </c>
      <c r="K1771" s="11"/>
      <c r="L1771" s="11"/>
    </row>
    <row r="1772" spans="1:12" x14ac:dyDescent="0.25">
      <c r="A1772" s="1" t="s">
        <v>393</v>
      </c>
      <c r="B1772" s="1" t="s">
        <v>394</v>
      </c>
      <c r="C1772" s="1" t="s">
        <v>426</v>
      </c>
      <c r="D1772" s="1">
        <v>47.606900000000003</v>
      </c>
      <c r="E1772" s="1">
        <v>-101.3218</v>
      </c>
      <c r="F1772" s="1" t="s">
        <v>1922</v>
      </c>
      <c r="G1772" s="22">
        <v>1176.5012225594237</v>
      </c>
      <c r="H1772" s="20">
        <f ca="1">NOW() - TIME(5,30,0) + (VLOOKUP(MasterTable[[#This Row],[TimeZone]], $O$3:$P$8, 2, FALSE) / 24)</f>
        <v>45990.531878125003</v>
      </c>
      <c r="I1772" s="1" t="s">
        <v>1944</v>
      </c>
      <c r="J1772" s="1">
        <v>1186.29</v>
      </c>
      <c r="K1772" s="11"/>
      <c r="L1772" s="11"/>
    </row>
    <row r="1773" spans="1:12" x14ac:dyDescent="0.25">
      <c r="A1773" s="1" t="s">
        <v>393</v>
      </c>
      <c r="B1773" s="1" t="s">
        <v>394</v>
      </c>
      <c r="C1773" s="1" t="s">
        <v>1567</v>
      </c>
      <c r="D1773" s="1">
        <v>48.201300000000003</v>
      </c>
      <c r="E1773" s="1">
        <v>-102.3557</v>
      </c>
      <c r="F1773" s="1" t="s">
        <v>1922</v>
      </c>
      <c r="G1773" s="22">
        <v>1191.3613897314349</v>
      </c>
      <c r="H1773" s="20">
        <f ca="1">NOW() - TIME(5,30,0) + (VLOOKUP(MasterTable[[#This Row],[TimeZone]], $O$3:$P$8, 2, FALSE) / 24)</f>
        <v>45990.531878125003</v>
      </c>
      <c r="I1773" s="1" t="s">
        <v>1944</v>
      </c>
      <c r="J1773" s="1">
        <v>1941.08</v>
      </c>
      <c r="K1773" s="11"/>
      <c r="L1773" s="11"/>
    </row>
    <row r="1774" spans="1:12" x14ac:dyDescent="0.25">
      <c r="A1774" s="1" t="s">
        <v>393</v>
      </c>
      <c r="B1774" s="1" t="s">
        <v>394</v>
      </c>
      <c r="C1774" s="1" t="s">
        <v>249</v>
      </c>
      <c r="D1774" s="1">
        <v>47.309199999999997</v>
      </c>
      <c r="E1774" s="1">
        <v>-101.83150000000001</v>
      </c>
      <c r="F1774" s="1" t="s">
        <v>1922</v>
      </c>
      <c r="G1774" s="22">
        <v>1147.0874953183074</v>
      </c>
      <c r="H1774" s="20">
        <f ca="1">NOW() - TIME(5,30,0) + (VLOOKUP(MasterTable[[#This Row],[TimeZone]], $O$3:$P$8, 2, FALSE) / 24)</f>
        <v>45990.531878125003</v>
      </c>
      <c r="I1774" s="1" t="s">
        <v>1944</v>
      </c>
      <c r="J1774" s="1">
        <v>568.88</v>
      </c>
      <c r="K1774" s="11"/>
      <c r="L1774" s="11"/>
    </row>
    <row r="1775" spans="1:12" x14ac:dyDescent="0.25">
      <c r="A1775" s="1" t="s">
        <v>393</v>
      </c>
      <c r="B1775" s="1" t="s">
        <v>394</v>
      </c>
      <c r="C1775" s="1" t="s">
        <v>1628</v>
      </c>
      <c r="D1775" s="1">
        <v>47.4542</v>
      </c>
      <c r="E1775" s="1">
        <v>-97.161600000000007</v>
      </c>
      <c r="F1775" s="1" t="s">
        <v>1922</v>
      </c>
      <c r="G1775" s="22">
        <v>1276.8690740435268</v>
      </c>
      <c r="H1775" s="20">
        <f ca="1">NOW() - TIME(5,30,0) + (VLOOKUP(MasterTable[[#This Row],[TimeZone]], $O$3:$P$8, 2, FALSE) / 24)</f>
        <v>45990.531878125003</v>
      </c>
      <c r="I1775" s="1" t="s">
        <v>1944</v>
      </c>
      <c r="J1775" s="1">
        <v>862.53</v>
      </c>
      <c r="K1775" s="11"/>
      <c r="L1775" s="11"/>
    </row>
    <row r="1776" spans="1:12" x14ac:dyDescent="0.25">
      <c r="A1776" s="1" t="s">
        <v>393</v>
      </c>
      <c r="B1776" s="1" t="s">
        <v>394</v>
      </c>
      <c r="C1776" s="1" t="s">
        <v>1678</v>
      </c>
      <c r="D1776" s="1">
        <v>48.767499999999998</v>
      </c>
      <c r="E1776" s="1">
        <v>-97.5518</v>
      </c>
      <c r="F1776" s="1" t="s">
        <v>1922</v>
      </c>
      <c r="G1776" s="22">
        <v>1337.5532238358467</v>
      </c>
      <c r="H1776" s="20">
        <f ca="1">NOW() - TIME(5,30,0) + (VLOOKUP(MasterTable[[#This Row],[TimeZone]], $O$3:$P$8, 2, FALSE) / 24)</f>
        <v>45990.531878125003</v>
      </c>
      <c r="I1776" s="1" t="s">
        <v>1944</v>
      </c>
      <c r="J1776" s="1">
        <v>1121.74</v>
      </c>
      <c r="K1776" s="11"/>
      <c r="L1776" s="11"/>
    </row>
    <row r="1777" spans="1:12" x14ac:dyDescent="0.25">
      <c r="A1777" s="1" t="s">
        <v>393</v>
      </c>
      <c r="B1777" s="1" t="s">
        <v>394</v>
      </c>
      <c r="C1777" s="1" t="s">
        <v>1696</v>
      </c>
      <c r="D1777" s="1">
        <v>48.792200000000001</v>
      </c>
      <c r="E1777" s="1">
        <v>-100.83329999999999</v>
      </c>
      <c r="F1777" s="1" t="s">
        <v>1922</v>
      </c>
      <c r="G1777" s="22">
        <v>1259.1948683123424</v>
      </c>
      <c r="H1777" s="20">
        <f ca="1">NOW() - TIME(5,30,0) + (VLOOKUP(MasterTable[[#This Row],[TimeZone]], $O$3:$P$8, 2, FALSE) / 24)</f>
        <v>45990.531878125003</v>
      </c>
      <c r="I1777" s="1" t="s">
        <v>1944</v>
      </c>
      <c r="J1777" s="1">
        <v>1697.74</v>
      </c>
      <c r="K1777" s="11"/>
      <c r="L1777" s="11"/>
    </row>
    <row r="1778" spans="1:12" x14ac:dyDescent="0.25">
      <c r="A1778" s="1" t="s">
        <v>393</v>
      </c>
      <c r="B1778" s="1" t="s">
        <v>394</v>
      </c>
      <c r="C1778" s="1" t="s">
        <v>1717</v>
      </c>
      <c r="D1778" s="1">
        <v>48.069400000000002</v>
      </c>
      <c r="E1778" s="1">
        <v>-99.366</v>
      </c>
      <c r="F1778" s="1" t="s">
        <v>1922</v>
      </c>
      <c r="G1778" s="22">
        <v>1250.5766913875107</v>
      </c>
      <c r="H1778" s="20">
        <f ca="1">NOW() - TIME(5,30,0) + (VLOOKUP(MasterTable[[#This Row],[TimeZone]], $O$3:$P$8, 2, FALSE) / 24)</f>
        <v>45990.531878125003</v>
      </c>
      <c r="I1778" s="1" t="s">
        <v>1944</v>
      </c>
      <c r="J1778" s="1">
        <v>1439.27</v>
      </c>
      <c r="K1778" s="11"/>
      <c r="L1778" s="11"/>
    </row>
    <row r="1779" spans="1:12" x14ac:dyDescent="0.25">
      <c r="A1779" s="1" t="s">
        <v>393</v>
      </c>
      <c r="B1779" s="1" t="s">
        <v>394</v>
      </c>
      <c r="C1779" s="1" t="s">
        <v>1727</v>
      </c>
      <c r="D1779" s="1">
        <v>46.456200000000003</v>
      </c>
      <c r="E1779" s="1">
        <v>-97.657399999999996</v>
      </c>
      <c r="F1779" s="1" t="s">
        <v>1922</v>
      </c>
      <c r="G1779" s="22">
        <v>1208.929991914355</v>
      </c>
      <c r="H1779" s="20">
        <f ca="1">NOW() - TIME(5,30,0) + (VLOOKUP(MasterTable[[#This Row],[TimeZone]], $O$3:$P$8, 2, FALSE) / 24)</f>
        <v>45990.531878125003</v>
      </c>
      <c r="I1779" s="1" t="s">
        <v>1944</v>
      </c>
      <c r="J1779" s="1">
        <v>864.13</v>
      </c>
      <c r="K1779" s="11"/>
      <c r="L1779" s="11"/>
    </row>
    <row r="1780" spans="1:12" x14ac:dyDescent="0.25">
      <c r="A1780" s="1" t="s">
        <v>393</v>
      </c>
      <c r="B1780" s="1" t="s">
        <v>394</v>
      </c>
      <c r="C1780" s="1" t="s">
        <v>285</v>
      </c>
      <c r="D1780" s="1">
        <v>48.2346</v>
      </c>
      <c r="E1780" s="1">
        <v>-100.63630000000001</v>
      </c>
      <c r="F1780" s="1" t="s">
        <v>1922</v>
      </c>
      <c r="G1780" s="22">
        <v>1229.8506480310696</v>
      </c>
      <c r="H1780" s="20">
        <f ca="1">NOW() - TIME(5,30,0) + (VLOOKUP(MasterTable[[#This Row],[TimeZone]], $O$3:$P$8, 2, FALSE) / 24)</f>
        <v>45990.531878125003</v>
      </c>
      <c r="I1780" s="1" t="s">
        <v>1944</v>
      </c>
      <c r="J1780" s="1">
        <v>611.13</v>
      </c>
      <c r="K1780" s="11"/>
      <c r="L1780" s="11"/>
    </row>
    <row r="1781" spans="1:12" x14ac:dyDescent="0.25">
      <c r="A1781" s="1" t="s">
        <v>393</v>
      </c>
      <c r="B1781" s="1" t="s">
        <v>394</v>
      </c>
      <c r="C1781" s="1" t="s">
        <v>1756</v>
      </c>
      <c r="D1781" s="1">
        <v>46.110199999999999</v>
      </c>
      <c r="E1781" s="1">
        <v>-98.5047</v>
      </c>
      <c r="F1781" s="1" t="s">
        <v>1922</v>
      </c>
      <c r="G1781" s="22">
        <v>1164.7309337625966</v>
      </c>
      <c r="H1781" s="20">
        <f ca="1">NOW() - TIME(5,30,0) + (VLOOKUP(MasterTable[[#This Row],[TimeZone]], $O$3:$P$8, 2, FALSE) / 24)</f>
        <v>45990.531878125003</v>
      </c>
      <c r="I1781" s="1" t="s">
        <v>1944</v>
      </c>
      <c r="J1781" s="1">
        <v>1141.6600000000001</v>
      </c>
      <c r="K1781" s="11"/>
      <c r="L1781" s="11"/>
    </row>
    <row r="1782" spans="1:12" x14ac:dyDescent="0.25">
      <c r="A1782" s="1" t="s">
        <v>393</v>
      </c>
      <c r="B1782" s="1" t="s">
        <v>394</v>
      </c>
      <c r="C1782" s="1" t="s">
        <v>1777</v>
      </c>
      <c r="D1782" s="1">
        <v>46.456899999999997</v>
      </c>
      <c r="E1782" s="1">
        <v>-98.535499999999999</v>
      </c>
      <c r="F1782" s="1" t="s">
        <v>1922</v>
      </c>
      <c r="G1782" s="22">
        <v>1182.5697392129366</v>
      </c>
      <c r="H1782" s="20">
        <f ca="1">NOW() - TIME(5,30,0) + (VLOOKUP(MasterTable[[#This Row],[TimeZone]], $O$3:$P$8, 2, FALSE) / 24)</f>
        <v>45990.531878125003</v>
      </c>
      <c r="I1782" s="1" t="s">
        <v>1944</v>
      </c>
      <c r="J1782" s="1">
        <v>1150.81</v>
      </c>
      <c r="K1782" s="11"/>
      <c r="L1782" s="11"/>
    </row>
    <row r="1783" spans="1:12" x14ac:dyDescent="0.25">
      <c r="A1783" s="1" t="s">
        <v>393</v>
      </c>
      <c r="B1783" s="1" t="s">
        <v>394</v>
      </c>
      <c r="C1783" s="1" t="s">
        <v>886</v>
      </c>
      <c r="D1783" s="1">
        <v>47.3568</v>
      </c>
      <c r="E1783" s="1">
        <v>-102.6182</v>
      </c>
      <c r="F1783" s="1" t="s">
        <v>1923</v>
      </c>
      <c r="G1783" s="22">
        <v>1133.4230306374343</v>
      </c>
      <c r="H1783" s="20">
        <f ca="1">NOW() - TIME(5,30,0) + (VLOOKUP(MasterTable[[#This Row],[TimeZone]], $O$3:$P$8, 2, FALSE) / 24)</f>
        <v>45990.490211458338</v>
      </c>
      <c r="I1783" s="1" t="s">
        <v>1944</v>
      </c>
      <c r="J1783" s="1">
        <v>2082.25</v>
      </c>
      <c r="K1783" s="11"/>
      <c r="L1783" s="11"/>
    </row>
    <row r="1784" spans="1:12" x14ac:dyDescent="0.25">
      <c r="A1784" s="1" t="s">
        <v>393</v>
      </c>
      <c r="B1784" s="1" t="s">
        <v>394</v>
      </c>
      <c r="C1784" s="1" t="s">
        <v>106</v>
      </c>
      <c r="D1784" s="1">
        <v>48.249600000000001</v>
      </c>
      <c r="E1784" s="1">
        <v>-99.971800000000002</v>
      </c>
      <c r="F1784" s="1" t="s">
        <v>1922</v>
      </c>
      <c r="G1784" s="22">
        <v>1246.2445008808188</v>
      </c>
      <c r="H1784" s="20">
        <f ca="1">NOW() - TIME(5,30,0) + (VLOOKUP(MasterTable[[#This Row],[TimeZone]], $O$3:$P$8, 2, FALSE) / 24)</f>
        <v>45990.531878125003</v>
      </c>
      <c r="I1784" s="1" t="s">
        <v>1944</v>
      </c>
      <c r="J1784" s="1">
        <v>343.9</v>
      </c>
      <c r="K1784" s="11"/>
      <c r="L1784" s="11"/>
    </row>
    <row r="1785" spans="1:12" x14ac:dyDescent="0.25">
      <c r="A1785" s="1" t="s">
        <v>393</v>
      </c>
      <c r="B1785" s="1" t="s">
        <v>394</v>
      </c>
      <c r="C1785" s="1" t="s">
        <v>1102</v>
      </c>
      <c r="D1785" s="1">
        <v>47.587499999999999</v>
      </c>
      <c r="E1785" s="1">
        <v>-99.661000000000001</v>
      </c>
      <c r="F1785" s="1" t="s">
        <v>1922</v>
      </c>
      <c r="G1785" s="22">
        <v>1215.2109859032241</v>
      </c>
      <c r="H1785" s="20">
        <f ca="1">NOW() - TIME(5,30,0) + (VLOOKUP(MasterTable[[#This Row],[TimeZone]], $O$3:$P$8, 2, FALSE) / 24)</f>
        <v>45990.531878125003</v>
      </c>
      <c r="I1785" s="1" t="s">
        <v>1944</v>
      </c>
      <c r="J1785" s="1">
        <v>370.41</v>
      </c>
      <c r="K1785" s="11"/>
      <c r="L1785" s="11"/>
    </row>
    <row r="1786" spans="1:12" x14ac:dyDescent="0.25">
      <c r="A1786" s="1" t="s">
        <v>393</v>
      </c>
      <c r="B1786" s="1" t="s">
        <v>394</v>
      </c>
      <c r="C1786" s="1" t="s">
        <v>1787</v>
      </c>
      <c r="D1786" s="1">
        <v>46.107799999999997</v>
      </c>
      <c r="E1786" s="1">
        <v>-97.630600000000001</v>
      </c>
      <c r="F1786" s="1" t="s">
        <v>1922</v>
      </c>
      <c r="G1786" s="22">
        <v>1191.4916872474193</v>
      </c>
      <c r="H1786" s="20">
        <f ca="1">NOW() - TIME(5,30,0) + (VLOOKUP(MasterTable[[#This Row],[TimeZone]], $O$3:$P$8, 2, FALSE) / 24)</f>
        <v>45990.531878125003</v>
      </c>
      <c r="I1786" s="1" t="s">
        <v>1944</v>
      </c>
      <c r="J1786" s="1">
        <v>867.09</v>
      </c>
      <c r="K1786" s="11"/>
      <c r="L1786" s="11"/>
    </row>
    <row r="1787" spans="1:12" x14ac:dyDescent="0.25">
      <c r="A1787" s="1" t="s">
        <v>393</v>
      </c>
      <c r="B1787" s="1" t="s">
        <v>394</v>
      </c>
      <c r="C1787" s="1" t="s">
        <v>1007</v>
      </c>
      <c r="D1787" s="1">
        <v>46.112699999999997</v>
      </c>
      <c r="E1787" s="1">
        <v>-101.04040000000001</v>
      </c>
      <c r="F1787" s="1" t="s">
        <v>1923</v>
      </c>
      <c r="G1787" s="22">
        <v>1094.2454562006653</v>
      </c>
      <c r="H1787" s="20">
        <f ca="1">NOW() - TIME(5,30,0) + (VLOOKUP(MasterTable[[#This Row],[TimeZone]], $O$3:$P$8, 2, FALSE) / 24)</f>
        <v>45990.490211458338</v>
      </c>
      <c r="I1787" s="1" t="s">
        <v>1944</v>
      </c>
      <c r="J1787" s="1">
        <v>768.58</v>
      </c>
      <c r="K1787" s="11"/>
      <c r="L1787" s="11"/>
    </row>
    <row r="1788" spans="1:12" x14ac:dyDescent="0.25">
      <c r="A1788" s="1" t="s">
        <v>393</v>
      </c>
      <c r="B1788" s="1" t="s">
        <v>394</v>
      </c>
      <c r="C1788" s="1" t="s">
        <v>1793</v>
      </c>
      <c r="D1788" s="1">
        <v>48.772300000000001</v>
      </c>
      <c r="E1788" s="1">
        <v>-98.464799999999997</v>
      </c>
      <c r="F1788" s="1" t="s">
        <v>1922</v>
      </c>
      <c r="G1788" s="22">
        <v>1313.8962241659794</v>
      </c>
      <c r="H1788" s="20">
        <f ca="1">NOW() - TIME(5,30,0) + (VLOOKUP(MasterTable[[#This Row],[TimeZone]], $O$3:$P$8, 2, FALSE) / 24)</f>
        <v>45990.531878125003</v>
      </c>
      <c r="I1788" s="1" t="s">
        <v>1944</v>
      </c>
      <c r="J1788" s="1">
        <v>1510.14</v>
      </c>
      <c r="K1788" s="11"/>
      <c r="L1788" s="11"/>
    </row>
    <row r="1789" spans="1:12" x14ac:dyDescent="0.25">
      <c r="A1789" s="1" t="s">
        <v>393</v>
      </c>
      <c r="B1789" s="1" t="s">
        <v>394</v>
      </c>
      <c r="C1789" s="1" t="s">
        <v>1805</v>
      </c>
      <c r="D1789" s="1">
        <v>47.457099999999997</v>
      </c>
      <c r="E1789" s="1">
        <v>-98.882999999999996</v>
      </c>
      <c r="F1789" s="1" t="s">
        <v>1922</v>
      </c>
      <c r="G1789" s="22">
        <v>1228.1916731862545</v>
      </c>
      <c r="H1789" s="20">
        <f ca="1">NOW() - TIME(5,30,0) + (VLOOKUP(MasterTable[[#This Row],[TimeZone]], $O$3:$P$8, 2, FALSE) / 24)</f>
        <v>45990.531878125003</v>
      </c>
      <c r="I1789" s="1" t="s">
        <v>1944</v>
      </c>
      <c r="J1789" s="1">
        <v>646.72</v>
      </c>
      <c r="K1789" s="11"/>
      <c r="L1789" s="11"/>
    </row>
    <row r="1790" spans="1:12" x14ac:dyDescent="0.25">
      <c r="A1790" s="1" t="s">
        <v>393</v>
      </c>
      <c r="B1790" s="1" t="s">
        <v>394</v>
      </c>
      <c r="C1790" s="1" t="s">
        <v>1816</v>
      </c>
      <c r="D1790" s="1">
        <v>46.2851</v>
      </c>
      <c r="E1790" s="1">
        <v>-100.23869999999999</v>
      </c>
      <c r="F1790" s="1" t="s">
        <v>1922</v>
      </c>
      <c r="G1790" s="22">
        <v>1125.1616592097337</v>
      </c>
      <c r="H1790" s="20">
        <f ca="1">NOW() - TIME(5,30,0) + (VLOOKUP(MasterTable[[#This Row],[TimeZone]], $O$3:$P$8, 2, FALSE) / 24)</f>
        <v>45990.531878125003</v>
      </c>
      <c r="I1790" s="1" t="s">
        <v>1944</v>
      </c>
      <c r="J1790" s="1">
        <v>1554.72</v>
      </c>
      <c r="K1790" s="11"/>
      <c r="L1790" s="11"/>
    </row>
    <row r="1791" spans="1:12" x14ac:dyDescent="0.25">
      <c r="A1791" s="1" t="s">
        <v>393</v>
      </c>
      <c r="B1791" s="1" t="s">
        <v>394</v>
      </c>
      <c r="C1791" s="1" t="s">
        <v>866</v>
      </c>
      <c r="D1791" s="1">
        <v>47.921700000000001</v>
      </c>
      <c r="E1791" s="1">
        <v>-98.191999999999993</v>
      </c>
      <c r="F1791" s="1" t="s">
        <v>1922</v>
      </c>
      <c r="G1791" s="22">
        <v>1273.02250400445</v>
      </c>
      <c r="H1791" s="20">
        <f ca="1">NOW() - TIME(5,30,0) + (VLOOKUP(MasterTable[[#This Row],[TimeZone]], $O$3:$P$8, 2, FALSE) / 24)</f>
        <v>45990.531878125003</v>
      </c>
      <c r="I1791" s="1" t="s">
        <v>1944</v>
      </c>
      <c r="J1791" s="1">
        <v>424.07</v>
      </c>
      <c r="K1791" s="11"/>
      <c r="L1791" s="11"/>
    </row>
    <row r="1792" spans="1:12" x14ac:dyDescent="0.25">
      <c r="A1792" s="1" t="s">
        <v>393</v>
      </c>
      <c r="B1792" s="1" t="s">
        <v>394</v>
      </c>
      <c r="C1792" s="1" t="s">
        <v>1826</v>
      </c>
      <c r="D1792" s="1">
        <v>46.1126</v>
      </c>
      <c r="E1792" s="1">
        <v>-103.5206</v>
      </c>
      <c r="F1792" s="1" t="s">
        <v>1923</v>
      </c>
      <c r="G1792" s="22">
        <v>1037.4371406542514</v>
      </c>
      <c r="H1792" s="20">
        <f ca="1">NOW() - TIME(5,30,0) + (VLOOKUP(MasterTable[[#This Row],[TimeZone]], $O$3:$P$8, 2, FALSE) / 24)</f>
        <v>45990.490211458338</v>
      </c>
      <c r="I1792" s="1" t="s">
        <v>1944</v>
      </c>
      <c r="J1792" s="1">
        <v>1166.99</v>
      </c>
      <c r="K1792" s="11"/>
      <c r="L1792" s="11"/>
    </row>
    <row r="1793" spans="1:12" x14ac:dyDescent="0.25">
      <c r="A1793" s="1" t="s">
        <v>393</v>
      </c>
      <c r="B1793" s="1" t="s">
        <v>394</v>
      </c>
      <c r="C1793" s="1" t="s">
        <v>1293</v>
      </c>
      <c r="D1793" s="1">
        <v>46.111800000000002</v>
      </c>
      <c r="E1793" s="1">
        <v>-99.441199999999995</v>
      </c>
      <c r="F1793" s="1" t="s">
        <v>1922</v>
      </c>
      <c r="G1793" s="22">
        <v>1137.3981193145064</v>
      </c>
      <c r="H1793" s="20">
        <f ca="1">NOW() - TIME(5,30,0) + (VLOOKUP(MasterTable[[#This Row],[TimeZone]], $O$3:$P$8, 2, FALSE) / 24)</f>
        <v>45990.531878125003</v>
      </c>
      <c r="I1793" s="1" t="s">
        <v>1944</v>
      </c>
      <c r="J1793" s="1">
        <v>574.53</v>
      </c>
      <c r="K1793" s="11"/>
      <c r="L1793" s="11"/>
    </row>
    <row r="1794" spans="1:12" x14ac:dyDescent="0.25">
      <c r="A1794" s="1" t="s">
        <v>393</v>
      </c>
      <c r="B1794" s="1" t="s">
        <v>394</v>
      </c>
      <c r="C1794" s="1" t="s">
        <v>1842</v>
      </c>
      <c r="D1794" s="1">
        <v>46.432499999999997</v>
      </c>
      <c r="E1794" s="1">
        <v>-102.4603</v>
      </c>
      <c r="F1794" s="1" t="s">
        <v>1923</v>
      </c>
      <c r="G1794" s="22">
        <v>1079.6462868728995</v>
      </c>
      <c r="H1794" s="20">
        <f ca="1">NOW() - TIME(5,30,0) + (VLOOKUP(MasterTable[[#This Row],[TimeZone]], $O$3:$P$8, 2, FALSE) / 24)</f>
        <v>45990.490211458338</v>
      </c>
      <c r="I1794" s="1" t="s">
        <v>1944</v>
      </c>
      <c r="J1794" s="1">
        <v>1133.7</v>
      </c>
      <c r="K1794" s="11"/>
      <c r="L1794" s="11"/>
    </row>
    <row r="1795" spans="1:12" x14ac:dyDescent="0.25">
      <c r="A1795" s="1" t="s">
        <v>393</v>
      </c>
      <c r="B1795" s="1" t="s">
        <v>394</v>
      </c>
      <c r="C1795" s="1" t="s">
        <v>1848</v>
      </c>
      <c r="D1795" s="1">
        <v>46.9801</v>
      </c>
      <c r="E1795" s="1">
        <v>-99.780100000000004</v>
      </c>
      <c r="F1795" s="1" t="s">
        <v>1922</v>
      </c>
      <c r="G1795" s="22">
        <v>1177.1454895344027</v>
      </c>
      <c r="H1795" s="20">
        <f ca="1">NOW() - TIME(5,30,0) + (VLOOKUP(MasterTable[[#This Row],[TimeZone]], $O$3:$P$8, 2, FALSE) / 24)</f>
        <v>45990.531878125003</v>
      </c>
      <c r="I1795" s="1" t="s">
        <v>1944</v>
      </c>
      <c r="J1795" s="1">
        <v>1433.21</v>
      </c>
      <c r="K1795" s="11"/>
      <c r="L1795" s="11"/>
    </row>
    <row r="1796" spans="1:12" x14ac:dyDescent="0.25">
      <c r="A1796" s="1" t="s">
        <v>393</v>
      </c>
      <c r="B1796" s="1" t="s">
        <v>394</v>
      </c>
      <c r="C1796" s="1" t="s">
        <v>1850</v>
      </c>
      <c r="D1796" s="1">
        <v>47.457299999999996</v>
      </c>
      <c r="E1796" s="1">
        <v>-98.236999999999995</v>
      </c>
      <c r="F1796" s="1" t="s">
        <v>1922</v>
      </c>
      <c r="G1796" s="22">
        <v>1245.9904582676434</v>
      </c>
      <c r="H1796" s="20">
        <f ca="1">NOW() - TIME(5,30,0) + (VLOOKUP(MasterTable[[#This Row],[TimeZone]], $O$3:$P$8, 2, FALSE) / 24)</f>
        <v>45990.531878125003</v>
      </c>
      <c r="I1796" s="1" t="s">
        <v>1944</v>
      </c>
      <c r="J1796" s="1">
        <v>716.17</v>
      </c>
      <c r="K1796" s="11"/>
      <c r="L1796" s="11"/>
    </row>
    <row r="1797" spans="1:12" x14ac:dyDescent="0.25">
      <c r="A1797" s="1" t="s">
        <v>393</v>
      </c>
      <c r="B1797" s="1" t="s">
        <v>394</v>
      </c>
      <c r="C1797" s="1" t="s">
        <v>772</v>
      </c>
      <c r="D1797" s="1">
        <v>47.717599999999997</v>
      </c>
      <c r="E1797" s="1">
        <v>-98.901600000000002</v>
      </c>
      <c r="F1797" s="1" t="s">
        <v>1922</v>
      </c>
      <c r="G1797" s="22">
        <v>1242.4255317713646</v>
      </c>
      <c r="H1797" s="20">
        <f ca="1">NOW() - TIME(5,30,0) + (VLOOKUP(MasterTable[[#This Row],[TimeZone]], $O$3:$P$8, 2, FALSE) / 24)</f>
        <v>45990.531878125003</v>
      </c>
      <c r="I1797" s="1" t="s">
        <v>1944</v>
      </c>
      <c r="J1797" s="1">
        <v>4197.57</v>
      </c>
      <c r="K1797" s="11"/>
      <c r="L1797" s="11"/>
    </row>
    <row r="1798" spans="1:12" x14ac:dyDescent="0.25">
      <c r="A1798" s="1" t="s">
        <v>393</v>
      </c>
      <c r="B1798" s="1" t="s">
        <v>394</v>
      </c>
      <c r="C1798" s="1" t="s">
        <v>1414</v>
      </c>
      <c r="D1798" s="1">
        <v>48.719000000000001</v>
      </c>
      <c r="E1798" s="1">
        <v>-101.65779999999999</v>
      </c>
      <c r="F1798" s="1" t="s">
        <v>1922</v>
      </c>
      <c r="G1798" s="22">
        <v>1237.4714491198897</v>
      </c>
      <c r="H1798" s="20">
        <f ca="1">NOW() - TIME(5,30,0) + (VLOOKUP(MasterTable[[#This Row],[TimeZone]], $O$3:$P$8, 2, FALSE) / 24)</f>
        <v>45990.531878125003</v>
      </c>
      <c r="I1798" s="1" t="s">
        <v>1944</v>
      </c>
      <c r="J1798" s="1">
        <v>987.22</v>
      </c>
      <c r="K1798" s="11"/>
      <c r="L1798" s="11"/>
    </row>
    <row r="1799" spans="1:12" x14ac:dyDescent="0.25">
      <c r="A1799" s="1" t="s">
        <v>393</v>
      </c>
      <c r="B1799" s="1" t="s">
        <v>394</v>
      </c>
      <c r="C1799" s="1" t="s">
        <v>590</v>
      </c>
      <c r="D1799" s="1">
        <v>46.3583</v>
      </c>
      <c r="E1799" s="1">
        <v>-101.6397</v>
      </c>
      <c r="F1799" s="1" t="s">
        <v>1923</v>
      </c>
      <c r="G1799" s="22">
        <v>1093.9855594377466</v>
      </c>
      <c r="H1799" s="20">
        <f ca="1">NOW() - TIME(5,30,0) + (VLOOKUP(MasterTable[[#This Row],[TimeZone]], $O$3:$P$8, 2, FALSE) / 24)</f>
        <v>45990.490211458338</v>
      </c>
      <c r="I1799" s="1" t="s">
        <v>1944</v>
      </c>
      <c r="J1799" s="1">
        <v>633.01</v>
      </c>
      <c r="K1799" s="11"/>
      <c r="L1799" s="11"/>
    </row>
    <row r="1800" spans="1:12" x14ac:dyDescent="0.25">
      <c r="A1800" s="1" t="s">
        <v>393</v>
      </c>
      <c r="B1800" s="1" t="s">
        <v>394</v>
      </c>
      <c r="C1800" s="1" t="s">
        <v>193</v>
      </c>
      <c r="D1800" s="1">
        <v>46.096800000000002</v>
      </c>
      <c r="E1800" s="1">
        <v>-102.5284</v>
      </c>
      <c r="F1800" s="1" t="s">
        <v>1923</v>
      </c>
      <c r="G1800" s="22">
        <v>1057.6000094637618</v>
      </c>
      <c r="H1800" s="20">
        <f ca="1">NOW() - TIME(5,30,0) + (VLOOKUP(MasterTable[[#This Row],[TimeZone]], $O$3:$P$8, 2, FALSE) / 24)</f>
        <v>45990.490211458338</v>
      </c>
      <c r="I1800" s="1" t="s">
        <v>1944</v>
      </c>
      <c r="J1800" s="1">
        <v>1197.71</v>
      </c>
      <c r="K1800" s="11"/>
      <c r="L1800" s="11"/>
    </row>
    <row r="1801" spans="1:12" x14ac:dyDescent="0.25">
      <c r="A1801" s="1" t="s">
        <v>393</v>
      </c>
      <c r="B1801" s="1" t="s">
        <v>394</v>
      </c>
      <c r="C1801" s="1" t="s">
        <v>1856</v>
      </c>
      <c r="D1801" s="1">
        <v>48.814900000000002</v>
      </c>
      <c r="E1801" s="1">
        <v>-103.4872</v>
      </c>
      <c r="F1801" s="1" t="s">
        <v>1922</v>
      </c>
      <c r="G1801" s="22">
        <v>1209.861238880078</v>
      </c>
      <c r="H1801" s="20">
        <f ca="1">NOW() - TIME(5,30,0) + (VLOOKUP(MasterTable[[#This Row],[TimeZone]], $O$3:$P$8, 2, FALSE) / 24)</f>
        <v>45990.531878125003</v>
      </c>
      <c r="I1801" s="1" t="s">
        <v>1944</v>
      </c>
      <c r="J1801" s="1">
        <v>1294.18</v>
      </c>
      <c r="K1801" s="11"/>
      <c r="L1801" s="11"/>
    </row>
    <row r="1802" spans="1:12" x14ac:dyDescent="0.25">
      <c r="A1802" s="1" t="s">
        <v>393</v>
      </c>
      <c r="B1802" s="1" t="s">
        <v>394</v>
      </c>
      <c r="C1802" s="1" t="s">
        <v>639</v>
      </c>
      <c r="D1802" s="1">
        <v>48.790999999999997</v>
      </c>
      <c r="E1802" s="1">
        <v>-102.51819999999999</v>
      </c>
      <c r="F1802" s="1" t="s">
        <v>1922</v>
      </c>
      <c r="G1802" s="22">
        <v>1225.3271938107778</v>
      </c>
      <c r="H1802" s="20">
        <f ca="1">NOW() - TIME(5,30,0) + (VLOOKUP(MasterTable[[#This Row],[TimeZone]], $O$3:$P$8, 2, FALSE) / 24)</f>
        <v>45990.531878125003</v>
      </c>
      <c r="I1802" s="1" t="s">
        <v>1944</v>
      </c>
      <c r="J1802" s="1">
        <v>834.99</v>
      </c>
      <c r="K1802" s="11"/>
      <c r="L1802" s="11"/>
    </row>
    <row r="1803" spans="1:12" x14ac:dyDescent="0.25">
      <c r="A1803" s="1" t="s">
        <v>393</v>
      </c>
      <c r="B1803" s="1" t="s">
        <v>394</v>
      </c>
      <c r="C1803" s="1" t="s">
        <v>1858</v>
      </c>
      <c r="D1803" s="1">
        <v>48.685499999999998</v>
      </c>
      <c r="E1803" s="1">
        <v>-99.245699999999999</v>
      </c>
      <c r="F1803" s="1" t="s">
        <v>1922</v>
      </c>
      <c r="G1803" s="22">
        <v>1289.3778858429084</v>
      </c>
      <c r="H1803" s="20">
        <f ca="1">NOW() - TIME(5,30,0) + (VLOOKUP(MasterTable[[#This Row],[TimeZone]], $O$3:$P$8, 2, FALSE) / 24)</f>
        <v>45990.531878125003</v>
      </c>
      <c r="I1803" s="1" t="s">
        <v>1944</v>
      </c>
      <c r="J1803" s="1">
        <v>1041.56</v>
      </c>
      <c r="K1803" s="11"/>
      <c r="L1803" s="11"/>
    </row>
    <row r="1804" spans="1:12" x14ac:dyDescent="0.25">
      <c r="A1804" s="1" t="s">
        <v>393</v>
      </c>
      <c r="B1804" s="1" t="s">
        <v>394</v>
      </c>
      <c r="C1804" s="1" t="s">
        <v>837</v>
      </c>
      <c r="D1804" s="1">
        <v>46.4574</v>
      </c>
      <c r="E1804" s="1">
        <v>-99.477400000000003</v>
      </c>
      <c r="F1804" s="1" t="s">
        <v>1922</v>
      </c>
      <c r="G1804" s="22">
        <v>1155.6784581197853</v>
      </c>
      <c r="H1804" s="20">
        <f ca="1">NOW() - TIME(5,30,0) + (VLOOKUP(MasterTable[[#This Row],[TimeZone]], $O$3:$P$8, 2, FALSE) / 24)</f>
        <v>45990.531878125003</v>
      </c>
      <c r="I1804" s="1" t="s">
        <v>1944</v>
      </c>
      <c r="J1804" s="1">
        <v>731.5</v>
      </c>
      <c r="K1804" s="11"/>
      <c r="L1804" s="11"/>
    </row>
    <row r="1805" spans="1:12" x14ac:dyDescent="0.25">
      <c r="A1805" s="1" t="s">
        <v>393</v>
      </c>
      <c r="B1805" s="1" t="s">
        <v>394</v>
      </c>
      <c r="C1805" s="1" t="s">
        <v>1870</v>
      </c>
      <c r="D1805" s="1">
        <v>47.115299999999998</v>
      </c>
      <c r="E1805" s="1">
        <v>-101.3403</v>
      </c>
      <c r="F1805" s="1" t="s">
        <v>1922</v>
      </c>
      <c r="G1805" s="22">
        <v>1146.4240168307795</v>
      </c>
      <c r="H1805" s="20">
        <f ca="1">NOW() - TIME(5,30,0) + (VLOOKUP(MasterTable[[#This Row],[TimeZone]], $O$3:$P$8, 2, FALSE) / 24)</f>
        <v>45990.531878125003</v>
      </c>
      <c r="I1805" s="1" t="s">
        <v>1944</v>
      </c>
      <c r="J1805" s="1">
        <v>731.19</v>
      </c>
      <c r="K1805" s="11"/>
      <c r="L1805" s="11"/>
    </row>
    <row r="1806" spans="1:12" x14ac:dyDescent="0.25">
      <c r="A1806" s="1" t="s">
        <v>393</v>
      </c>
      <c r="B1806" s="1" t="s">
        <v>394</v>
      </c>
      <c r="C1806" s="1" t="s">
        <v>984</v>
      </c>
      <c r="D1806" s="1">
        <v>47.456200000000003</v>
      </c>
      <c r="E1806" s="1">
        <v>-97.724599999999995</v>
      </c>
      <c r="F1806" s="1" t="s">
        <v>1922</v>
      </c>
      <c r="G1806" s="22">
        <v>1260.505052290041</v>
      </c>
      <c r="H1806" s="20">
        <f ca="1">NOW() - TIME(5,30,0) + (VLOOKUP(MasterTable[[#This Row],[TimeZone]], $O$3:$P$8, 2, FALSE) / 24)</f>
        <v>45990.531878125003</v>
      </c>
      <c r="I1806" s="1" t="s">
        <v>1944</v>
      </c>
      <c r="J1806" s="1">
        <v>432.16</v>
      </c>
      <c r="K1806" s="11"/>
      <c r="L1806" s="11"/>
    </row>
    <row r="1807" spans="1:12" x14ac:dyDescent="0.25">
      <c r="A1807" s="1" t="s">
        <v>393</v>
      </c>
      <c r="B1807" s="1" t="s">
        <v>394</v>
      </c>
      <c r="C1807" s="1" t="s">
        <v>1878</v>
      </c>
      <c r="D1807" s="1">
        <v>46.940199999999997</v>
      </c>
      <c r="E1807" s="1">
        <v>-103.8466</v>
      </c>
      <c r="F1807" s="1" t="s">
        <v>1923</v>
      </c>
      <c r="G1807" s="22">
        <v>1083.5163081061298</v>
      </c>
      <c r="H1807" s="20">
        <f ca="1">NOW() - TIME(5,30,0) + (VLOOKUP(MasterTable[[#This Row],[TimeZone]], $O$3:$P$8, 2, FALSE) / 24)</f>
        <v>45990.490211458338</v>
      </c>
      <c r="I1807" s="1" t="s">
        <v>1944</v>
      </c>
      <c r="J1807" s="1">
        <v>1176.4000000000001</v>
      </c>
      <c r="K1807" s="11"/>
      <c r="L1807" s="11"/>
    </row>
    <row r="1808" spans="1:12" x14ac:dyDescent="0.25">
      <c r="A1808" s="1" t="s">
        <v>393</v>
      </c>
      <c r="B1808" s="1" t="s">
        <v>394</v>
      </c>
      <c r="C1808" s="1" t="s">
        <v>1051</v>
      </c>
      <c r="D1808" s="1">
        <v>47.575499999999998</v>
      </c>
      <c r="E1808" s="1">
        <v>-100.3456</v>
      </c>
      <c r="F1808" s="1" t="s">
        <v>1922</v>
      </c>
      <c r="G1808" s="22">
        <v>1197.4602504351894</v>
      </c>
      <c r="H1808" s="20">
        <f ca="1">NOW() - TIME(5,30,0) + (VLOOKUP(MasterTable[[#This Row],[TimeZone]], $O$3:$P$8, 2, FALSE) / 24)</f>
        <v>45990.531878125003</v>
      </c>
      <c r="I1808" s="1" t="s">
        <v>1944</v>
      </c>
      <c r="J1808" s="1">
        <v>896.61</v>
      </c>
      <c r="K1808" s="11"/>
      <c r="L1808" s="11"/>
    </row>
    <row r="1809" spans="1:12" x14ac:dyDescent="0.25">
      <c r="A1809" s="1" t="s">
        <v>393</v>
      </c>
      <c r="B1809" s="1" t="s">
        <v>394</v>
      </c>
      <c r="C1809" s="1" t="s">
        <v>1903</v>
      </c>
      <c r="D1809" s="1">
        <v>47.023600000000002</v>
      </c>
      <c r="E1809" s="1">
        <v>-103.3763</v>
      </c>
      <c r="F1809" s="1" t="s">
        <v>1923</v>
      </c>
      <c r="G1809" s="22">
        <v>1097.587461240418</v>
      </c>
      <c r="H1809" s="20">
        <f ca="1">NOW() - TIME(5,30,0) + (VLOOKUP(MasterTable[[#This Row],[TimeZone]], $O$3:$P$8, 2, FALSE) / 24)</f>
        <v>45990.490211458338</v>
      </c>
      <c r="I1809" s="1" t="s">
        <v>1944</v>
      </c>
      <c r="J1809" s="1">
        <v>1153.4000000000001</v>
      </c>
      <c r="K1809" s="11"/>
      <c r="L1809" s="11"/>
    </row>
    <row r="1810" spans="1:12" x14ac:dyDescent="0.25">
      <c r="A1810" s="1" t="s">
        <v>393</v>
      </c>
      <c r="B1810" s="1" t="s">
        <v>394</v>
      </c>
      <c r="C1810" s="1" t="s">
        <v>1908</v>
      </c>
      <c r="D1810" s="1">
        <v>46.447200000000002</v>
      </c>
      <c r="E1810" s="1">
        <v>-103.4599</v>
      </c>
      <c r="F1810" s="1" t="s">
        <v>1923</v>
      </c>
      <c r="G1810" s="22">
        <v>1059.6499034842045</v>
      </c>
      <c r="H1810" s="20">
        <f ca="1">NOW() - TIME(5,30,0) + (VLOOKUP(MasterTable[[#This Row],[TimeZone]], $O$3:$P$8, 2, FALSE) / 24)</f>
        <v>45990.490211458338</v>
      </c>
      <c r="I1810" s="1" t="s">
        <v>1944</v>
      </c>
      <c r="J1810" s="1">
        <v>1219.22</v>
      </c>
      <c r="K1810" s="11"/>
      <c r="L1810" s="11"/>
    </row>
    <row r="1811" spans="1:12" x14ac:dyDescent="0.25">
      <c r="A1811" s="1" t="s">
        <v>171</v>
      </c>
      <c r="B1811" s="1" t="s">
        <v>172</v>
      </c>
      <c r="C1811" s="1" t="s">
        <v>170</v>
      </c>
      <c r="D1811" s="1">
        <v>41.295299999999997</v>
      </c>
      <c r="E1811" s="1">
        <v>-96.154300000000006</v>
      </c>
      <c r="F1811" s="1" t="s">
        <v>1922</v>
      </c>
      <c r="G1811" s="22">
        <v>1027.9845371638639</v>
      </c>
      <c r="H1811" s="20">
        <f ca="1">NOW() - TIME(5,30,0) + (VLOOKUP(MasterTable[[#This Row],[TimeZone]], $O$3:$P$8, 2, FALSE) / 24)</f>
        <v>45990.531878125003</v>
      </c>
      <c r="I1811" s="1" t="s">
        <v>1944</v>
      </c>
      <c r="J1811" s="1">
        <v>842.75</v>
      </c>
      <c r="K1811" s="10"/>
      <c r="L1811" s="10"/>
    </row>
    <row r="1812" spans="1:12" x14ac:dyDescent="0.25">
      <c r="A1812" s="1" t="s">
        <v>171</v>
      </c>
      <c r="B1812" s="1" t="s">
        <v>172</v>
      </c>
      <c r="C1812" s="1" t="s">
        <v>181</v>
      </c>
      <c r="D1812" s="1">
        <v>40.784199999999998</v>
      </c>
      <c r="E1812" s="1">
        <v>-96.687799999999996</v>
      </c>
      <c r="F1812" s="1" t="s">
        <v>1922</v>
      </c>
      <c r="G1812" s="22">
        <v>985.53033018874964</v>
      </c>
      <c r="H1812" s="20">
        <f ca="1">NOW() - TIME(5,30,0) + (VLOOKUP(MasterTable[[#This Row],[TimeZone]], $O$3:$P$8, 2, FALSE) / 24)</f>
        <v>45990.531878125003</v>
      </c>
      <c r="I1812" s="1" t="s">
        <v>1944</v>
      </c>
      <c r="J1812" s="1">
        <v>846.71</v>
      </c>
      <c r="K1812" s="11"/>
      <c r="L1812" s="11"/>
    </row>
    <row r="1813" spans="1:12" x14ac:dyDescent="0.25">
      <c r="A1813" s="1" t="s">
        <v>171</v>
      </c>
      <c r="B1813" s="1" t="s">
        <v>172</v>
      </c>
      <c r="C1813" s="1" t="s">
        <v>386</v>
      </c>
      <c r="D1813" s="1">
        <v>41.112900000000003</v>
      </c>
      <c r="E1813" s="1">
        <v>-96.111999999999995</v>
      </c>
      <c r="F1813" s="1" t="s">
        <v>1922</v>
      </c>
      <c r="G1813" s="22">
        <v>1023.065723271432</v>
      </c>
      <c r="H1813" s="20">
        <f ca="1">NOW() - TIME(5,30,0) + (VLOOKUP(MasterTable[[#This Row],[TimeZone]], $O$3:$P$8, 2, FALSE) / 24)</f>
        <v>45990.531878125003</v>
      </c>
      <c r="I1813" s="1" t="s">
        <v>1944</v>
      </c>
      <c r="J1813" s="1">
        <v>247.28</v>
      </c>
      <c r="K1813" s="11"/>
      <c r="L1813" s="11"/>
    </row>
    <row r="1814" spans="1:12" x14ac:dyDescent="0.25">
      <c r="A1814" s="1" t="s">
        <v>171</v>
      </c>
      <c r="B1814" s="1" t="s">
        <v>172</v>
      </c>
      <c r="C1814" s="1" t="s">
        <v>367</v>
      </c>
      <c r="D1814" s="1">
        <v>40.872599999999998</v>
      </c>
      <c r="E1814" s="1">
        <v>-98.502200000000002</v>
      </c>
      <c r="F1814" s="1" t="s">
        <v>1922</v>
      </c>
      <c r="G1814" s="22">
        <v>910.99616812394743</v>
      </c>
      <c r="H1814" s="20">
        <f ca="1">NOW() - TIME(5,30,0) + (VLOOKUP(MasterTable[[#This Row],[TimeZone]], $O$3:$P$8, 2, FALSE) / 24)</f>
        <v>45990.531878125003</v>
      </c>
      <c r="I1814" s="1" t="s">
        <v>1944</v>
      </c>
      <c r="J1814" s="1">
        <v>429.19</v>
      </c>
      <c r="K1814" s="11"/>
      <c r="L1814" s="11"/>
    </row>
    <row r="1815" spans="1:12" x14ac:dyDescent="0.25">
      <c r="A1815" s="1" t="s">
        <v>171</v>
      </c>
      <c r="B1815" s="1" t="s">
        <v>172</v>
      </c>
      <c r="C1815" s="1" t="s">
        <v>842</v>
      </c>
      <c r="D1815" s="1">
        <v>40.855200000000004</v>
      </c>
      <c r="E1815" s="1">
        <v>-99.075000000000003</v>
      </c>
      <c r="F1815" s="1" t="s">
        <v>1922</v>
      </c>
      <c r="G1815" s="22">
        <v>886.60414679329381</v>
      </c>
      <c r="H1815" s="20">
        <f ca="1">NOW() - TIME(5,30,0) + (VLOOKUP(MasterTable[[#This Row],[TimeZone]], $O$3:$P$8, 2, FALSE) / 24)</f>
        <v>45990.531878125003</v>
      </c>
      <c r="I1815" s="1" t="s">
        <v>1944</v>
      </c>
      <c r="J1815" s="1">
        <v>975.27</v>
      </c>
      <c r="K1815" s="11"/>
      <c r="L1815" s="11"/>
    </row>
    <row r="1816" spans="1:12" x14ac:dyDescent="0.25">
      <c r="A1816" s="1" t="s">
        <v>171</v>
      </c>
      <c r="B1816" s="1" t="s">
        <v>172</v>
      </c>
      <c r="C1816" s="1" t="s">
        <v>634</v>
      </c>
      <c r="D1816" s="1">
        <v>41.5779</v>
      </c>
      <c r="E1816" s="1">
        <v>-96.653999999999996</v>
      </c>
      <c r="F1816" s="1" t="s">
        <v>1922</v>
      </c>
      <c r="G1816" s="22">
        <v>1017.3617081504996</v>
      </c>
      <c r="H1816" s="20">
        <f ca="1">NOW() - TIME(5,30,0) + (VLOOKUP(MasterTable[[#This Row],[TimeZone]], $O$3:$P$8, 2, FALSE) / 24)</f>
        <v>45990.531878125003</v>
      </c>
      <c r="I1816" s="1" t="s">
        <v>1944</v>
      </c>
      <c r="J1816" s="1">
        <v>503.17</v>
      </c>
      <c r="K1816" s="11"/>
      <c r="L1816" s="11"/>
    </row>
    <row r="1817" spans="1:12" x14ac:dyDescent="0.25">
      <c r="A1817" s="1" t="s">
        <v>171</v>
      </c>
      <c r="B1817" s="1" t="s">
        <v>172</v>
      </c>
      <c r="C1817" s="1" t="s">
        <v>1009</v>
      </c>
      <c r="D1817" s="1">
        <v>41.8506</v>
      </c>
      <c r="E1817" s="1">
        <v>-103.708</v>
      </c>
      <c r="F1817" s="1" t="s">
        <v>1923</v>
      </c>
      <c r="G1817" s="22">
        <v>774.66627420052259</v>
      </c>
      <c r="H1817" s="20">
        <f ca="1">NOW() - TIME(5,30,0) + (VLOOKUP(MasterTable[[#This Row],[TimeZone]], $O$3:$P$8, 2, FALSE) / 24)</f>
        <v>45990.490211458338</v>
      </c>
      <c r="I1817" s="1" t="s">
        <v>1944</v>
      </c>
      <c r="J1817" s="1">
        <v>745.5</v>
      </c>
      <c r="K1817" s="11"/>
      <c r="L1817" s="11"/>
    </row>
    <row r="1818" spans="1:12" x14ac:dyDescent="0.25">
      <c r="A1818" s="1" t="s">
        <v>171</v>
      </c>
      <c r="B1818" s="1" t="s">
        <v>172</v>
      </c>
      <c r="C1818" s="1" t="s">
        <v>244</v>
      </c>
      <c r="D1818" s="1">
        <v>41.916699999999999</v>
      </c>
      <c r="E1818" s="1">
        <v>-97.600800000000007</v>
      </c>
      <c r="F1818" s="1" t="s">
        <v>1922</v>
      </c>
      <c r="G1818" s="22">
        <v>992.04550455903029</v>
      </c>
      <c r="H1818" s="20">
        <f ca="1">NOW() - TIME(5,30,0) + (VLOOKUP(MasterTable[[#This Row],[TimeZone]], $O$3:$P$8, 2, FALSE) / 24)</f>
        <v>45990.531878125003</v>
      </c>
      <c r="I1818" s="1" t="s">
        <v>1944</v>
      </c>
      <c r="J1818" s="1">
        <v>812.85</v>
      </c>
      <c r="K1818" s="11"/>
      <c r="L1818" s="11"/>
    </row>
    <row r="1819" spans="1:12" x14ac:dyDescent="0.25">
      <c r="A1819" s="1" t="s">
        <v>171</v>
      </c>
      <c r="B1819" s="1" t="s">
        <v>172</v>
      </c>
      <c r="C1819" s="1" t="s">
        <v>558</v>
      </c>
      <c r="D1819" s="1">
        <v>41.571300000000001</v>
      </c>
      <c r="E1819" s="1">
        <v>-97.521100000000004</v>
      </c>
      <c r="F1819" s="1" t="s">
        <v>1922</v>
      </c>
      <c r="G1819" s="22">
        <v>980.76922535432288</v>
      </c>
      <c r="H1819" s="20">
        <f ca="1">NOW() - TIME(5,30,0) + (VLOOKUP(MasterTable[[#This Row],[TimeZone]], $O$3:$P$8, 2, FALSE) / 24)</f>
        <v>45990.531878125003</v>
      </c>
      <c r="I1819" s="1" t="s">
        <v>1944</v>
      </c>
      <c r="J1819" s="1">
        <v>427.22</v>
      </c>
      <c r="K1819" s="11"/>
      <c r="L1819" s="11"/>
    </row>
    <row r="1820" spans="1:12" x14ac:dyDescent="0.25">
      <c r="A1820" s="1" t="s">
        <v>171</v>
      </c>
      <c r="B1820" s="1" t="s">
        <v>172</v>
      </c>
      <c r="C1820" s="1" t="s">
        <v>632</v>
      </c>
      <c r="D1820" s="1">
        <v>41.047699999999999</v>
      </c>
      <c r="E1820" s="1">
        <v>-100.7453</v>
      </c>
      <c r="F1820" s="1" t="s">
        <v>1922</v>
      </c>
      <c r="G1820" s="22">
        <v>829.84010296422673</v>
      </c>
      <c r="H1820" s="20">
        <f ca="1">NOW() - TIME(5,30,0) + (VLOOKUP(MasterTable[[#This Row],[TimeZone]], $O$3:$P$8, 2, FALSE) / 24)</f>
        <v>45990.531878125003</v>
      </c>
      <c r="I1820" s="1" t="s">
        <v>1944</v>
      </c>
      <c r="J1820" s="1">
        <v>572.16999999999996</v>
      </c>
      <c r="K1820" s="11"/>
      <c r="L1820" s="11"/>
    </row>
    <row r="1821" spans="1:12" x14ac:dyDescent="0.25">
      <c r="A1821" s="1" t="s">
        <v>171</v>
      </c>
      <c r="B1821" s="1" t="s">
        <v>172</v>
      </c>
      <c r="C1821" s="1" t="s">
        <v>193</v>
      </c>
      <c r="D1821" s="1">
        <v>40.524500000000003</v>
      </c>
      <c r="E1821" s="1">
        <v>-98.501199999999997</v>
      </c>
      <c r="F1821" s="1" t="s">
        <v>1922</v>
      </c>
      <c r="G1821" s="22">
        <v>896.74561099359016</v>
      </c>
      <c r="H1821" s="20">
        <f ca="1">NOW() - TIME(5,30,0) + (VLOOKUP(MasterTable[[#This Row],[TimeZone]], $O$3:$P$8, 2, FALSE) / 24)</f>
        <v>45990.531878125003</v>
      </c>
      <c r="I1821" s="1" t="s">
        <v>1944</v>
      </c>
      <c r="J1821" s="1">
        <v>1197.71</v>
      </c>
      <c r="K1821" s="11"/>
      <c r="L1821" s="11"/>
    </row>
    <row r="1822" spans="1:12" x14ac:dyDescent="0.25">
      <c r="A1822" s="1" t="s">
        <v>171</v>
      </c>
      <c r="B1822" s="1" t="s">
        <v>172</v>
      </c>
      <c r="C1822" s="1" t="s">
        <v>392</v>
      </c>
      <c r="D1822" s="1">
        <v>40.909700000000001</v>
      </c>
      <c r="E1822" s="1">
        <v>-96.140900000000002</v>
      </c>
      <c r="F1822" s="1" t="s">
        <v>1922</v>
      </c>
      <c r="G1822" s="22">
        <v>1014.371631387035</v>
      </c>
      <c r="H1822" s="20">
        <f ca="1">NOW() - TIME(5,30,0) + (VLOOKUP(MasterTable[[#This Row],[TimeZone]], $O$3:$P$8, 2, FALSE) / 24)</f>
        <v>45990.531878125003</v>
      </c>
      <c r="I1822" s="1" t="s">
        <v>1944</v>
      </c>
      <c r="J1822" s="1">
        <v>383.73</v>
      </c>
      <c r="K1822" s="11"/>
      <c r="L1822" s="11"/>
    </row>
    <row r="1823" spans="1:12" x14ac:dyDescent="0.25">
      <c r="A1823" s="1" t="s">
        <v>171</v>
      </c>
      <c r="B1823" s="1" t="s">
        <v>172</v>
      </c>
      <c r="C1823" s="1" t="s">
        <v>1095</v>
      </c>
      <c r="D1823" s="1">
        <v>40.869900000000001</v>
      </c>
      <c r="E1823" s="1">
        <v>-99.819599999999994</v>
      </c>
      <c r="F1823" s="1" t="s">
        <v>1922</v>
      </c>
      <c r="G1823" s="22">
        <v>857.26427559120668</v>
      </c>
      <c r="H1823" s="20">
        <f ca="1">NOW() - TIME(5,30,0) + (VLOOKUP(MasterTable[[#This Row],[TimeZone]], $O$3:$P$8, 2, FALSE) / 24)</f>
        <v>45990.531878125003</v>
      </c>
      <c r="I1823" s="1" t="s">
        <v>1944</v>
      </c>
      <c r="J1823" s="1">
        <v>213.93</v>
      </c>
      <c r="K1823" s="11"/>
      <c r="L1823" s="11"/>
    </row>
    <row r="1824" spans="1:12" x14ac:dyDescent="0.25">
      <c r="A1824" s="1" t="s">
        <v>171</v>
      </c>
      <c r="B1824" s="1" t="s">
        <v>172</v>
      </c>
      <c r="C1824" s="1" t="s">
        <v>1211</v>
      </c>
      <c r="D1824" s="1">
        <v>41.226399999999998</v>
      </c>
      <c r="E1824" s="1">
        <v>-96.6374</v>
      </c>
      <c r="F1824" s="1" t="s">
        <v>1922</v>
      </c>
      <c r="G1824" s="22">
        <v>1004.3929967680505</v>
      </c>
      <c r="H1824" s="20">
        <f ca="1">NOW() - TIME(5,30,0) + (VLOOKUP(MasterTable[[#This Row],[TimeZone]], $O$3:$P$8, 2, FALSE) / 24)</f>
        <v>45990.531878125003</v>
      </c>
      <c r="I1824" s="1" t="s">
        <v>1944</v>
      </c>
      <c r="J1824" s="1">
        <v>758.82</v>
      </c>
      <c r="K1824" s="11"/>
      <c r="L1824" s="11"/>
    </row>
    <row r="1825" spans="1:12" x14ac:dyDescent="0.25">
      <c r="A1825" s="1" t="s">
        <v>171</v>
      </c>
      <c r="B1825" s="1" t="s">
        <v>172</v>
      </c>
      <c r="C1825" s="1" t="s">
        <v>1236</v>
      </c>
      <c r="D1825" s="1">
        <v>40.261899999999997</v>
      </c>
      <c r="E1825" s="1">
        <v>-96.689400000000006</v>
      </c>
      <c r="F1825" s="1" t="s">
        <v>1922</v>
      </c>
      <c r="G1825" s="22">
        <v>966.60534738295007</v>
      </c>
      <c r="H1825" s="20">
        <f ca="1">NOW() - TIME(5,30,0) + (VLOOKUP(MasterTable[[#This Row],[TimeZone]], $O$3:$P$8, 2, FALSE) / 24)</f>
        <v>45990.531878125003</v>
      </c>
      <c r="I1825" s="1" t="s">
        <v>1944</v>
      </c>
      <c r="J1825" s="1">
        <v>859.94</v>
      </c>
      <c r="K1825" s="11"/>
      <c r="L1825" s="11"/>
    </row>
    <row r="1826" spans="1:12" x14ac:dyDescent="0.25">
      <c r="A1826" s="1" t="s">
        <v>171</v>
      </c>
      <c r="B1826" s="1" t="s">
        <v>172</v>
      </c>
      <c r="C1826" s="1" t="s">
        <v>223</v>
      </c>
      <c r="D1826" s="1">
        <v>42.391100000000002</v>
      </c>
      <c r="E1826" s="1">
        <v>-96.564599999999999</v>
      </c>
      <c r="F1826" s="1" t="s">
        <v>1922</v>
      </c>
      <c r="G1826" s="22">
        <v>1054.0965176653172</v>
      </c>
      <c r="H1826" s="20">
        <f ca="1">NOW() - TIME(5,30,0) + (VLOOKUP(MasterTable[[#This Row],[TimeZone]], $O$3:$P$8, 2, FALSE) / 24)</f>
        <v>45990.531878125003</v>
      </c>
      <c r="I1826" s="1" t="s">
        <v>1944</v>
      </c>
      <c r="J1826" s="1">
        <v>586.33000000000004</v>
      </c>
      <c r="K1826" s="11"/>
      <c r="L1826" s="11"/>
    </row>
    <row r="1827" spans="1:12" x14ac:dyDescent="0.25">
      <c r="A1827" s="1" t="s">
        <v>171</v>
      </c>
      <c r="B1827" s="1" t="s">
        <v>172</v>
      </c>
      <c r="C1827" s="1" t="s">
        <v>28</v>
      </c>
      <c r="D1827" s="1">
        <v>41.531100000000002</v>
      </c>
      <c r="E1827" s="1">
        <v>-96.221999999999994</v>
      </c>
      <c r="F1827" s="1" t="s">
        <v>1922</v>
      </c>
      <c r="G1827" s="22">
        <v>1033.9947660539394</v>
      </c>
      <c r="H1827" s="20">
        <f ca="1">NOW() - TIME(5,30,0) + (VLOOKUP(MasterTable[[#This Row],[TimeZone]], $O$3:$P$8, 2, FALSE) / 24)</f>
        <v>45990.531878125003</v>
      </c>
      <c r="I1827" s="1" t="s">
        <v>1944</v>
      </c>
      <c r="J1827" s="1">
        <v>1088.54</v>
      </c>
      <c r="K1827" s="11"/>
      <c r="L1827" s="11"/>
    </row>
    <row r="1828" spans="1:12" x14ac:dyDescent="0.25">
      <c r="A1828" s="1" t="s">
        <v>171</v>
      </c>
      <c r="B1828" s="1" t="s">
        <v>172</v>
      </c>
      <c r="C1828" s="1" t="s">
        <v>1237</v>
      </c>
      <c r="D1828" s="1">
        <v>40.872399999999999</v>
      </c>
      <c r="E1828" s="1">
        <v>-97.139499999999998</v>
      </c>
      <c r="F1828" s="1" t="s">
        <v>1922</v>
      </c>
      <c r="G1828" s="22">
        <v>969.05360180133846</v>
      </c>
      <c r="H1828" s="20">
        <f ca="1">NOW() - TIME(5,30,0) + (VLOOKUP(MasterTable[[#This Row],[TimeZone]], $O$3:$P$8, 2, FALSE) / 24)</f>
        <v>45990.531878125003</v>
      </c>
      <c r="I1828" s="1" t="s">
        <v>1944</v>
      </c>
      <c r="J1828" s="1">
        <v>640.51</v>
      </c>
      <c r="K1828" s="11"/>
      <c r="L1828" s="11"/>
    </row>
    <row r="1829" spans="1:12" x14ac:dyDescent="0.25">
      <c r="A1829" s="1" t="s">
        <v>171</v>
      </c>
      <c r="B1829" s="1" t="s">
        <v>172</v>
      </c>
      <c r="C1829" s="1" t="s">
        <v>1377</v>
      </c>
      <c r="D1829" s="1">
        <v>40.648499999999999</v>
      </c>
      <c r="E1829" s="1">
        <v>-96.134799999999998</v>
      </c>
      <c r="F1829" s="1" t="s">
        <v>1922</v>
      </c>
      <c r="G1829" s="22">
        <v>1005.3104003013814</v>
      </c>
      <c r="H1829" s="20">
        <f ca="1">NOW() - TIME(5,30,0) + (VLOOKUP(MasterTable[[#This Row],[TimeZone]], $O$3:$P$8, 2, FALSE) / 24)</f>
        <v>45990.531878125003</v>
      </c>
      <c r="I1829" s="1" t="s">
        <v>1944</v>
      </c>
      <c r="J1829" s="1">
        <v>619.09</v>
      </c>
      <c r="K1829" s="11"/>
      <c r="L1829" s="11"/>
    </row>
    <row r="1830" spans="1:12" x14ac:dyDescent="0.25">
      <c r="A1830" s="1" t="s">
        <v>171</v>
      </c>
      <c r="B1830" s="1" t="s">
        <v>172</v>
      </c>
      <c r="C1830" s="1" t="s">
        <v>517</v>
      </c>
      <c r="D1830" s="1">
        <v>40.524099999999997</v>
      </c>
      <c r="E1830" s="1">
        <v>-97.140900000000002</v>
      </c>
      <c r="F1830" s="1" t="s">
        <v>1922</v>
      </c>
      <c r="G1830" s="22">
        <v>955.84367338284642</v>
      </c>
      <c r="H1830" s="20">
        <f ca="1">NOW() - TIME(5,30,0) + (VLOOKUP(MasterTable[[#This Row],[TimeZone]], $O$3:$P$8, 2, FALSE) / 24)</f>
        <v>45990.531878125003</v>
      </c>
      <c r="I1830" s="1" t="s">
        <v>1944</v>
      </c>
      <c r="J1830" s="1">
        <v>730.46</v>
      </c>
      <c r="K1830" s="11"/>
      <c r="L1830" s="11"/>
    </row>
    <row r="1831" spans="1:12" x14ac:dyDescent="0.25">
      <c r="A1831" s="1" t="s">
        <v>171</v>
      </c>
      <c r="B1831" s="1" t="s">
        <v>172</v>
      </c>
      <c r="C1831" s="1" t="s">
        <v>213</v>
      </c>
      <c r="D1831" s="1">
        <v>40.872700000000002</v>
      </c>
      <c r="E1831" s="1">
        <v>-97.597099999999998</v>
      </c>
      <c r="F1831" s="1" t="s">
        <v>1922</v>
      </c>
      <c r="G1831" s="22">
        <v>949.3003780294606</v>
      </c>
      <c r="H1831" s="20">
        <f ca="1">NOW() - TIME(5,30,0) + (VLOOKUP(MasterTable[[#This Row],[TimeZone]], $O$3:$P$8, 2, FALSE) / 24)</f>
        <v>45990.531878125003</v>
      </c>
      <c r="I1831" s="1" t="s">
        <v>1944</v>
      </c>
      <c r="J1831" s="1">
        <v>1271.3399999999999</v>
      </c>
      <c r="K1831" s="11"/>
      <c r="L1831" s="11"/>
    </row>
    <row r="1832" spans="1:12" x14ac:dyDescent="0.25">
      <c r="A1832" s="1" t="s">
        <v>171</v>
      </c>
      <c r="B1832" s="1" t="s">
        <v>172</v>
      </c>
      <c r="C1832" s="1" t="s">
        <v>1531</v>
      </c>
      <c r="D1832" s="1">
        <v>42.219700000000003</v>
      </c>
      <c r="E1832" s="1">
        <v>-103.0857</v>
      </c>
      <c r="F1832" s="1" t="s">
        <v>1923</v>
      </c>
      <c r="G1832" s="22">
        <v>813.62537347815623</v>
      </c>
      <c r="H1832" s="20">
        <f ca="1">NOW() - TIME(5,30,0) + (VLOOKUP(MasterTable[[#This Row],[TimeZone]], $O$3:$P$8, 2, FALSE) / 24)</f>
        <v>45990.490211458338</v>
      </c>
      <c r="I1832" s="1" t="s">
        <v>1944</v>
      </c>
      <c r="J1832" s="1">
        <v>1077.8399999999999</v>
      </c>
      <c r="K1832" s="11"/>
      <c r="L1832" s="11"/>
    </row>
    <row r="1833" spans="1:12" x14ac:dyDescent="0.25">
      <c r="A1833" s="1" t="s">
        <v>171</v>
      </c>
      <c r="B1833" s="1" t="s">
        <v>172</v>
      </c>
      <c r="C1833" s="1" t="s">
        <v>1535</v>
      </c>
      <c r="D1833" s="1">
        <v>40.175800000000002</v>
      </c>
      <c r="E1833" s="1">
        <v>-100.4769</v>
      </c>
      <c r="F1833" s="1" t="s">
        <v>1923</v>
      </c>
      <c r="G1833" s="22">
        <v>799.88794143262248</v>
      </c>
      <c r="H1833" s="20">
        <f ca="1">NOW() - TIME(5,30,0) + (VLOOKUP(MasterTable[[#This Row],[TimeZone]], $O$3:$P$8, 2, FALSE) / 24)</f>
        <v>45990.490211458338</v>
      </c>
      <c r="I1833" s="1" t="s">
        <v>1944</v>
      </c>
      <c r="J1833" s="1">
        <v>718.06</v>
      </c>
      <c r="K1833" s="11"/>
      <c r="L1833" s="11"/>
    </row>
    <row r="1834" spans="1:12" x14ac:dyDescent="0.25">
      <c r="A1834" s="1" t="s">
        <v>171</v>
      </c>
      <c r="B1834" s="1" t="s">
        <v>172</v>
      </c>
      <c r="C1834" s="1" t="s">
        <v>1100</v>
      </c>
      <c r="D1834" s="1">
        <v>41.394300000000001</v>
      </c>
      <c r="E1834" s="1">
        <v>-99.726200000000006</v>
      </c>
      <c r="F1834" s="1" t="s">
        <v>1922</v>
      </c>
      <c r="G1834" s="22">
        <v>884.87907479923388</v>
      </c>
      <c r="H1834" s="20">
        <f ca="1">NOW() - TIME(5,30,0) + (VLOOKUP(MasterTable[[#This Row],[TimeZone]], $O$3:$P$8, 2, FALSE) / 24)</f>
        <v>45990.531878125003</v>
      </c>
      <c r="I1834" s="1" t="s">
        <v>1944</v>
      </c>
      <c r="J1834" s="1">
        <v>739.9</v>
      </c>
      <c r="K1834" s="11"/>
      <c r="L1834" s="11"/>
    </row>
    <row r="1835" spans="1:12" x14ac:dyDescent="0.25">
      <c r="A1835" s="1" t="s">
        <v>171</v>
      </c>
      <c r="B1835" s="1" t="s">
        <v>172</v>
      </c>
      <c r="C1835" s="1" t="s">
        <v>1487</v>
      </c>
      <c r="D1835" s="1">
        <v>41.573999999999998</v>
      </c>
      <c r="E1835" s="1">
        <v>-97.086500000000001</v>
      </c>
      <c r="F1835" s="1" t="s">
        <v>1922</v>
      </c>
      <c r="G1835" s="22">
        <v>998.97108867127918</v>
      </c>
      <c r="H1835" s="20">
        <f ca="1">NOW() - TIME(5,30,0) + (VLOOKUP(MasterTable[[#This Row],[TimeZone]], $O$3:$P$8, 2, FALSE) / 24)</f>
        <v>45990.531878125003</v>
      </c>
      <c r="I1835" s="1" t="s">
        <v>1944</v>
      </c>
      <c r="J1835" s="1">
        <v>418.58</v>
      </c>
      <c r="K1835" s="11"/>
      <c r="L1835" s="11"/>
    </row>
    <row r="1836" spans="1:12" x14ac:dyDescent="0.25">
      <c r="A1836" s="1" t="s">
        <v>171</v>
      </c>
      <c r="B1836" s="1" t="s">
        <v>172</v>
      </c>
      <c r="C1836" s="1" t="s">
        <v>1551</v>
      </c>
      <c r="D1836" s="1">
        <v>42.4557</v>
      </c>
      <c r="E1836" s="1">
        <v>-98.783799999999999</v>
      </c>
      <c r="F1836" s="1" t="s">
        <v>1922</v>
      </c>
      <c r="G1836" s="22">
        <v>970.14646347264227</v>
      </c>
      <c r="H1836" s="20">
        <f ca="1">NOW() - TIME(5,30,0) + (VLOOKUP(MasterTable[[#This Row],[TimeZone]], $O$3:$P$8, 2, FALSE) / 24)</f>
        <v>45990.531878125003</v>
      </c>
      <c r="I1836" s="1" t="s">
        <v>1944</v>
      </c>
      <c r="J1836" s="1">
        <v>469.05</v>
      </c>
      <c r="K1836" s="11"/>
      <c r="L1836" s="11"/>
    </row>
    <row r="1837" spans="1:12" x14ac:dyDescent="0.25">
      <c r="A1837" s="1" t="s">
        <v>171</v>
      </c>
      <c r="B1837" s="1" t="s">
        <v>172</v>
      </c>
      <c r="C1837" s="1" t="s">
        <v>34</v>
      </c>
      <c r="D1837" s="1">
        <v>42.209299999999999</v>
      </c>
      <c r="E1837" s="1">
        <v>-97.119299999999996</v>
      </c>
      <c r="F1837" s="1" t="s">
        <v>1922</v>
      </c>
      <c r="G1837" s="22">
        <v>1023.9570829218193</v>
      </c>
      <c r="H1837" s="20">
        <f ca="1">NOW() - TIME(5,30,0) + (VLOOKUP(MasterTable[[#This Row],[TimeZone]], $O$3:$P$8, 2, FALSE) / 24)</f>
        <v>45990.531878125003</v>
      </c>
      <c r="I1837" s="1" t="s">
        <v>1944</v>
      </c>
      <c r="J1837" s="1">
        <v>648.79999999999995</v>
      </c>
      <c r="K1837" s="11"/>
      <c r="L1837" s="11"/>
    </row>
    <row r="1838" spans="1:12" x14ac:dyDescent="0.25">
      <c r="A1838" s="1" t="s">
        <v>171</v>
      </c>
      <c r="B1838" s="1" t="s">
        <v>172</v>
      </c>
      <c r="C1838" s="1" t="s">
        <v>1573</v>
      </c>
      <c r="D1838" s="1">
        <v>41.219799999999999</v>
      </c>
      <c r="E1838" s="1">
        <v>-102.995</v>
      </c>
      <c r="F1838" s="1" t="s">
        <v>1923</v>
      </c>
      <c r="G1838" s="22">
        <v>760.51070063929899</v>
      </c>
      <c r="H1838" s="20">
        <f ca="1">NOW() - TIME(5,30,0) + (VLOOKUP(MasterTable[[#This Row],[TimeZone]], $O$3:$P$8, 2, FALSE) / 24)</f>
        <v>45990.490211458338</v>
      </c>
      <c r="I1838" s="1" t="s">
        <v>1944</v>
      </c>
      <c r="J1838" s="1">
        <v>1781.37</v>
      </c>
      <c r="K1838" s="11"/>
      <c r="L1838" s="11"/>
    </row>
    <row r="1839" spans="1:12" x14ac:dyDescent="0.25">
      <c r="A1839" s="1" t="s">
        <v>171</v>
      </c>
      <c r="B1839" s="1" t="s">
        <v>172</v>
      </c>
      <c r="C1839" s="1" t="s">
        <v>121</v>
      </c>
      <c r="D1839" s="1">
        <v>40.872999999999998</v>
      </c>
      <c r="E1839" s="1">
        <v>-98.022900000000007</v>
      </c>
      <c r="F1839" s="1" t="s">
        <v>1922</v>
      </c>
      <c r="G1839" s="22">
        <v>931.15774633437445</v>
      </c>
      <c r="H1839" s="20">
        <f ca="1">NOW() - TIME(5,30,0) + (VLOOKUP(MasterTable[[#This Row],[TimeZone]], $O$3:$P$8, 2, FALSE) / 24)</f>
        <v>45990.531878125003</v>
      </c>
      <c r="I1839" s="1" t="s">
        <v>1944</v>
      </c>
      <c r="J1839" s="1">
        <v>519.30999999999995</v>
      </c>
      <c r="K1839" s="11"/>
      <c r="L1839" s="11"/>
    </row>
    <row r="1840" spans="1:12" x14ac:dyDescent="0.25">
      <c r="A1840" s="1" t="s">
        <v>171</v>
      </c>
      <c r="B1840" s="1" t="s">
        <v>172</v>
      </c>
      <c r="C1840" s="1" t="s">
        <v>889</v>
      </c>
      <c r="D1840" s="1">
        <v>40.511099999999999</v>
      </c>
      <c r="E1840" s="1">
        <v>-99.414500000000004</v>
      </c>
      <c r="F1840" s="1" t="s">
        <v>1922</v>
      </c>
      <c r="G1840" s="22">
        <v>857.89542192235729</v>
      </c>
      <c r="H1840" s="20">
        <f ca="1">NOW() - TIME(5,30,0) + (VLOOKUP(MasterTable[[#This Row],[TimeZone]], $O$3:$P$8, 2, FALSE) / 24)</f>
        <v>45990.531878125003</v>
      </c>
      <c r="I1840" s="1" t="s">
        <v>1944</v>
      </c>
      <c r="J1840" s="1">
        <v>674.28</v>
      </c>
      <c r="K1840" s="11"/>
      <c r="L1840" s="11"/>
    </row>
    <row r="1841" spans="1:12" x14ac:dyDescent="0.25">
      <c r="A1841" s="1" t="s">
        <v>171</v>
      </c>
      <c r="B1841" s="1" t="s">
        <v>172</v>
      </c>
      <c r="C1841" s="1" t="s">
        <v>1586</v>
      </c>
      <c r="D1841" s="1">
        <v>41.916400000000003</v>
      </c>
      <c r="E1841" s="1">
        <v>-96.787400000000005</v>
      </c>
      <c r="F1841" s="1" t="s">
        <v>1922</v>
      </c>
      <c r="G1841" s="22">
        <v>1025.3573930881264</v>
      </c>
      <c r="H1841" s="20">
        <f ca="1">NOW() - TIME(5,30,0) + (VLOOKUP(MasterTable[[#This Row],[TimeZone]], $O$3:$P$8, 2, FALSE) / 24)</f>
        <v>45990.531878125003</v>
      </c>
      <c r="I1841" s="1" t="s">
        <v>1944</v>
      </c>
      <c r="J1841" s="1">
        <v>574.54</v>
      </c>
      <c r="K1841" s="11"/>
      <c r="L1841" s="11"/>
    </row>
    <row r="1842" spans="1:12" x14ac:dyDescent="0.25">
      <c r="A1842" s="1" t="s">
        <v>171</v>
      </c>
      <c r="B1842" s="1" t="s">
        <v>172</v>
      </c>
      <c r="C1842" s="1" t="s">
        <v>245</v>
      </c>
      <c r="D1842" s="1">
        <v>41.226100000000002</v>
      </c>
      <c r="E1842" s="1">
        <v>-97.131799999999998</v>
      </c>
      <c r="F1842" s="1" t="s">
        <v>1922</v>
      </c>
      <c r="G1842" s="22">
        <v>983.14858039673209</v>
      </c>
      <c r="H1842" s="20">
        <f ca="1">NOW() - TIME(5,30,0) + (VLOOKUP(MasterTable[[#This Row],[TimeZone]], $O$3:$P$8, 2, FALSE) / 24)</f>
        <v>45990.531878125003</v>
      </c>
      <c r="I1842" s="1" t="s">
        <v>1944</v>
      </c>
      <c r="J1842" s="1">
        <v>777.92</v>
      </c>
      <c r="K1842" s="11"/>
      <c r="L1842" s="11"/>
    </row>
    <row r="1843" spans="1:12" x14ac:dyDescent="0.25">
      <c r="A1843" s="1" t="s">
        <v>171</v>
      </c>
      <c r="B1843" s="1" t="s">
        <v>172</v>
      </c>
      <c r="C1843" s="1" t="s">
        <v>205</v>
      </c>
      <c r="D1843" s="1">
        <v>42.636800000000001</v>
      </c>
      <c r="E1843" s="1">
        <v>-97.891900000000007</v>
      </c>
      <c r="F1843" s="1" t="s">
        <v>1922</v>
      </c>
      <c r="G1843" s="22">
        <v>1012.2916328697996</v>
      </c>
      <c r="H1843" s="20">
        <f ca="1">NOW() - TIME(5,30,0) + (VLOOKUP(MasterTable[[#This Row],[TimeZone]], $O$3:$P$8, 2, FALSE) / 24)</f>
        <v>45990.531878125003</v>
      </c>
      <c r="I1843" s="1" t="s">
        <v>1944</v>
      </c>
      <c r="J1843" s="1">
        <v>719.7</v>
      </c>
      <c r="K1843" s="11"/>
      <c r="L1843" s="11"/>
    </row>
    <row r="1844" spans="1:12" x14ac:dyDescent="0.25">
      <c r="A1844" s="1" t="s">
        <v>171</v>
      </c>
      <c r="B1844" s="1" t="s">
        <v>172</v>
      </c>
      <c r="C1844" s="1" t="s">
        <v>1313</v>
      </c>
      <c r="D1844" s="1">
        <v>42.599299999999999</v>
      </c>
      <c r="E1844" s="1">
        <v>-97.252399999999994</v>
      </c>
      <c r="F1844" s="1" t="s">
        <v>1922</v>
      </c>
      <c r="G1844" s="22">
        <v>1035.4646296298549</v>
      </c>
      <c r="H1844" s="20">
        <f ca="1">NOW() - TIME(5,30,0) + (VLOOKUP(MasterTable[[#This Row],[TimeZone]], $O$3:$P$8, 2, FALSE) / 24)</f>
        <v>45990.531878125003</v>
      </c>
      <c r="I1844" s="1" t="s">
        <v>1944</v>
      </c>
      <c r="J1844" s="1">
        <v>581.96</v>
      </c>
      <c r="K1844" s="11"/>
      <c r="L1844" s="11"/>
    </row>
    <row r="1845" spans="1:12" x14ac:dyDescent="0.25">
      <c r="A1845" s="1" t="s">
        <v>171</v>
      </c>
      <c r="B1845" s="1" t="s">
        <v>172</v>
      </c>
      <c r="C1845" s="1" t="s">
        <v>1620</v>
      </c>
      <c r="D1845" s="1">
        <v>41.198799999999999</v>
      </c>
      <c r="E1845" s="1">
        <v>-101.6615</v>
      </c>
      <c r="F1845" s="1" t="s">
        <v>1923</v>
      </c>
      <c r="G1845" s="22">
        <v>804.06223522100697</v>
      </c>
      <c r="H1845" s="20">
        <f ca="1">NOW() - TIME(5,30,0) + (VLOOKUP(MasterTable[[#This Row],[TimeZone]], $O$3:$P$8, 2, FALSE) / 24)</f>
        <v>45990.490211458338</v>
      </c>
      <c r="I1845" s="1" t="s">
        <v>1944</v>
      </c>
      <c r="J1845" s="1">
        <v>1109.77</v>
      </c>
      <c r="K1845" s="11"/>
      <c r="L1845" s="11"/>
    </row>
    <row r="1846" spans="1:12" x14ac:dyDescent="0.25">
      <c r="A1846" s="1" t="s">
        <v>171</v>
      </c>
      <c r="B1846" s="1" t="s">
        <v>172</v>
      </c>
      <c r="C1846" s="1" t="s">
        <v>1622</v>
      </c>
      <c r="D1846" s="1">
        <v>42.719700000000003</v>
      </c>
      <c r="E1846" s="1">
        <v>-103.1354</v>
      </c>
      <c r="F1846" s="1" t="s">
        <v>1923</v>
      </c>
      <c r="G1846" s="22">
        <v>840.96602976977135</v>
      </c>
      <c r="H1846" s="20">
        <f ca="1">NOW() - TIME(5,30,0) + (VLOOKUP(MasterTable[[#This Row],[TimeZone]], $O$3:$P$8, 2, FALSE) / 24)</f>
        <v>45990.490211458338</v>
      </c>
      <c r="I1846" s="1" t="s">
        <v>1944</v>
      </c>
      <c r="J1846" s="1">
        <v>1400.86</v>
      </c>
      <c r="K1846" s="11"/>
      <c r="L1846" s="11"/>
    </row>
    <row r="1847" spans="1:12" x14ac:dyDescent="0.25">
      <c r="A1847" s="1" t="s">
        <v>171</v>
      </c>
      <c r="B1847" s="1" t="s">
        <v>172</v>
      </c>
      <c r="C1847" s="1" t="s">
        <v>1633</v>
      </c>
      <c r="D1847" s="1">
        <v>40.125</v>
      </c>
      <c r="E1847" s="1">
        <v>-95.717500000000001</v>
      </c>
      <c r="F1847" s="1" t="s">
        <v>1922</v>
      </c>
      <c r="G1847" s="22">
        <v>1006.692328692838</v>
      </c>
      <c r="H1847" s="20">
        <f ca="1">NOW() - TIME(5,30,0) + (VLOOKUP(MasterTable[[#This Row],[TimeZone]], $O$3:$P$8, 2, FALSE) / 24)</f>
        <v>45990.531878125003</v>
      </c>
      <c r="I1847" s="1" t="s">
        <v>1944</v>
      </c>
      <c r="J1847" s="1">
        <v>555.95000000000005</v>
      </c>
      <c r="K1847" s="11"/>
      <c r="L1847" s="11"/>
    </row>
    <row r="1848" spans="1:12" x14ac:dyDescent="0.25">
      <c r="A1848" s="1" t="s">
        <v>171</v>
      </c>
      <c r="B1848" s="1" t="s">
        <v>172</v>
      </c>
      <c r="C1848" s="1" t="s">
        <v>1638</v>
      </c>
      <c r="D1848" s="1">
        <v>41.168999999999997</v>
      </c>
      <c r="E1848" s="1">
        <v>-98.037999999999997</v>
      </c>
      <c r="F1848" s="1" t="s">
        <v>1922</v>
      </c>
      <c r="G1848" s="22">
        <v>942.64713808923204</v>
      </c>
      <c r="H1848" s="20">
        <f ca="1">NOW() - TIME(5,30,0) + (VLOOKUP(MasterTable[[#This Row],[TimeZone]], $O$3:$P$8, 2, FALSE) / 24)</f>
        <v>45990.531878125003</v>
      </c>
      <c r="I1848" s="1" t="s">
        <v>1944</v>
      </c>
      <c r="J1848" s="1">
        <v>494.72</v>
      </c>
      <c r="K1848" s="11"/>
      <c r="L1848" s="11"/>
    </row>
    <row r="1849" spans="1:12" x14ac:dyDescent="0.25">
      <c r="A1849" s="1" t="s">
        <v>171</v>
      </c>
      <c r="B1849" s="1" t="s">
        <v>172</v>
      </c>
      <c r="C1849" s="1" t="s">
        <v>106</v>
      </c>
      <c r="D1849" s="1">
        <v>42.264400000000002</v>
      </c>
      <c r="E1849" s="1">
        <v>-97.601299999999995</v>
      </c>
      <c r="F1849" s="1" t="s">
        <v>1922</v>
      </c>
      <c r="G1849" s="22">
        <v>1007.0413429808539</v>
      </c>
      <c r="H1849" s="20">
        <f ca="1">NOW() - TIME(5,30,0) + (VLOOKUP(MasterTable[[#This Row],[TimeZone]], $O$3:$P$8, 2, FALSE) / 24)</f>
        <v>45990.531878125003</v>
      </c>
      <c r="I1849" s="1" t="s">
        <v>1944</v>
      </c>
      <c r="J1849" s="1">
        <v>343.9</v>
      </c>
      <c r="K1849" s="11"/>
      <c r="L1849" s="11"/>
    </row>
    <row r="1850" spans="1:12" x14ac:dyDescent="0.25">
      <c r="A1850" s="1" t="s">
        <v>171</v>
      </c>
      <c r="B1850" s="1" t="s">
        <v>172</v>
      </c>
      <c r="C1850" s="1" t="s">
        <v>129</v>
      </c>
      <c r="D1850" s="1">
        <v>40.175699999999999</v>
      </c>
      <c r="E1850" s="1">
        <v>-97.142700000000005</v>
      </c>
      <c r="F1850" s="1" t="s">
        <v>1922</v>
      </c>
      <c r="G1850" s="22">
        <v>943.03221726696518</v>
      </c>
      <c r="H1850" s="20">
        <f ca="1">NOW() - TIME(5,30,0) + (VLOOKUP(MasterTable[[#This Row],[TimeZone]], $O$3:$P$8, 2, FALSE) / 24)</f>
        <v>45990.531878125003</v>
      </c>
      <c r="I1850" s="1" t="s">
        <v>1944</v>
      </c>
      <c r="J1850" s="1">
        <v>1123.8</v>
      </c>
      <c r="K1850" s="11"/>
      <c r="L1850" s="11"/>
    </row>
    <row r="1851" spans="1:12" x14ac:dyDescent="0.25">
      <c r="A1851" s="1" t="s">
        <v>171</v>
      </c>
      <c r="B1851" s="1" t="s">
        <v>172</v>
      </c>
      <c r="C1851" s="1" t="s">
        <v>1546</v>
      </c>
      <c r="D1851" s="1">
        <v>40.387599999999999</v>
      </c>
      <c r="E1851" s="1">
        <v>-95.849800000000002</v>
      </c>
      <c r="F1851" s="1" t="s">
        <v>1922</v>
      </c>
      <c r="G1851" s="22">
        <v>1009.2728235511267</v>
      </c>
      <c r="H1851" s="20">
        <f ca="1">NOW() - TIME(5,30,0) + (VLOOKUP(MasterTable[[#This Row],[TimeZone]], $O$3:$P$8, 2, FALSE) / 24)</f>
        <v>45990.531878125003</v>
      </c>
      <c r="I1851" s="1" t="s">
        <v>1944</v>
      </c>
      <c r="J1851" s="1">
        <v>719.4</v>
      </c>
      <c r="K1851" s="11"/>
      <c r="L1851" s="11"/>
    </row>
    <row r="1852" spans="1:12" x14ac:dyDescent="0.25">
      <c r="A1852" s="1" t="s">
        <v>171</v>
      </c>
      <c r="B1852" s="1" t="s">
        <v>172</v>
      </c>
      <c r="C1852" s="1" t="s">
        <v>1680</v>
      </c>
      <c r="D1852" s="1">
        <v>41.851500000000001</v>
      </c>
      <c r="E1852" s="1">
        <v>-96.328599999999994</v>
      </c>
      <c r="F1852" s="1" t="s">
        <v>1922</v>
      </c>
      <c r="G1852" s="22">
        <v>1041.9440744916342</v>
      </c>
      <c r="H1852" s="20">
        <f ca="1">NOW() - TIME(5,30,0) + (VLOOKUP(MasterTable[[#This Row],[TimeZone]], $O$3:$P$8, 2, FALSE) / 24)</f>
        <v>45990.531878125003</v>
      </c>
      <c r="I1852" s="1" t="s">
        <v>1944</v>
      </c>
      <c r="J1852" s="1">
        <v>497.1</v>
      </c>
      <c r="K1852" s="11"/>
      <c r="L1852" s="11"/>
    </row>
    <row r="1853" spans="1:12" x14ac:dyDescent="0.25">
      <c r="A1853" s="1" t="s">
        <v>171</v>
      </c>
      <c r="B1853" s="1" t="s">
        <v>172</v>
      </c>
      <c r="C1853" s="1" t="s">
        <v>1684</v>
      </c>
      <c r="D1853" s="1">
        <v>40.506700000000002</v>
      </c>
      <c r="E1853" s="1">
        <v>-98.947999999999993</v>
      </c>
      <c r="F1853" s="1" t="s">
        <v>1922</v>
      </c>
      <c r="G1853" s="22">
        <v>877.12562417683</v>
      </c>
      <c r="H1853" s="20">
        <f ca="1">NOW() - TIME(5,30,0) + (VLOOKUP(MasterTable[[#This Row],[TimeZone]], $O$3:$P$8, 2, FALSE) / 24)</f>
        <v>45990.531878125003</v>
      </c>
      <c r="I1853" s="1" t="s">
        <v>1944</v>
      </c>
      <c r="J1853" s="1">
        <v>516.13</v>
      </c>
      <c r="K1853" s="11"/>
      <c r="L1853" s="11"/>
    </row>
    <row r="1854" spans="1:12" x14ac:dyDescent="0.25">
      <c r="A1854" s="1" t="s">
        <v>171</v>
      </c>
      <c r="B1854" s="1" t="s">
        <v>172</v>
      </c>
      <c r="C1854" s="1" t="s">
        <v>296</v>
      </c>
      <c r="D1854" s="1">
        <v>42.158200000000001</v>
      </c>
      <c r="E1854" s="1">
        <v>-96.543999999999997</v>
      </c>
      <c r="F1854" s="1" t="s">
        <v>1922</v>
      </c>
      <c r="G1854" s="22">
        <v>1045.3143643963247</v>
      </c>
      <c r="H1854" s="20">
        <f ca="1">NOW() - TIME(5,30,0) + (VLOOKUP(MasterTable[[#This Row],[TimeZone]], $O$3:$P$8, 2, FALSE) / 24)</f>
        <v>45990.531878125003</v>
      </c>
      <c r="I1854" s="1" t="s">
        <v>1944</v>
      </c>
      <c r="J1854" s="1">
        <v>396.25</v>
      </c>
      <c r="K1854" s="11"/>
      <c r="L1854" s="11"/>
    </row>
    <row r="1855" spans="1:12" x14ac:dyDescent="0.25">
      <c r="A1855" s="1" t="s">
        <v>171</v>
      </c>
      <c r="B1855" s="1" t="s">
        <v>172</v>
      </c>
      <c r="C1855" s="1" t="s">
        <v>273</v>
      </c>
      <c r="D1855" s="1">
        <v>41.22</v>
      </c>
      <c r="E1855" s="1">
        <v>-98.517099999999999</v>
      </c>
      <c r="F1855" s="1" t="s">
        <v>1922</v>
      </c>
      <c r="G1855" s="22">
        <v>925.04847215037853</v>
      </c>
      <c r="H1855" s="20">
        <f ca="1">NOW() - TIME(5,30,0) + (VLOOKUP(MasterTable[[#This Row],[TimeZone]], $O$3:$P$8, 2, FALSE) / 24)</f>
        <v>45990.531878125003</v>
      </c>
      <c r="I1855" s="1" t="s">
        <v>1944</v>
      </c>
      <c r="J1855" s="1">
        <v>595.20000000000005</v>
      </c>
      <c r="K1855" s="11"/>
      <c r="L1855" s="11"/>
    </row>
    <row r="1856" spans="1:12" x14ac:dyDescent="0.25">
      <c r="A1856" s="1" t="s">
        <v>171</v>
      </c>
      <c r="B1856" s="1" t="s">
        <v>172</v>
      </c>
      <c r="C1856" s="1" t="s">
        <v>1701</v>
      </c>
      <c r="D1856" s="1">
        <v>42.176900000000003</v>
      </c>
      <c r="E1856" s="1">
        <v>-98.066699999999997</v>
      </c>
      <c r="F1856" s="1" t="s">
        <v>1922</v>
      </c>
      <c r="G1856" s="22">
        <v>984.84850403083726</v>
      </c>
      <c r="H1856" s="20">
        <f ca="1">NOW() - TIME(5,30,0) + (VLOOKUP(MasterTable[[#This Row],[TimeZone]], $O$3:$P$8, 2, FALSE) / 24)</f>
        <v>45990.531878125003</v>
      </c>
      <c r="I1856" s="1" t="s">
        <v>1944</v>
      </c>
      <c r="J1856" s="1">
        <v>858.43</v>
      </c>
      <c r="K1856" s="11"/>
      <c r="L1856" s="11"/>
    </row>
    <row r="1857" spans="1:12" x14ac:dyDescent="0.25">
      <c r="A1857" s="1" t="s">
        <v>171</v>
      </c>
      <c r="B1857" s="1" t="s">
        <v>172</v>
      </c>
      <c r="C1857" s="1" t="s">
        <v>327</v>
      </c>
      <c r="D1857" s="1">
        <v>40.5244</v>
      </c>
      <c r="E1857" s="1">
        <v>-98.051299999999998</v>
      </c>
      <c r="F1857" s="1" t="s">
        <v>1922</v>
      </c>
      <c r="G1857" s="22">
        <v>916.0321884546637</v>
      </c>
      <c r="H1857" s="20">
        <f ca="1">NOW() - TIME(5,30,0) + (VLOOKUP(MasterTable[[#This Row],[TimeZone]], $O$3:$P$8, 2, FALSE) / 24)</f>
        <v>45990.531878125003</v>
      </c>
      <c r="I1857" s="1" t="s">
        <v>1944</v>
      </c>
      <c r="J1857" s="1">
        <v>606</v>
      </c>
      <c r="K1857" s="11"/>
      <c r="L1857" s="11"/>
    </row>
    <row r="1858" spans="1:12" x14ac:dyDescent="0.25">
      <c r="A1858" s="1" t="s">
        <v>171</v>
      </c>
      <c r="B1858" s="1" t="s">
        <v>172</v>
      </c>
      <c r="C1858" s="1" t="s">
        <v>1718</v>
      </c>
      <c r="D1858" s="1">
        <v>41.916899999999998</v>
      </c>
      <c r="E1858" s="1">
        <v>-97.193899999999999</v>
      </c>
      <c r="F1858" s="1" t="s">
        <v>1922</v>
      </c>
      <c r="G1858" s="22">
        <v>1008.616741500023</v>
      </c>
      <c r="H1858" s="20">
        <f ca="1">NOW() - TIME(5,30,0) + (VLOOKUP(MasterTable[[#This Row],[TimeZone]], $O$3:$P$8, 2, FALSE) / 24)</f>
        <v>45990.531878125003</v>
      </c>
      <c r="I1858" s="1" t="s">
        <v>1944</v>
      </c>
      <c r="J1858" s="1">
        <v>680.06</v>
      </c>
      <c r="K1858" s="11"/>
      <c r="L1858" s="11"/>
    </row>
    <row r="1859" spans="1:12" x14ac:dyDescent="0.25">
      <c r="A1859" s="1" t="s">
        <v>171</v>
      </c>
      <c r="B1859" s="1" t="s">
        <v>172</v>
      </c>
      <c r="C1859" s="1" t="s">
        <v>1731</v>
      </c>
      <c r="D1859" s="1">
        <v>42.493099999999998</v>
      </c>
      <c r="E1859" s="1">
        <v>-96.867699999999999</v>
      </c>
      <c r="F1859" s="1" t="s">
        <v>1922</v>
      </c>
      <c r="G1859" s="22">
        <v>1046.153361762739</v>
      </c>
      <c r="H1859" s="20">
        <f ca="1">NOW() - TIME(5,30,0) + (VLOOKUP(MasterTable[[#This Row],[TimeZone]], $O$3:$P$8, 2, FALSE) / 24)</f>
        <v>45990.531878125003</v>
      </c>
      <c r="I1859" s="1" t="s">
        <v>1944</v>
      </c>
      <c r="J1859" s="1">
        <v>482.72</v>
      </c>
      <c r="K1859" s="11"/>
      <c r="L1859" s="11"/>
    </row>
    <row r="1860" spans="1:12" x14ac:dyDescent="0.25">
      <c r="A1860" s="1" t="s">
        <v>171</v>
      </c>
      <c r="B1860" s="1" t="s">
        <v>172</v>
      </c>
      <c r="C1860" s="1" t="s">
        <v>1245</v>
      </c>
      <c r="D1860" s="1">
        <v>40.524700000000003</v>
      </c>
      <c r="E1860" s="1">
        <v>-97.596500000000006</v>
      </c>
      <c r="F1860" s="1" t="s">
        <v>1922</v>
      </c>
      <c r="G1860" s="22">
        <v>935.8114996416889</v>
      </c>
      <c r="H1860" s="20">
        <f ca="1">NOW() - TIME(5,30,0) + (VLOOKUP(MasterTable[[#This Row],[TimeZone]], $O$3:$P$8, 2, FALSE) / 24)</f>
        <v>45990.531878125003</v>
      </c>
      <c r="I1860" s="1" t="s">
        <v>1944</v>
      </c>
      <c r="J1860" s="1">
        <v>862.15</v>
      </c>
      <c r="K1860" s="11"/>
      <c r="L1860" s="11"/>
    </row>
    <row r="1861" spans="1:12" x14ac:dyDescent="0.25">
      <c r="A1861" s="1" t="s">
        <v>171</v>
      </c>
      <c r="B1861" s="1" t="s">
        <v>172</v>
      </c>
      <c r="C1861" s="1" t="s">
        <v>1735</v>
      </c>
      <c r="D1861" s="1">
        <v>42.545000000000002</v>
      </c>
      <c r="E1861" s="1">
        <v>-101.1186</v>
      </c>
      <c r="F1861" s="1" t="s">
        <v>1923</v>
      </c>
      <c r="G1861" s="22">
        <v>892.39680414518364</v>
      </c>
      <c r="H1861" s="20">
        <f ca="1">NOW() - TIME(5,30,0) + (VLOOKUP(MasterTable[[#This Row],[TimeZone]], $O$3:$P$8, 2, FALSE) / 24)</f>
        <v>45990.490211458338</v>
      </c>
      <c r="I1861" s="1" t="s">
        <v>1944</v>
      </c>
      <c r="J1861" s="1">
        <v>6009.54</v>
      </c>
      <c r="K1861" s="11"/>
      <c r="L1861" s="11"/>
    </row>
    <row r="1862" spans="1:12" x14ac:dyDescent="0.25">
      <c r="A1862" s="1" t="s">
        <v>171</v>
      </c>
      <c r="B1862" s="1" t="s">
        <v>172</v>
      </c>
      <c r="C1862" s="1" t="s">
        <v>398</v>
      </c>
      <c r="D1862" s="1">
        <v>41.706800000000001</v>
      </c>
      <c r="E1862" s="1">
        <v>-98.0672</v>
      </c>
      <c r="F1862" s="1" t="s">
        <v>1922</v>
      </c>
      <c r="G1862" s="22">
        <v>964.21294370671933</v>
      </c>
      <c r="H1862" s="20">
        <f ca="1">NOW() - TIME(5,30,0) + (VLOOKUP(MasterTable[[#This Row],[TimeZone]], $O$3:$P$8, 2, FALSE) / 24)</f>
        <v>45990.531878125003</v>
      </c>
      <c r="I1862" s="1" t="s">
        <v>1944</v>
      </c>
      <c r="J1862" s="1">
        <v>601.82000000000005</v>
      </c>
      <c r="K1862" s="11"/>
      <c r="L1862" s="11"/>
    </row>
    <row r="1863" spans="1:12" x14ac:dyDescent="0.25">
      <c r="A1863" s="1" t="s">
        <v>171</v>
      </c>
      <c r="B1863" s="1" t="s">
        <v>172</v>
      </c>
      <c r="C1863" s="1" t="s">
        <v>165</v>
      </c>
      <c r="D1863" s="1">
        <v>40.392600000000002</v>
      </c>
      <c r="E1863" s="1">
        <v>-96.265100000000004</v>
      </c>
      <c r="F1863" s="1" t="s">
        <v>1922</v>
      </c>
      <c r="G1863" s="22">
        <v>990.45533629198121</v>
      </c>
      <c r="H1863" s="20">
        <f ca="1">NOW() - TIME(5,30,0) + (VLOOKUP(MasterTable[[#This Row],[TimeZone]], $O$3:$P$8, 2, FALSE) / 24)</f>
        <v>45990.531878125003</v>
      </c>
      <c r="I1863" s="1" t="s">
        <v>1944</v>
      </c>
      <c r="J1863" s="1">
        <v>682.74</v>
      </c>
      <c r="K1863" s="11"/>
      <c r="L1863" s="11"/>
    </row>
    <row r="1864" spans="1:12" x14ac:dyDescent="0.25">
      <c r="A1864" s="1" t="s">
        <v>171</v>
      </c>
      <c r="B1864" s="1" t="s">
        <v>172</v>
      </c>
      <c r="C1864" s="1" t="s">
        <v>134</v>
      </c>
      <c r="D1864" s="1">
        <v>41.186900000000001</v>
      </c>
      <c r="E1864" s="1">
        <v>-97.568399999999997</v>
      </c>
      <c r="F1864" s="1" t="s">
        <v>1922</v>
      </c>
      <c r="G1864" s="22">
        <v>963.05996565163048</v>
      </c>
      <c r="H1864" s="20">
        <f ca="1">NOW() - TIME(5,30,0) + (VLOOKUP(MasterTable[[#This Row],[TimeZone]], $O$3:$P$8, 2, FALSE) / 24)</f>
        <v>45990.531878125003</v>
      </c>
      <c r="I1864" s="1" t="s">
        <v>1944</v>
      </c>
      <c r="J1864" s="1">
        <v>862.42</v>
      </c>
      <c r="K1864" s="11"/>
      <c r="L1864" s="11"/>
    </row>
    <row r="1865" spans="1:12" x14ac:dyDescent="0.25">
      <c r="A1865" s="1" t="s">
        <v>171</v>
      </c>
      <c r="B1865" s="1" t="s">
        <v>172</v>
      </c>
      <c r="C1865" s="1" t="s">
        <v>1051</v>
      </c>
      <c r="D1865" s="1">
        <v>42.504800000000003</v>
      </c>
      <c r="E1865" s="1">
        <v>-102.4089</v>
      </c>
      <c r="F1865" s="1" t="s">
        <v>1923</v>
      </c>
      <c r="G1865" s="22">
        <v>849.65491551813284</v>
      </c>
      <c r="H1865" s="20">
        <f ca="1">NOW() - TIME(5,30,0) + (VLOOKUP(MasterTable[[#This Row],[TimeZone]], $O$3:$P$8, 2, FALSE) / 24)</f>
        <v>45990.490211458338</v>
      </c>
      <c r="I1865" s="1" t="s">
        <v>1944</v>
      </c>
      <c r="J1865" s="1">
        <v>896.61</v>
      </c>
      <c r="K1865" s="11"/>
      <c r="L1865" s="11"/>
    </row>
    <row r="1866" spans="1:12" x14ac:dyDescent="0.25">
      <c r="A1866" s="1" t="s">
        <v>171</v>
      </c>
      <c r="B1866" s="1" t="s">
        <v>172</v>
      </c>
      <c r="C1866" s="1" t="s">
        <v>1757</v>
      </c>
      <c r="D1866" s="1">
        <v>40.176200000000001</v>
      </c>
      <c r="E1866" s="1">
        <v>-97.594999999999999</v>
      </c>
      <c r="F1866" s="1" t="s">
        <v>1922</v>
      </c>
      <c r="G1866" s="22">
        <v>922.76591711209323</v>
      </c>
      <c r="H1866" s="20">
        <f ca="1">NOW() - TIME(5,30,0) + (VLOOKUP(MasterTable[[#This Row],[TimeZone]], $O$3:$P$8, 2, FALSE) / 24)</f>
        <v>45990.531878125003</v>
      </c>
      <c r="I1866" s="1" t="s">
        <v>1944</v>
      </c>
      <c r="J1866" s="1">
        <v>575.29999999999995</v>
      </c>
      <c r="K1866" s="11"/>
      <c r="L1866" s="11"/>
    </row>
    <row r="1867" spans="1:12" x14ac:dyDescent="0.25">
      <c r="A1867" s="1" t="s">
        <v>171</v>
      </c>
      <c r="B1867" s="1" t="s">
        <v>172</v>
      </c>
      <c r="C1867" s="1" t="s">
        <v>1767</v>
      </c>
      <c r="D1867" s="1">
        <v>40.176400000000001</v>
      </c>
      <c r="E1867" s="1">
        <v>-99.912300000000002</v>
      </c>
      <c r="F1867" s="1" t="s">
        <v>1922</v>
      </c>
      <c r="G1867" s="22">
        <v>822.98622847575507</v>
      </c>
      <c r="H1867" s="20">
        <f ca="1">NOW() - TIME(5,30,0) + (VLOOKUP(MasterTable[[#This Row],[TimeZone]], $O$3:$P$8, 2, FALSE) / 24)</f>
        <v>45990.531878125003</v>
      </c>
      <c r="I1867" s="1" t="s">
        <v>1944</v>
      </c>
      <c r="J1867" s="1">
        <v>720.51</v>
      </c>
      <c r="K1867" s="11"/>
      <c r="L1867" s="11"/>
    </row>
    <row r="1868" spans="1:12" x14ac:dyDescent="0.25">
      <c r="A1868" s="1" t="s">
        <v>171</v>
      </c>
      <c r="B1868" s="1" t="s">
        <v>172</v>
      </c>
      <c r="C1868" s="1" t="s">
        <v>1769</v>
      </c>
      <c r="D1868" s="1">
        <v>41.716000000000001</v>
      </c>
      <c r="E1868" s="1">
        <v>-103.01049999999999</v>
      </c>
      <c r="F1868" s="1" t="s">
        <v>1923</v>
      </c>
      <c r="G1868" s="22">
        <v>787.44444170134216</v>
      </c>
      <c r="H1868" s="20">
        <f ca="1">NOW() - TIME(5,30,0) + (VLOOKUP(MasterTable[[#This Row],[TimeZone]], $O$3:$P$8, 2, FALSE) / 24)</f>
        <v>45990.490211458338</v>
      </c>
      <c r="I1868" s="1" t="s">
        <v>1944</v>
      </c>
      <c r="J1868" s="1">
        <v>1429.81</v>
      </c>
      <c r="K1868" s="11"/>
      <c r="L1868" s="11"/>
    </row>
    <row r="1869" spans="1:12" x14ac:dyDescent="0.25">
      <c r="A1869" s="1" t="s">
        <v>171</v>
      </c>
      <c r="B1869" s="1" t="s">
        <v>172</v>
      </c>
      <c r="C1869" s="1" t="s">
        <v>1497</v>
      </c>
      <c r="D1869" s="1">
        <v>41.567300000000003</v>
      </c>
      <c r="E1869" s="1">
        <v>-98.981899999999996</v>
      </c>
      <c r="F1869" s="1" t="s">
        <v>1922</v>
      </c>
      <c r="G1869" s="22">
        <v>921.68952501250408</v>
      </c>
      <c r="H1869" s="20">
        <f ca="1">NOW() - TIME(5,30,0) + (VLOOKUP(MasterTable[[#This Row],[TimeZone]], $O$3:$P$8, 2, FALSE) / 24)</f>
        <v>45990.531878125003</v>
      </c>
      <c r="I1869" s="1" t="s">
        <v>1944</v>
      </c>
      <c r="J1869" s="1">
        <v>3733.66</v>
      </c>
      <c r="K1869" s="11"/>
      <c r="L1869" s="11"/>
    </row>
    <row r="1870" spans="1:12" x14ac:dyDescent="0.25">
      <c r="A1870" s="1" t="s">
        <v>171</v>
      </c>
      <c r="B1870" s="1" t="s">
        <v>172</v>
      </c>
      <c r="C1870" s="1" t="s">
        <v>1778</v>
      </c>
      <c r="D1870" s="1">
        <v>40.176400000000001</v>
      </c>
      <c r="E1870" s="1">
        <v>-98.047200000000004</v>
      </c>
      <c r="F1870" s="1" t="s">
        <v>1922</v>
      </c>
      <c r="G1870" s="22">
        <v>902.73285722622836</v>
      </c>
      <c r="H1870" s="20">
        <f ca="1">NOW() - TIME(5,30,0) + (VLOOKUP(MasterTable[[#This Row],[TimeZone]], $O$3:$P$8, 2, FALSE) / 24)</f>
        <v>45990.531878125003</v>
      </c>
      <c r="I1870" s="1" t="s">
        <v>1944</v>
      </c>
      <c r="J1870" s="1">
        <v>575.96</v>
      </c>
      <c r="K1870" s="11"/>
      <c r="L1870" s="11"/>
    </row>
    <row r="1871" spans="1:12" x14ac:dyDescent="0.25">
      <c r="A1871" s="1" t="s">
        <v>171</v>
      </c>
      <c r="B1871" s="1" t="s">
        <v>172</v>
      </c>
      <c r="C1871" s="1" t="s">
        <v>1795</v>
      </c>
      <c r="D1871" s="1">
        <v>40.5242</v>
      </c>
      <c r="E1871" s="1">
        <v>-101.69799999999999</v>
      </c>
      <c r="F1871" s="1" t="s">
        <v>1923</v>
      </c>
      <c r="G1871" s="22">
        <v>768.96730832731964</v>
      </c>
      <c r="H1871" s="20">
        <f ca="1">NOW() - TIME(5,30,0) + (VLOOKUP(MasterTable[[#This Row],[TimeZone]], $O$3:$P$8, 2, FALSE) / 24)</f>
        <v>45990.490211458338</v>
      </c>
      <c r="I1871" s="1" t="s">
        <v>1944</v>
      </c>
      <c r="J1871" s="1">
        <v>778.01</v>
      </c>
      <c r="K1871" s="11"/>
      <c r="L1871" s="11"/>
    </row>
    <row r="1872" spans="1:12" x14ac:dyDescent="0.25">
      <c r="A1872" s="1" t="s">
        <v>171</v>
      </c>
      <c r="B1872" s="1" t="s">
        <v>172</v>
      </c>
      <c r="C1872" s="1" t="s">
        <v>955</v>
      </c>
      <c r="D1872" s="1">
        <v>40.176400000000001</v>
      </c>
      <c r="E1872" s="1">
        <v>-98.5</v>
      </c>
      <c r="F1872" s="1" t="s">
        <v>1922</v>
      </c>
      <c r="G1872" s="22">
        <v>882.92213925800797</v>
      </c>
      <c r="H1872" s="20">
        <f ca="1">NOW() - TIME(5,30,0) + (VLOOKUP(MasterTable[[#This Row],[TimeZone]], $O$3:$P$8, 2, FALSE) / 24)</f>
        <v>45990.531878125003</v>
      </c>
      <c r="I1872" s="1" t="s">
        <v>1944</v>
      </c>
      <c r="J1872" s="1">
        <v>210.26</v>
      </c>
      <c r="K1872" s="11"/>
      <c r="L1872" s="11"/>
    </row>
    <row r="1873" spans="1:12" x14ac:dyDescent="0.25">
      <c r="A1873" s="1" t="s">
        <v>171</v>
      </c>
      <c r="B1873" s="1" t="s">
        <v>172</v>
      </c>
      <c r="C1873" s="1" t="s">
        <v>1807</v>
      </c>
      <c r="D1873" s="1">
        <v>41.197800000000001</v>
      </c>
      <c r="E1873" s="1">
        <v>-103.7149</v>
      </c>
      <c r="F1873" s="1" t="s">
        <v>1923</v>
      </c>
      <c r="G1873" s="22">
        <v>737.09977185470723</v>
      </c>
      <c r="H1873" s="20">
        <f ca="1">NOW() - TIME(5,30,0) + (VLOOKUP(MasterTable[[#This Row],[TimeZone]], $O$3:$P$8, 2, FALSE) / 24)</f>
        <v>45990.490211458338</v>
      </c>
      <c r="I1873" s="1" t="s">
        <v>1944</v>
      </c>
      <c r="J1873" s="1">
        <v>952.31</v>
      </c>
      <c r="K1873" s="11"/>
      <c r="L1873" s="11"/>
    </row>
    <row r="1874" spans="1:12" x14ac:dyDescent="0.25">
      <c r="A1874" s="1" t="s">
        <v>171</v>
      </c>
      <c r="B1874" s="1" t="s">
        <v>172</v>
      </c>
      <c r="C1874" s="1" t="s">
        <v>1808</v>
      </c>
      <c r="D1874" s="1">
        <v>41.397300000000001</v>
      </c>
      <c r="E1874" s="1">
        <v>-97.992199999999997</v>
      </c>
      <c r="F1874" s="1" t="s">
        <v>1922</v>
      </c>
      <c r="G1874" s="22">
        <v>954.07494392319848</v>
      </c>
      <c r="H1874" s="20">
        <f ca="1">NOW() - TIME(5,30,0) + (VLOOKUP(MasterTable[[#This Row],[TimeZone]], $O$3:$P$8, 2, FALSE) / 24)</f>
        <v>45990.531878125003</v>
      </c>
      <c r="I1874" s="1" t="s">
        <v>1944</v>
      </c>
      <c r="J1874" s="1">
        <v>448.04</v>
      </c>
      <c r="K1874" s="11"/>
      <c r="L1874" s="11"/>
    </row>
    <row r="1875" spans="1:12" x14ac:dyDescent="0.25">
      <c r="A1875" s="1" t="s">
        <v>171</v>
      </c>
      <c r="B1875" s="1" t="s">
        <v>172</v>
      </c>
      <c r="C1875" s="1" t="s">
        <v>1141</v>
      </c>
      <c r="D1875" s="1">
        <v>40.176499999999997</v>
      </c>
      <c r="E1875" s="1">
        <v>-99.404600000000002</v>
      </c>
      <c r="F1875" s="1" t="s">
        <v>1922</v>
      </c>
      <c r="G1875" s="22">
        <v>844.19035539776075</v>
      </c>
      <c r="H1875" s="20">
        <f ca="1">NOW() - TIME(5,30,0) + (VLOOKUP(MasterTable[[#This Row],[TimeZone]], $O$3:$P$8, 2, FALSE) / 24)</f>
        <v>45990.531878125003</v>
      </c>
      <c r="I1875" s="1" t="s">
        <v>1944</v>
      </c>
      <c r="J1875" s="1">
        <v>467.97</v>
      </c>
      <c r="K1875" s="11"/>
      <c r="L1875" s="11"/>
    </row>
    <row r="1876" spans="1:12" x14ac:dyDescent="0.25">
      <c r="A1876" s="1" t="s">
        <v>171</v>
      </c>
      <c r="B1876" s="1" t="s">
        <v>172</v>
      </c>
      <c r="C1876" s="1" t="s">
        <v>1712</v>
      </c>
      <c r="D1876" s="1">
        <v>41.220599999999997</v>
      </c>
      <c r="E1876" s="1">
        <v>-98.976200000000006</v>
      </c>
      <c r="F1876" s="1" t="s">
        <v>1922</v>
      </c>
      <c r="G1876" s="22">
        <v>906.49734462440711</v>
      </c>
      <c r="H1876" s="20">
        <f ca="1">NOW() - TIME(5,30,0) + (VLOOKUP(MasterTable[[#This Row],[TimeZone]], $O$3:$P$8, 2, FALSE) / 24)</f>
        <v>45990.531878125003</v>
      </c>
      <c r="I1876" s="1" t="s">
        <v>1944</v>
      </c>
      <c r="J1876" s="1">
        <v>1056.01</v>
      </c>
      <c r="K1876" s="11"/>
      <c r="L1876" s="11"/>
    </row>
    <row r="1877" spans="1:12" x14ac:dyDescent="0.25">
      <c r="A1877" s="1" t="s">
        <v>171</v>
      </c>
      <c r="B1877" s="1" t="s">
        <v>172</v>
      </c>
      <c r="C1877" s="1" t="s">
        <v>50</v>
      </c>
      <c r="D1877" s="1">
        <v>40.176299999999998</v>
      </c>
      <c r="E1877" s="1">
        <v>-98.952799999999996</v>
      </c>
      <c r="F1877" s="1" t="s">
        <v>1922</v>
      </c>
      <c r="G1877" s="22">
        <v>863.38198780379037</v>
      </c>
      <c r="H1877" s="20">
        <f ca="1">NOW() - TIME(5,30,0) + (VLOOKUP(MasterTable[[#This Row],[TimeZone]], $O$3:$P$8, 2, FALSE) / 24)</f>
        <v>45990.531878125003</v>
      </c>
      <c r="I1877" s="1" t="s">
        <v>1944</v>
      </c>
      <c r="J1877" s="1">
        <v>646.51</v>
      </c>
      <c r="K1877" s="11"/>
      <c r="L1877" s="11"/>
    </row>
    <row r="1878" spans="1:12" x14ac:dyDescent="0.25">
      <c r="A1878" s="1" t="s">
        <v>171</v>
      </c>
      <c r="B1878" s="1" t="s">
        <v>172</v>
      </c>
      <c r="C1878" s="1" t="s">
        <v>1822</v>
      </c>
      <c r="D1878" s="1">
        <v>40.850999999999999</v>
      </c>
      <c r="E1878" s="1">
        <v>-101.6497</v>
      </c>
      <c r="F1878" s="1" t="s">
        <v>1923</v>
      </c>
      <c r="G1878" s="22">
        <v>786.92784969717957</v>
      </c>
      <c r="H1878" s="20">
        <f ca="1">NOW() - TIME(5,30,0) + (VLOOKUP(MasterTable[[#This Row],[TimeZone]], $O$3:$P$8, 2, FALSE) / 24)</f>
        <v>45990.490211458338</v>
      </c>
      <c r="I1878" s="1" t="s">
        <v>1944</v>
      </c>
      <c r="J1878" s="1">
        <v>884.27</v>
      </c>
      <c r="K1878" s="11"/>
      <c r="L1878" s="11"/>
    </row>
    <row r="1879" spans="1:12" x14ac:dyDescent="0.25">
      <c r="A1879" s="1" t="s">
        <v>171</v>
      </c>
      <c r="B1879" s="1" t="s">
        <v>172</v>
      </c>
      <c r="C1879" s="1" t="s">
        <v>316</v>
      </c>
      <c r="D1879" s="1">
        <v>42.43</v>
      </c>
      <c r="E1879" s="1">
        <v>-99.929500000000004</v>
      </c>
      <c r="F1879" s="1" t="s">
        <v>1922</v>
      </c>
      <c r="G1879" s="22">
        <v>927.14019310929154</v>
      </c>
      <c r="H1879" s="20">
        <f ca="1">NOW() - TIME(5,30,0) + (VLOOKUP(MasterTable[[#This Row],[TimeZone]], $O$3:$P$8, 2, FALSE) / 24)</f>
        <v>45990.531878125003</v>
      </c>
      <c r="I1879" s="1" t="s">
        <v>1944</v>
      </c>
      <c r="J1879" s="1">
        <v>307.24</v>
      </c>
      <c r="K1879" s="11"/>
      <c r="L1879" s="11"/>
    </row>
    <row r="1880" spans="1:12" x14ac:dyDescent="0.25">
      <c r="A1880" s="1" t="s">
        <v>171</v>
      </c>
      <c r="B1880" s="1" t="s">
        <v>172</v>
      </c>
      <c r="C1880" s="1" t="s">
        <v>1836</v>
      </c>
      <c r="D1880" s="1">
        <v>40.176299999999998</v>
      </c>
      <c r="E1880" s="1">
        <v>-101.0423</v>
      </c>
      <c r="F1880" s="1" t="s">
        <v>1923</v>
      </c>
      <c r="G1880" s="22">
        <v>777.38464494717948</v>
      </c>
      <c r="H1880" s="20">
        <f ca="1">NOW() - TIME(5,30,0) + (VLOOKUP(MasterTable[[#This Row],[TimeZone]], $O$3:$P$8, 2, FALSE) / 24)</f>
        <v>45990.490211458338</v>
      </c>
      <c r="I1880" s="1" t="s">
        <v>1944</v>
      </c>
      <c r="J1880" s="1">
        <v>718.57</v>
      </c>
      <c r="K1880" s="11"/>
      <c r="L1880" s="11"/>
    </row>
    <row r="1881" spans="1:12" x14ac:dyDescent="0.25">
      <c r="A1881" s="1" t="s">
        <v>171</v>
      </c>
      <c r="B1881" s="1" t="s">
        <v>172</v>
      </c>
      <c r="C1881" s="1" t="s">
        <v>1839</v>
      </c>
      <c r="D1881" s="1">
        <v>40.530099999999997</v>
      </c>
      <c r="E1881" s="1">
        <v>-100.3942</v>
      </c>
      <c r="F1881" s="1" t="s">
        <v>1923</v>
      </c>
      <c r="G1881" s="22">
        <v>819.14050087390933</v>
      </c>
      <c r="H1881" s="20">
        <f ca="1">NOW() - TIME(5,30,0) + (VLOOKUP(MasterTable[[#This Row],[TimeZone]], $O$3:$P$8, 2, FALSE) / 24)</f>
        <v>45990.490211458338</v>
      </c>
      <c r="I1881" s="1" t="s">
        <v>1944</v>
      </c>
      <c r="J1881" s="1">
        <v>980.06</v>
      </c>
      <c r="K1881" s="11"/>
      <c r="L1881" s="11"/>
    </row>
    <row r="1882" spans="1:12" x14ac:dyDescent="0.25">
      <c r="A1882" s="1" t="s">
        <v>171</v>
      </c>
      <c r="B1882" s="1" t="s">
        <v>172</v>
      </c>
      <c r="C1882" s="1" t="s">
        <v>1386</v>
      </c>
      <c r="D1882" s="1">
        <v>40.131500000000003</v>
      </c>
      <c r="E1882" s="1">
        <v>-96.237099999999998</v>
      </c>
      <c r="F1882" s="1" t="s">
        <v>1922</v>
      </c>
      <c r="G1882" s="22">
        <v>982.81174066978895</v>
      </c>
      <c r="H1882" s="20">
        <f ca="1">NOW() - TIME(5,30,0) + (VLOOKUP(MasterTable[[#This Row],[TimeZone]], $O$3:$P$8, 2, FALSE) / 24)</f>
        <v>45990.531878125003</v>
      </c>
      <c r="I1882" s="1" t="s">
        <v>1944</v>
      </c>
      <c r="J1882" s="1">
        <v>754.56</v>
      </c>
      <c r="K1882" s="11"/>
      <c r="L1882" s="11"/>
    </row>
    <row r="1883" spans="1:12" x14ac:dyDescent="0.25">
      <c r="A1883" s="1" t="s">
        <v>171</v>
      </c>
      <c r="B1883" s="1" t="s">
        <v>172</v>
      </c>
      <c r="C1883" s="1" t="s">
        <v>1854</v>
      </c>
      <c r="D1883" s="1">
        <v>41.567399999999999</v>
      </c>
      <c r="E1883" s="1">
        <v>-98.521199999999993</v>
      </c>
      <c r="F1883" s="1" t="s">
        <v>1922</v>
      </c>
      <c r="G1883" s="22">
        <v>939.93516630378758</v>
      </c>
      <c r="H1883" s="20">
        <f ca="1">NOW() - TIME(5,30,0) + (VLOOKUP(MasterTable[[#This Row],[TimeZone]], $O$3:$P$8, 2, FALSE) / 24)</f>
        <v>45990.531878125003</v>
      </c>
      <c r="I1883" s="1" t="s">
        <v>1944</v>
      </c>
      <c r="J1883" s="1">
        <v>778.01</v>
      </c>
      <c r="K1883" s="11"/>
      <c r="L1883" s="11"/>
    </row>
    <row r="1884" spans="1:12" x14ac:dyDescent="0.25">
      <c r="A1884" s="1" t="s">
        <v>171</v>
      </c>
      <c r="B1884" s="1" t="s">
        <v>172</v>
      </c>
      <c r="C1884" s="1" t="s">
        <v>1868</v>
      </c>
      <c r="D1884" s="1">
        <v>40.514800000000001</v>
      </c>
      <c r="E1884" s="1">
        <v>-99.830699999999993</v>
      </c>
      <c r="F1884" s="1" t="s">
        <v>1922</v>
      </c>
      <c r="G1884" s="22">
        <v>841.02808091027157</v>
      </c>
      <c r="H1884" s="20">
        <f ca="1">NOW() - TIME(5,30,0) + (VLOOKUP(MasterTable[[#This Row],[TimeZone]], $O$3:$P$8, 2, FALSE) / 24)</f>
        <v>45990.531878125003</v>
      </c>
      <c r="I1884" s="1" t="s">
        <v>1944</v>
      </c>
      <c r="J1884" s="1">
        <v>462.74</v>
      </c>
      <c r="K1884" s="11"/>
      <c r="L1884" s="11"/>
    </row>
    <row r="1885" spans="1:12" x14ac:dyDescent="0.25">
      <c r="A1885" s="1" t="s">
        <v>171</v>
      </c>
      <c r="B1885" s="1" t="s">
        <v>172</v>
      </c>
      <c r="C1885" s="1" t="s">
        <v>1772</v>
      </c>
      <c r="D1885" s="1">
        <v>41.111600000000003</v>
      </c>
      <c r="E1885" s="1">
        <v>-102.3339</v>
      </c>
      <c r="F1885" s="1" t="s">
        <v>1922</v>
      </c>
      <c r="G1885" s="22">
        <v>776.38300510375882</v>
      </c>
      <c r="H1885" s="20">
        <f ca="1">NOW() - TIME(5,30,0) + (VLOOKUP(MasterTable[[#This Row],[TimeZone]], $O$3:$P$8, 2, FALSE) / 24)</f>
        <v>45990.531878125003</v>
      </c>
      <c r="I1885" s="1" t="s">
        <v>1944</v>
      </c>
      <c r="J1885" s="1">
        <v>440.79</v>
      </c>
      <c r="K1885" s="11"/>
      <c r="L1885" s="11"/>
    </row>
    <row r="1886" spans="1:12" x14ac:dyDescent="0.25">
      <c r="A1886" s="1" t="s">
        <v>171</v>
      </c>
      <c r="B1886" s="1" t="s">
        <v>172</v>
      </c>
      <c r="C1886" s="1" t="s">
        <v>1872</v>
      </c>
      <c r="D1886" s="1">
        <v>40.176200000000001</v>
      </c>
      <c r="E1886" s="1">
        <v>-101.6879</v>
      </c>
      <c r="F1886" s="1" t="s">
        <v>1923</v>
      </c>
      <c r="G1886" s="22">
        <v>752.43502277053778</v>
      </c>
      <c r="H1886" s="20">
        <f ca="1">NOW() - TIME(5,30,0) + (VLOOKUP(MasterTable[[#This Row],[TimeZone]], $O$3:$P$8, 2, FALSE) / 24)</f>
        <v>45990.490211458338</v>
      </c>
      <c r="I1886" s="1" t="s">
        <v>1944</v>
      </c>
      <c r="J1886" s="1">
        <v>920.79</v>
      </c>
      <c r="K1886" s="11"/>
      <c r="L1886" s="11"/>
    </row>
    <row r="1887" spans="1:12" x14ac:dyDescent="0.25">
      <c r="A1887" s="1" t="s">
        <v>171</v>
      </c>
      <c r="B1887" s="1" t="s">
        <v>172</v>
      </c>
      <c r="C1887" s="1" t="s">
        <v>765</v>
      </c>
      <c r="D1887" s="1">
        <v>41.914400000000001</v>
      </c>
      <c r="E1887" s="1">
        <v>-98.991399999999999</v>
      </c>
      <c r="F1887" s="1" t="s">
        <v>1922</v>
      </c>
      <c r="G1887" s="22">
        <v>937.1163907160377</v>
      </c>
      <c r="H1887" s="20">
        <f ca="1">NOW() - TIME(5,30,0) + (VLOOKUP(MasterTable[[#This Row],[TimeZone]], $O$3:$P$8, 2, FALSE) / 24)</f>
        <v>45990.531878125003</v>
      </c>
      <c r="I1887" s="1" t="s">
        <v>1944</v>
      </c>
      <c r="J1887" s="1">
        <v>2955.76</v>
      </c>
      <c r="K1887" s="11"/>
      <c r="L1887" s="11"/>
    </row>
    <row r="1888" spans="1:12" x14ac:dyDescent="0.25">
      <c r="A1888" s="1" t="s">
        <v>171</v>
      </c>
      <c r="B1888" s="1" t="s">
        <v>172</v>
      </c>
      <c r="C1888" s="1" t="s">
        <v>857</v>
      </c>
      <c r="D1888" s="1">
        <v>42.899700000000003</v>
      </c>
      <c r="E1888" s="1">
        <v>-98.766499999999994</v>
      </c>
      <c r="F1888" s="1" t="s">
        <v>1922</v>
      </c>
      <c r="G1888" s="22">
        <v>991.87805346776861</v>
      </c>
      <c r="H1888" s="20">
        <f ca="1">NOW() - TIME(5,30,0) + (VLOOKUP(MasterTable[[#This Row],[TimeZone]], $O$3:$P$8, 2, FALSE) / 24)</f>
        <v>45990.531878125003</v>
      </c>
      <c r="I1888" s="1" t="s">
        <v>1944</v>
      </c>
      <c r="J1888" s="1">
        <v>161.82</v>
      </c>
      <c r="K1888" s="11"/>
      <c r="L1888" s="11"/>
    </row>
    <row r="1889" spans="1:12" x14ac:dyDescent="0.25">
      <c r="A1889" s="1" t="s">
        <v>171</v>
      </c>
      <c r="B1889" s="1" t="s">
        <v>172</v>
      </c>
      <c r="C1889" s="1" t="s">
        <v>1882</v>
      </c>
      <c r="D1889" s="1">
        <v>41.619399999999999</v>
      </c>
      <c r="E1889" s="1">
        <v>-102.33540000000001</v>
      </c>
      <c r="F1889" s="1" t="s">
        <v>1923</v>
      </c>
      <c r="G1889" s="22">
        <v>803.35646017493741</v>
      </c>
      <c r="H1889" s="20">
        <f ca="1">NOW() - TIME(5,30,0) + (VLOOKUP(MasterTable[[#This Row],[TimeZone]], $O$3:$P$8, 2, FALSE) / 24)</f>
        <v>45990.490211458338</v>
      </c>
      <c r="I1889" s="1" t="s">
        <v>1944</v>
      </c>
      <c r="J1889" s="1">
        <v>1731</v>
      </c>
      <c r="K1889" s="11"/>
      <c r="L1889" s="11"/>
    </row>
    <row r="1890" spans="1:12" x14ac:dyDescent="0.25">
      <c r="A1890" s="1" t="s">
        <v>171</v>
      </c>
      <c r="B1890" s="1" t="s">
        <v>172</v>
      </c>
      <c r="C1890" s="1" t="s">
        <v>442</v>
      </c>
      <c r="D1890" s="1">
        <v>42.421300000000002</v>
      </c>
      <c r="E1890" s="1">
        <v>-99.4499</v>
      </c>
      <c r="F1890" s="1" t="s">
        <v>1922</v>
      </c>
      <c r="G1890" s="22">
        <v>943.93840181626786</v>
      </c>
      <c r="H1890" s="20">
        <f ca="1">NOW() - TIME(5,30,0) + (VLOOKUP(MasterTable[[#This Row],[TimeZone]], $O$3:$P$8, 2, FALSE) / 24)</f>
        <v>45990.531878125003</v>
      </c>
      <c r="I1890" s="1" t="s">
        <v>1944</v>
      </c>
      <c r="J1890" s="1">
        <v>482.84</v>
      </c>
      <c r="K1890" s="11"/>
      <c r="L1890" s="11"/>
    </row>
    <row r="1891" spans="1:12" x14ac:dyDescent="0.25">
      <c r="A1891" s="1" t="s">
        <v>171</v>
      </c>
      <c r="B1891" s="1" t="s">
        <v>172</v>
      </c>
      <c r="C1891" s="1" t="s">
        <v>1007</v>
      </c>
      <c r="D1891" s="1">
        <v>42.487699999999997</v>
      </c>
      <c r="E1891" s="1">
        <v>-103.7589</v>
      </c>
      <c r="F1891" s="1" t="s">
        <v>1923</v>
      </c>
      <c r="G1891" s="22">
        <v>810.52790182978504</v>
      </c>
      <c r="H1891" s="20">
        <f ca="1">NOW() - TIME(5,30,0) + (VLOOKUP(MasterTable[[#This Row],[TimeZone]], $O$3:$P$8, 2, FALSE) / 24)</f>
        <v>45990.490211458338</v>
      </c>
      <c r="I1891" s="1" t="s">
        <v>1944</v>
      </c>
      <c r="J1891" s="1">
        <v>768.58</v>
      </c>
      <c r="K1891" s="11"/>
      <c r="L1891" s="11"/>
    </row>
    <row r="1892" spans="1:12" x14ac:dyDescent="0.25">
      <c r="A1892" s="1" t="s">
        <v>171</v>
      </c>
      <c r="B1892" s="1" t="s">
        <v>172</v>
      </c>
      <c r="C1892" s="1" t="s">
        <v>1904</v>
      </c>
      <c r="D1892" s="1">
        <v>42.878900000000002</v>
      </c>
      <c r="E1892" s="1">
        <v>-99.712400000000002</v>
      </c>
      <c r="F1892" s="1" t="s">
        <v>1922</v>
      </c>
      <c r="G1892" s="22">
        <v>957.17996718523762</v>
      </c>
      <c r="H1892" s="20">
        <f ca="1">NOW() - TIME(5,30,0) + (VLOOKUP(MasterTable[[#This Row],[TimeZone]], $O$3:$P$8, 2, FALSE) / 24)</f>
        <v>45990.531878125003</v>
      </c>
      <c r="I1892" s="1" t="s">
        <v>1944</v>
      </c>
      <c r="J1892" s="1">
        <v>774.17</v>
      </c>
      <c r="K1892" s="11"/>
      <c r="L1892" s="11"/>
    </row>
    <row r="1893" spans="1:12" x14ac:dyDescent="0.25">
      <c r="A1893" s="1" t="s">
        <v>171</v>
      </c>
      <c r="B1893" s="1" t="s">
        <v>172</v>
      </c>
      <c r="C1893" s="1" t="s">
        <v>1907</v>
      </c>
      <c r="D1893" s="1">
        <v>40.524799999999999</v>
      </c>
      <c r="E1893" s="1">
        <v>-101.06189999999999</v>
      </c>
      <c r="F1893" s="1" t="s">
        <v>1923</v>
      </c>
      <c r="G1893" s="22">
        <v>792.91503311827319</v>
      </c>
      <c r="H1893" s="20">
        <f ca="1">NOW() - TIME(5,30,0) + (VLOOKUP(MasterTable[[#This Row],[TimeZone]], $O$3:$P$8, 2, FALSE) / 24)</f>
        <v>45990.490211458338</v>
      </c>
      <c r="I1893" s="1" t="s">
        <v>1944</v>
      </c>
      <c r="J1893" s="1">
        <v>713.33</v>
      </c>
      <c r="K1893" s="11"/>
      <c r="L1893" s="11"/>
    </row>
    <row r="1894" spans="1:12" x14ac:dyDescent="0.25">
      <c r="A1894" s="1" t="s">
        <v>171</v>
      </c>
      <c r="B1894" s="1" t="s">
        <v>172</v>
      </c>
      <c r="C1894" s="1" t="s">
        <v>837</v>
      </c>
      <c r="D1894" s="1">
        <v>41.566600000000001</v>
      </c>
      <c r="E1894" s="1">
        <v>-100.48269999999999</v>
      </c>
      <c r="F1894" s="1" t="s">
        <v>1922</v>
      </c>
      <c r="G1894" s="22">
        <v>864.69481047436682</v>
      </c>
      <c r="H1894" s="20">
        <f ca="1">NOW() - TIME(5,30,0) + (VLOOKUP(MasterTable[[#This Row],[TimeZone]], $O$3:$P$8, 2, FALSE) / 24)</f>
        <v>45990.531878125003</v>
      </c>
      <c r="I1894" s="1" t="s">
        <v>1944</v>
      </c>
      <c r="J1894" s="1">
        <v>731.5</v>
      </c>
      <c r="K1894" s="11"/>
      <c r="L1894" s="11"/>
    </row>
    <row r="1895" spans="1:12" x14ac:dyDescent="0.25">
      <c r="A1895" s="1" t="s">
        <v>171</v>
      </c>
      <c r="B1895" s="1" t="s">
        <v>172</v>
      </c>
      <c r="C1895" s="1" t="s">
        <v>1650</v>
      </c>
      <c r="D1895" s="1">
        <v>41.9148</v>
      </c>
      <c r="E1895" s="1">
        <v>-98.528199999999998</v>
      </c>
      <c r="F1895" s="1" t="s">
        <v>1922</v>
      </c>
      <c r="G1895" s="22">
        <v>955.07468762395445</v>
      </c>
      <c r="H1895" s="20">
        <f ca="1">NOW() - TIME(5,30,0) + (VLOOKUP(MasterTable[[#This Row],[TimeZone]], $O$3:$P$8, 2, FALSE) / 24)</f>
        <v>45990.531878125003</v>
      </c>
      <c r="I1895" s="1" t="s">
        <v>1944</v>
      </c>
      <c r="J1895" s="1">
        <v>300.14</v>
      </c>
      <c r="K1895" s="11"/>
      <c r="L1895" s="11"/>
    </row>
    <row r="1896" spans="1:12" x14ac:dyDescent="0.25">
      <c r="A1896" s="1" t="s">
        <v>171</v>
      </c>
      <c r="B1896" s="1" t="s">
        <v>172</v>
      </c>
      <c r="C1896" s="1" t="s">
        <v>590</v>
      </c>
      <c r="D1896" s="1">
        <v>41.914999999999999</v>
      </c>
      <c r="E1896" s="1">
        <v>-101.7406</v>
      </c>
      <c r="F1896" s="1" t="s">
        <v>1922</v>
      </c>
      <c r="G1896" s="22">
        <v>838.59783263149563</v>
      </c>
      <c r="H1896" s="20">
        <f ca="1">NOW() - TIME(5,30,0) + (VLOOKUP(MasterTable[[#This Row],[TimeZone]], $O$3:$P$8, 2, FALSE) / 24)</f>
        <v>45990.531878125003</v>
      </c>
      <c r="I1896" s="1" t="s">
        <v>1944</v>
      </c>
      <c r="J1896" s="1">
        <v>633.01</v>
      </c>
      <c r="K1896" s="11"/>
      <c r="L1896" s="11"/>
    </row>
    <row r="1897" spans="1:12" x14ac:dyDescent="0.25">
      <c r="A1897" s="1" t="s">
        <v>171</v>
      </c>
      <c r="B1897" s="1" t="s">
        <v>172</v>
      </c>
      <c r="C1897" s="1" t="s">
        <v>1912</v>
      </c>
      <c r="D1897" s="1">
        <v>41.545999999999999</v>
      </c>
      <c r="E1897" s="1">
        <v>-103.7105</v>
      </c>
      <c r="F1897" s="1" t="s">
        <v>1923</v>
      </c>
      <c r="G1897" s="22">
        <v>757.05760457186318</v>
      </c>
      <c r="H1897" s="20">
        <f ca="1">NOW() - TIME(5,30,0) + (VLOOKUP(MasterTable[[#This Row],[TimeZone]], $O$3:$P$8, 2, FALSE) / 24)</f>
        <v>45990.490211458338</v>
      </c>
      <c r="I1897" s="1" t="s">
        <v>1944</v>
      </c>
      <c r="J1897" s="1">
        <v>746.37</v>
      </c>
      <c r="K1897" s="11"/>
      <c r="L1897" s="11"/>
    </row>
    <row r="1898" spans="1:12" x14ac:dyDescent="0.25">
      <c r="A1898" s="1" t="s">
        <v>171</v>
      </c>
      <c r="B1898" s="1" t="s">
        <v>172</v>
      </c>
      <c r="C1898" s="1" t="s">
        <v>883</v>
      </c>
      <c r="D1898" s="1">
        <v>41.913699999999999</v>
      </c>
      <c r="E1898" s="1">
        <v>-100.5558</v>
      </c>
      <c r="F1898" s="1" t="s">
        <v>1923</v>
      </c>
      <c r="G1898" s="22">
        <v>879.19522271298058</v>
      </c>
      <c r="H1898" s="20">
        <f ca="1">NOW() - TIME(5,30,0) + (VLOOKUP(MasterTable[[#This Row],[TimeZone]], $O$3:$P$8, 2, FALSE) / 24)</f>
        <v>45990.490211458338</v>
      </c>
      <c r="I1898" s="1" t="s">
        <v>1944</v>
      </c>
      <c r="J1898" s="1">
        <v>552.08000000000004</v>
      </c>
      <c r="K1898" s="11"/>
      <c r="L1898" s="11"/>
    </row>
    <row r="1899" spans="1:12" x14ac:dyDescent="0.25">
      <c r="A1899" s="1" t="s">
        <v>171</v>
      </c>
      <c r="B1899" s="1" t="s">
        <v>172</v>
      </c>
      <c r="C1899" s="1" t="s">
        <v>1914</v>
      </c>
      <c r="D1899" s="1">
        <v>41.9161</v>
      </c>
      <c r="E1899" s="1">
        <v>-101.1353</v>
      </c>
      <c r="F1899" s="1" t="s">
        <v>1922</v>
      </c>
      <c r="G1899" s="22">
        <v>859.05549933791588</v>
      </c>
      <c r="H1899" s="20">
        <f ca="1">NOW() - TIME(5,30,0) + (VLOOKUP(MasterTable[[#This Row],[TimeZone]], $O$3:$P$8, 2, FALSE) / 24)</f>
        <v>45990.531878125003</v>
      </c>
      <c r="I1899" s="1" t="s">
        <v>1944</v>
      </c>
      <c r="J1899" s="1">
        <v>721.51</v>
      </c>
      <c r="K1899" s="11"/>
      <c r="L1899" s="11"/>
    </row>
    <row r="1900" spans="1:12" x14ac:dyDescent="0.25">
      <c r="A1900" s="1" t="s">
        <v>171</v>
      </c>
      <c r="B1900" s="1" t="s">
        <v>172</v>
      </c>
      <c r="C1900" s="1" t="s">
        <v>1915</v>
      </c>
      <c r="D1900" s="1">
        <v>41.913899999999998</v>
      </c>
      <c r="E1900" s="1">
        <v>-99.454400000000007</v>
      </c>
      <c r="F1900" s="1" t="s">
        <v>1922</v>
      </c>
      <c r="G1900" s="22">
        <v>919.50908511180614</v>
      </c>
      <c r="H1900" s="20">
        <f ca="1">NOW() - TIME(5,30,0) + (VLOOKUP(MasterTable[[#This Row],[TimeZone]], $O$3:$P$8, 2, FALSE) / 24)</f>
        <v>45990.531878125003</v>
      </c>
      <c r="I1900" s="1" t="s">
        <v>1944</v>
      </c>
      <c r="J1900" s="1">
        <v>571.02</v>
      </c>
      <c r="K1900" s="11"/>
      <c r="L1900" s="11"/>
    </row>
    <row r="1901" spans="1:12" x14ac:dyDescent="0.25">
      <c r="A1901" s="1" t="s">
        <v>171</v>
      </c>
      <c r="B1901" s="1" t="s">
        <v>172</v>
      </c>
      <c r="C1901" s="1" t="s">
        <v>1916</v>
      </c>
      <c r="D1901" s="1">
        <v>41.569000000000003</v>
      </c>
      <c r="E1901" s="1">
        <v>-101.69580000000001</v>
      </c>
      <c r="F1901" s="1" t="s">
        <v>1923</v>
      </c>
      <c r="G1901" s="22">
        <v>821.93918754678475</v>
      </c>
      <c r="H1901" s="20">
        <f ca="1">NOW() - TIME(5,30,0) + (VLOOKUP(MasterTable[[#This Row],[TimeZone]], $O$3:$P$8, 2, FALSE) / 24)</f>
        <v>45990.490211458338</v>
      </c>
      <c r="I1901" s="1" t="s">
        <v>1944</v>
      </c>
      <c r="J1901" s="1">
        <v>718.32</v>
      </c>
      <c r="K1901" s="11"/>
      <c r="L1901" s="11"/>
    </row>
    <row r="1902" spans="1:12" x14ac:dyDescent="0.25">
      <c r="A1902" s="1" t="s">
        <v>171</v>
      </c>
      <c r="B1902" s="1" t="s">
        <v>172</v>
      </c>
      <c r="C1902" s="1" t="s">
        <v>1077</v>
      </c>
      <c r="D1902" s="1">
        <v>41.568199999999997</v>
      </c>
      <c r="E1902" s="1">
        <v>-101.0604</v>
      </c>
      <c r="F1902" s="1" t="s">
        <v>1923</v>
      </c>
      <c r="G1902" s="22">
        <v>843.97010834958621</v>
      </c>
      <c r="H1902" s="20">
        <f ca="1">NOW() - TIME(5,30,0) + (VLOOKUP(MasterTable[[#This Row],[TimeZone]], $O$3:$P$8, 2, FALSE) / 24)</f>
        <v>45990.490211458338</v>
      </c>
      <c r="I1902" s="1" t="s">
        <v>1944</v>
      </c>
      <c r="J1902" s="1">
        <v>901.24</v>
      </c>
      <c r="K1902" s="11"/>
      <c r="L1902" s="11"/>
    </row>
    <row r="1903" spans="1:12" x14ac:dyDescent="0.25">
      <c r="A1903" s="1" t="s">
        <v>171</v>
      </c>
      <c r="B1903" s="1" t="s">
        <v>172</v>
      </c>
      <c r="C1903" s="1" t="s">
        <v>1182</v>
      </c>
      <c r="D1903" s="1">
        <v>41.912799999999997</v>
      </c>
      <c r="E1903" s="1">
        <v>-99.976699999999994</v>
      </c>
      <c r="F1903" s="1" t="s">
        <v>1922</v>
      </c>
      <c r="G1903" s="22">
        <v>900.06409956260086</v>
      </c>
      <c r="H1903" s="20">
        <f ca="1">NOW() - TIME(5,30,0) + (VLOOKUP(MasterTable[[#This Row],[TimeZone]], $O$3:$P$8, 2, FALSE) / 24)</f>
        <v>45990.531878125003</v>
      </c>
      <c r="I1903" s="1" t="s">
        <v>1944</v>
      </c>
      <c r="J1903" s="1">
        <v>2661.02</v>
      </c>
      <c r="K1903" s="11"/>
      <c r="L1903" s="11"/>
    </row>
    <row r="1904" spans="1:12" x14ac:dyDescent="0.25">
      <c r="A1904" s="1" t="s">
        <v>228</v>
      </c>
      <c r="B1904" s="1" t="s">
        <v>229</v>
      </c>
      <c r="C1904" s="1" t="s">
        <v>47</v>
      </c>
      <c r="D1904" s="1">
        <v>42.915300000000002</v>
      </c>
      <c r="E1904" s="1">
        <v>-71.716099999999997</v>
      </c>
      <c r="F1904" s="1" t="s">
        <v>1925</v>
      </c>
      <c r="G1904" s="22">
        <v>2247.6373169998501</v>
      </c>
      <c r="H1904" s="20">
        <f ca="1">NOW() - TIME(5,30,0) + (VLOOKUP(MasterTable[[#This Row],[TimeZone]], $O$3:$P$8, 2, FALSE) / 24)</f>
        <v>45990.573544791667</v>
      </c>
      <c r="I1904" s="1" t="s">
        <v>1944</v>
      </c>
      <c r="J1904" s="1">
        <v>1266.22</v>
      </c>
      <c r="K1904" s="11"/>
      <c r="L1904" s="11"/>
    </row>
    <row r="1905" spans="1:10" x14ac:dyDescent="0.25">
      <c r="A1905" s="1" t="s">
        <v>228</v>
      </c>
      <c r="B1905" s="1" t="s">
        <v>229</v>
      </c>
      <c r="C1905" s="1" t="s">
        <v>280</v>
      </c>
      <c r="D1905" s="1">
        <v>42.9876</v>
      </c>
      <c r="E1905" s="1">
        <v>-71.125399999999999</v>
      </c>
      <c r="F1905" s="1" t="s">
        <v>1925</v>
      </c>
      <c r="G1905" s="22">
        <v>2277.8630364496034</v>
      </c>
      <c r="H1905" s="20">
        <f ca="1">NOW() - TIME(5,30,0) + (VLOOKUP(MasterTable[[#This Row],[TimeZone]], $O$3:$P$8, 2, FALSE) / 24)</f>
        <v>45990.573544791667</v>
      </c>
      <c r="I1905" s="1" t="s">
        <v>1944</v>
      </c>
      <c r="J1905" s="1">
        <v>793.96</v>
      </c>
    </row>
    <row r="1906" spans="1:10" x14ac:dyDescent="0.25">
      <c r="A1906" s="1" t="s">
        <v>228</v>
      </c>
      <c r="B1906" s="1" t="s">
        <v>229</v>
      </c>
      <c r="C1906" s="1" t="s">
        <v>469</v>
      </c>
      <c r="D1906" s="1">
        <v>43.297499999999999</v>
      </c>
      <c r="E1906" s="1">
        <v>-71.680199999999999</v>
      </c>
      <c r="F1906" s="1" t="s">
        <v>1925</v>
      </c>
      <c r="G1906" s="22">
        <v>2252.3102604496153</v>
      </c>
      <c r="H1906" s="20">
        <f ca="1">NOW() - TIME(5,30,0) + (VLOOKUP(MasterTable[[#This Row],[TimeZone]], $O$3:$P$8, 2, FALSE) / 24)</f>
        <v>45990.573544791667</v>
      </c>
      <c r="I1906" s="1" t="s">
        <v>1944</v>
      </c>
      <c r="J1906" s="1">
        <v>956.49</v>
      </c>
    </row>
    <row r="1907" spans="1:10" x14ac:dyDescent="0.25">
      <c r="A1907" s="1" t="s">
        <v>228</v>
      </c>
      <c r="B1907" s="1" t="s">
        <v>229</v>
      </c>
      <c r="C1907" s="1" t="s">
        <v>502</v>
      </c>
      <c r="D1907" s="1">
        <v>43.296999999999997</v>
      </c>
      <c r="E1907" s="1">
        <v>-71.028800000000004</v>
      </c>
      <c r="F1907" s="1" t="s">
        <v>1925</v>
      </c>
      <c r="G1907" s="22">
        <v>2284.8695173902961</v>
      </c>
      <c r="H1907" s="20">
        <f ca="1">NOW() - TIME(5,30,0) + (VLOOKUP(MasterTable[[#This Row],[TimeZone]], $O$3:$P$8, 2, FALSE) / 24)</f>
        <v>45990.573544791667</v>
      </c>
      <c r="I1907" s="1" t="s">
        <v>1944</v>
      </c>
      <c r="J1907" s="1">
        <v>383.91</v>
      </c>
    </row>
    <row r="1908" spans="1:10" x14ac:dyDescent="0.25">
      <c r="A1908" s="1" t="s">
        <v>228</v>
      </c>
      <c r="B1908" s="1" t="s">
        <v>229</v>
      </c>
      <c r="C1908" s="1" t="s">
        <v>627</v>
      </c>
      <c r="D1908" s="1">
        <v>43.9407</v>
      </c>
      <c r="E1908" s="1">
        <v>-71.820800000000006</v>
      </c>
      <c r="F1908" s="1" t="s">
        <v>1925</v>
      </c>
      <c r="G1908" s="22">
        <v>2250.812503007433</v>
      </c>
      <c r="H1908" s="20">
        <f ca="1">NOW() - TIME(5,30,0) + (VLOOKUP(MasterTable[[#This Row],[TimeZone]], $O$3:$P$8, 2, FALSE) / 24)</f>
        <v>45990.573544791667</v>
      </c>
      <c r="I1908" s="1" t="s">
        <v>1944</v>
      </c>
      <c r="J1908" s="1">
        <v>1750.08</v>
      </c>
    </row>
    <row r="1909" spans="1:10" x14ac:dyDescent="0.25">
      <c r="A1909" s="1" t="s">
        <v>228</v>
      </c>
      <c r="B1909" s="1" t="s">
        <v>229</v>
      </c>
      <c r="C1909" s="1" t="s">
        <v>684</v>
      </c>
      <c r="D1909" s="1">
        <v>42.9193</v>
      </c>
      <c r="E1909" s="1">
        <v>-72.251199999999997</v>
      </c>
      <c r="F1909" s="1" t="s">
        <v>1925</v>
      </c>
      <c r="G1909" s="22">
        <v>2220.7469502902404</v>
      </c>
      <c r="H1909" s="20">
        <f ca="1">NOW() - TIME(5,30,0) + (VLOOKUP(MasterTable[[#This Row],[TimeZone]], $O$3:$P$8, 2, FALSE) / 24)</f>
        <v>45990.573544791667</v>
      </c>
      <c r="I1909" s="1" t="s">
        <v>1944</v>
      </c>
      <c r="J1909" s="1">
        <v>729.15</v>
      </c>
    </row>
    <row r="1910" spans="1:10" x14ac:dyDescent="0.25">
      <c r="A1910" s="1" t="s">
        <v>228</v>
      </c>
      <c r="B1910" s="1" t="s">
        <v>229</v>
      </c>
      <c r="C1910" s="1" t="s">
        <v>755</v>
      </c>
      <c r="D1910" s="1">
        <v>43.517899999999997</v>
      </c>
      <c r="E1910" s="1">
        <v>-71.422700000000006</v>
      </c>
      <c r="F1910" s="1" t="s">
        <v>1925</v>
      </c>
      <c r="G1910" s="22">
        <v>2266.8993631654621</v>
      </c>
      <c r="H1910" s="20">
        <f ca="1">NOW() - TIME(5,30,0) + (VLOOKUP(MasterTable[[#This Row],[TimeZone]], $O$3:$P$8, 2, FALSE) / 24)</f>
        <v>45990.573544791667</v>
      </c>
      <c r="I1910" s="1" t="s">
        <v>1944</v>
      </c>
      <c r="J1910" s="1">
        <v>468.55</v>
      </c>
    </row>
    <row r="1911" spans="1:10" x14ac:dyDescent="0.25">
      <c r="A1911" s="1" t="s">
        <v>228</v>
      </c>
      <c r="B1911" s="1" t="s">
        <v>229</v>
      </c>
      <c r="C1911" s="1" t="s">
        <v>418</v>
      </c>
      <c r="D1911" s="1">
        <v>43.873800000000003</v>
      </c>
      <c r="E1911" s="1">
        <v>-71.203100000000006</v>
      </c>
      <c r="F1911" s="1" t="s">
        <v>1925</v>
      </c>
      <c r="G1911" s="22">
        <v>2280.7214894283688</v>
      </c>
      <c r="H1911" s="20">
        <f ca="1">NOW() - TIME(5,30,0) + (VLOOKUP(MasterTable[[#This Row],[TimeZone]], $O$3:$P$8, 2, FALSE) / 24)</f>
        <v>45990.573544791667</v>
      </c>
      <c r="I1911" s="1" t="s">
        <v>1944</v>
      </c>
      <c r="J1911" s="1">
        <v>638.80999999999995</v>
      </c>
    </row>
    <row r="1912" spans="1:10" x14ac:dyDescent="0.25">
      <c r="A1912" s="1" t="s">
        <v>228</v>
      </c>
      <c r="B1912" s="1" t="s">
        <v>229</v>
      </c>
      <c r="C1912" s="1" t="s">
        <v>454</v>
      </c>
      <c r="D1912" s="1">
        <v>43.3613</v>
      </c>
      <c r="E1912" s="1">
        <v>-72.222099999999998</v>
      </c>
      <c r="F1912" s="1" t="s">
        <v>1925</v>
      </c>
      <c r="G1912" s="22">
        <v>2225.7863204795899</v>
      </c>
      <c r="H1912" s="20">
        <f ca="1">NOW() - TIME(5,30,0) + (VLOOKUP(MasterTable[[#This Row],[TimeZone]], $O$3:$P$8, 2, FALSE) / 24)</f>
        <v>45990.573544791667</v>
      </c>
      <c r="I1912" s="1" t="s">
        <v>1944</v>
      </c>
      <c r="J1912" s="1">
        <v>454.04</v>
      </c>
    </row>
    <row r="1913" spans="1:10" x14ac:dyDescent="0.25">
      <c r="A1913" s="1" t="s">
        <v>228</v>
      </c>
      <c r="B1913" s="1" t="s">
        <v>229</v>
      </c>
      <c r="C1913" s="1" t="s">
        <v>751</v>
      </c>
      <c r="D1913" s="1">
        <v>44.689599999999999</v>
      </c>
      <c r="E1913" s="1">
        <v>-71.305599999999998</v>
      </c>
      <c r="F1913" s="1" t="s">
        <v>1925</v>
      </c>
      <c r="G1913" s="22">
        <v>2283.238254266143</v>
      </c>
      <c r="H1913" s="20">
        <f ca="1">NOW() - TIME(5,30,0) + (VLOOKUP(MasterTable[[#This Row],[TimeZone]], $O$3:$P$8, 2, FALSE) / 24)</f>
        <v>45990.573544791667</v>
      </c>
      <c r="I1913" s="1" t="s">
        <v>1944</v>
      </c>
      <c r="J1913" s="1">
        <v>1831.44</v>
      </c>
    </row>
    <row r="1914" spans="1:10" x14ac:dyDescent="0.25">
      <c r="A1914" s="1" t="s">
        <v>98</v>
      </c>
      <c r="B1914" s="1" t="s">
        <v>99</v>
      </c>
      <c r="C1914" s="1" t="s">
        <v>97</v>
      </c>
      <c r="D1914" s="1">
        <v>40.959699999999998</v>
      </c>
      <c r="E1914" s="1">
        <v>-74.074200000000005</v>
      </c>
      <c r="F1914" s="1" t="s">
        <v>1925</v>
      </c>
      <c r="G1914" s="22">
        <v>2114.4215715155447</v>
      </c>
      <c r="H1914" s="20">
        <f ca="1">NOW() - TIME(5,30,0) + (VLOOKUP(MasterTable[[#This Row],[TimeZone]], $O$3:$P$8, 2, FALSE) / 24)</f>
        <v>45990.573544791667</v>
      </c>
      <c r="I1914" s="1" t="s">
        <v>1944</v>
      </c>
      <c r="J1914" s="1">
        <v>246.8</v>
      </c>
    </row>
    <row r="1915" spans="1:10" x14ac:dyDescent="0.25">
      <c r="A1915" s="1" t="s">
        <v>98</v>
      </c>
      <c r="B1915" s="1" t="s">
        <v>99</v>
      </c>
      <c r="C1915" s="1" t="s">
        <v>38</v>
      </c>
      <c r="D1915" s="1">
        <v>40.4392</v>
      </c>
      <c r="E1915" s="1">
        <v>-74.411699999999996</v>
      </c>
      <c r="F1915" s="1" t="s">
        <v>1925</v>
      </c>
      <c r="G1915" s="22">
        <v>2094.0838327823349</v>
      </c>
      <c r="H1915" s="20">
        <f ca="1">NOW() - TIME(5,30,0) + (VLOOKUP(MasterTable[[#This Row],[TimeZone]], $O$3:$P$8, 2, FALSE) / 24)</f>
        <v>45990.573544791667</v>
      </c>
      <c r="I1915" s="1" t="s">
        <v>1944</v>
      </c>
      <c r="J1915" s="1">
        <v>439.07</v>
      </c>
    </row>
    <row r="1916" spans="1:10" x14ac:dyDescent="0.25">
      <c r="A1916" s="1" t="s">
        <v>98</v>
      </c>
      <c r="B1916" s="1" t="s">
        <v>99</v>
      </c>
      <c r="C1916" s="1" t="s">
        <v>116</v>
      </c>
      <c r="D1916" s="1">
        <v>40.787999999999997</v>
      </c>
      <c r="E1916" s="1">
        <v>-74.248099999999994</v>
      </c>
      <c r="F1916" s="1" t="s">
        <v>1925</v>
      </c>
      <c r="G1916" s="22">
        <v>2104.4226113070222</v>
      </c>
      <c r="H1916" s="20">
        <f ca="1">NOW() - TIME(5,30,0) + (VLOOKUP(MasterTable[[#This Row],[TimeZone]], $O$3:$P$8, 2, FALSE) / 24)</f>
        <v>45990.573544791667</v>
      </c>
      <c r="I1916" s="1" t="s">
        <v>1944</v>
      </c>
      <c r="J1916" s="1">
        <v>828.53</v>
      </c>
    </row>
    <row r="1917" spans="1:10" x14ac:dyDescent="0.25">
      <c r="A1917" s="1" t="s">
        <v>98</v>
      </c>
      <c r="B1917" s="1" t="s">
        <v>99</v>
      </c>
      <c r="C1917" s="1" t="s">
        <v>143</v>
      </c>
      <c r="D1917" s="1">
        <v>40.7408</v>
      </c>
      <c r="E1917" s="1">
        <v>-74.075100000000006</v>
      </c>
      <c r="F1917" s="1" t="s">
        <v>1925</v>
      </c>
      <c r="G1917" s="22">
        <v>2113.2018080091484</v>
      </c>
      <c r="H1917" s="20">
        <f ca="1">NOW() - TIME(5,30,0) + (VLOOKUP(MasterTable[[#This Row],[TimeZone]], $O$3:$P$8, 2, FALSE) / 24)</f>
        <v>45990.573544791667</v>
      </c>
      <c r="I1917" s="1" t="s">
        <v>1944</v>
      </c>
      <c r="J1917" s="1">
        <v>62.43</v>
      </c>
    </row>
    <row r="1918" spans="1:10" x14ac:dyDescent="0.25">
      <c r="A1918" s="1" t="s">
        <v>98</v>
      </c>
      <c r="B1918" s="1" t="s">
        <v>99</v>
      </c>
      <c r="C1918" s="1" t="s">
        <v>159</v>
      </c>
      <c r="D1918" s="1">
        <v>39.885599999999997</v>
      </c>
      <c r="E1918" s="1">
        <v>-74.281400000000005</v>
      </c>
      <c r="F1918" s="1" t="s">
        <v>1925</v>
      </c>
      <c r="G1918" s="22">
        <v>2098.6284667726895</v>
      </c>
      <c r="H1918" s="20">
        <f ca="1">NOW() - TIME(5,30,0) + (VLOOKUP(MasterTable[[#This Row],[TimeZone]], $O$3:$P$8, 2, FALSE) / 24)</f>
        <v>45990.573544791667</v>
      </c>
      <c r="I1918" s="1" t="s">
        <v>1944</v>
      </c>
      <c r="J1918" s="1">
        <v>915.88</v>
      </c>
    </row>
    <row r="1919" spans="1:10" x14ac:dyDescent="0.25">
      <c r="A1919" s="1" t="s">
        <v>98</v>
      </c>
      <c r="B1919" s="1" t="s">
        <v>99</v>
      </c>
      <c r="C1919" s="1" t="s">
        <v>162</v>
      </c>
      <c r="D1919" s="1">
        <v>40.26</v>
      </c>
      <c r="E1919" s="1">
        <v>-74.221599999999995</v>
      </c>
      <c r="F1919" s="1" t="s">
        <v>1925</v>
      </c>
      <c r="G1919" s="22">
        <v>2103.2565770122924</v>
      </c>
      <c r="H1919" s="20">
        <f ca="1">NOW() - TIME(5,30,0) + (VLOOKUP(MasterTable[[#This Row],[TimeZone]], $O$3:$P$8, 2, FALSE) / 24)</f>
        <v>45990.573544791667</v>
      </c>
      <c r="I1919" s="1" t="s">
        <v>1944</v>
      </c>
      <c r="J1919" s="1">
        <v>665.12</v>
      </c>
    </row>
    <row r="1920" spans="1:10" x14ac:dyDescent="0.25">
      <c r="A1920" s="1" t="s">
        <v>98</v>
      </c>
      <c r="B1920" s="1" t="s">
        <v>99</v>
      </c>
      <c r="C1920" s="1" t="s">
        <v>177</v>
      </c>
      <c r="D1920" s="1">
        <v>40.6601</v>
      </c>
      <c r="E1920" s="1">
        <v>-74.31</v>
      </c>
      <c r="F1920" s="1" t="s">
        <v>1925</v>
      </c>
      <c r="G1920" s="22">
        <v>2100.5145430567736</v>
      </c>
      <c r="H1920" s="20">
        <f ca="1">NOW() - TIME(5,30,0) + (VLOOKUP(MasterTable[[#This Row],[TimeZone]], $O$3:$P$8, 2, FALSE) / 24)</f>
        <v>45990.573544791667</v>
      </c>
      <c r="I1920" s="1" t="s">
        <v>1944</v>
      </c>
      <c r="J1920" s="1">
        <v>1055.27</v>
      </c>
    </row>
    <row r="1921" spans="1:10" x14ac:dyDescent="0.25">
      <c r="A1921" s="1" t="s">
        <v>98</v>
      </c>
      <c r="B1921" s="1" t="s">
        <v>99</v>
      </c>
      <c r="C1921" s="1" t="s">
        <v>194</v>
      </c>
      <c r="D1921" s="1">
        <v>39.8035</v>
      </c>
      <c r="E1921" s="1">
        <v>-74.959699999999998</v>
      </c>
      <c r="F1921" s="1" t="s">
        <v>1925</v>
      </c>
      <c r="G1921" s="22">
        <v>2062.386940600346</v>
      </c>
      <c r="H1921" s="20">
        <f ca="1">NOW() - TIME(5,30,0) + (VLOOKUP(MasterTable[[#This Row],[TimeZone]], $O$3:$P$8, 2, FALSE) / 24)</f>
        <v>45990.573544791667</v>
      </c>
      <c r="I1921" s="1" t="s">
        <v>1944</v>
      </c>
      <c r="J1921" s="1">
        <v>782.52</v>
      </c>
    </row>
    <row r="1922" spans="1:10" x14ac:dyDescent="0.25">
      <c r="A1922" s="1" t="s">
        <v>98</v>
      </c>
      <c r="B1922" s="1" t="s">
        <v>99</v>
      </c>
      <c r="C1922" s="1" t="s">
        <v>195</v>
      </c>
      <c r="D1922" s="1">
        <v>41.034399999999998</v>
      </c>
      <c r="E1922" s="1">
        <v>-74.300899999999999</v>
      </c>
      <c r="F1922" s="1" t="s">
        <v>1925</v>
      </c>
      <c r="G1922" s="22">
        <v>2103.0702964875122</v>
      </c>
      <c r="H1922" s="20">
        <f ca="1">NOW() - TIME(5,30,0) + (VLOOKUP(MasterTable[[#This Row],[TimeZone]], $O$3:$P$8, 2, FALSE) / 24)</f>
        <v>45990.573544791667</v>
      </c>
      <c r="I1922" s="1" t="s">
        <v>1944</v>
      </c>
      <c r="J1922" s="1">
        <v>197.05</v>
      </c>
    </row>
    <row r="1923" spans="1:10" x14ac:dyDescent="0.25">
      <c r="A1923" s="1" t="s">
        <v>98</v>
      </c>
      <c r="B1923" s="1" t="s">
        <v>99</v>
      </c>
      <c r="C1923" s="1" t="s">
        <v>197</v>
      </c>
      <c r="D1923" s="1">
        <v>40.862000000000002</v>
      </c>
      <c r="E1923" s="1">
        <v>-74.544499999999999</v>
      </c>
      <c r="F1923" s="1" t="s">
        <v>1925</v>
      </c>
      <c r="G1923" s="22">
        <v>2089.390115391167</v>
      </c>
      <c r="H1923" s="20">
        <f ca="1">NOW() - TIME(5,30,0) + (VLOOKUP(MasterTable[[#This Row],[TimeZone]], $O$3:$P$8, 2, FALSE) / 24)</f>
        <v>45990.573544791667</v>
      </c>
      <c r="I1923" s="1" t="s">
        <v>1944</v>
      </c>
      <c r="J1923" s="1">
        <v>702.84</v>
      </c>
    </row>
    <row r="1924" spans="1:10" x14ac:dyDescent="0.25">
      <c r="A1924" s="1" t="s">
        <v>98</v>
      </c>
      <c r="B1924" s="1" t="s">
        <v>99</v>
      </c>
      <c r="C1924" s="1" t="s">
        <v>211</v>
      </c>
      <c r="D1924" s="1">
        <v>39.877699999999997</v>
      </c>
      <c r="E1924" s="1">
        <v>-74.668099999999995</v>
      </c>
      <c r="F1924" s="1" t="s">
        <v>1925</v>
      </c>
      <c r="G1924" s="22">
        <v>2078.1247392446039</v>
      </c>
      <c r="H1924" s="20">
        <f ca="1">NOW() - TIME(5,30,0) + (VLOOKUP(MasterTable[[#This Row],[TimeZone]], $O$3:$P$8, 2, FALSE) / 24)</f>
        <v>45990.573544791667</v>
      </c>
      <c r="I1924" s="1" t="s">
        <v>1944</v>
      </c>
      <c r="J1924" s="1">
        <v>819.43</v>
      </c>
    </row>
    <row r="1925" spans="1:10" x14ac:dyDescent="0.25">
      <c r="A1925" s="1" t="s">
        <v>98</v>
      </c>
      <c r="B1925" s="1" t="s">
        <v>99</v>
      </c>
      <c r="C1925" s="1" t="s">
        <v>249</v>
      </c>
      <c r="D1925" s="1">
        <v>40.2834</v>
      </c>
      <c r="E1925" s="1">
        <v>-74.701800000000006</v>
      </c>
      <c r="F1925" s="1" t="s">
        <v>1925</v>
      </c>
      <c r="G1925" s="22">
        <v>2078.1002807590426</v>
      </c>
      <c r="H1925" s="20">
        <f ca="1">NOW() - TIME(5,30,0) + (VLOOKUP(MasterTable[[#This Row],[TimeZone]], $O$3:$P$8, 2, FALSE) / 24)</f>
        <v>45990.573544791667</v>
      </c>
      <c r="I1925" s="1" t="s">
        <v>1944</v>
      </c>
      <c r="J1925" s="1">
        <v>568.88</v>
      </c>
    </row>
    <row r="1926" spans="1:10" x14ac:dyDescent="0.25">
      <c r="A1926" s="1" t="s">
        <v>98</v>
      </c>
      <c r="B1926" s="1" t="s">
        <v>99</v>
      </c>
      <c r="C1926" s="1" t="s">
        <v>267</v>
      </c>
      <c r="D1926" s="1">
        <v>40.563499999999998</v>
      </c>
      <c r="E1926" s="1">
        <v>-74.616299999999995</v>
      </c>
      <c r="F1926" s="1" t="s">
        <v>1925</v>
      </c>
      <c r="G1926" s="22">
        <v>2083.9891931919101</v>
      </c>
      <c r="H1926" s="20">
        <f ca="1">NOW() - TIME(5,30,0) + (VLOOKUP(MasterTable[[#This Row],[TimeZone]], $O$3:$P$8, 2, FALSE) / 24)</f>
        <v>45990.573544791667</v>
      </c>
      <c r="I1926" s="1" t="s">
        <v>1944</v>
      </c>
      <c r="J1926" s="1">
        <v>4095.37</v>
      </c>
    </row>
    <row r="1927" spans="1:10" x14ac:dyDescent="0.25">
      <c r="A1927" s="1" t="s">
        <v>98</v>
      </c>
      <c r="B1927" s="1" t="s">
        <v>99</v>
      </c>
      <c r="C1927" s="1" t="s">
        <v>288</v>
      </c>
      <c r="D1927" s="1">
        <v>39.717300000000002</v>
      </c>
      <c r="E1927" s="1">
        <v>-75.141400000000004</v>
      </c>
      <c r="F1927" s="1" t="s">
        <v>1925</v>
      </c>
      <c r="G1927" s="22">
        <v>2052.4091403832595</v>
      </c>
      <c r="H1927" s="20">
        <f ca="1">NOW() - TIME(5,30,0) + (VLOOKUP(MasterTable[[#This Row],[TimeZone]], $O$3:$P$8, 2, FALSE) / 24)</f>
        <v>45990.573544791667</v>
      </c>
      <c r="I1927" s="1" t="s">
        <v>1944</v>
      </c>
      <c r="J1927" s="1">
        <v>336.92</v>
      </c>
    </row>
    <row r="1928" spans="1:10" x14ac:dyDescent="0.25">
      <c r="A1928" s="1" t="s">
        <v>98</v>
      </c>
      <c r="B1928" s="1" t="s">
        <v>99</v>
      </c>
      <c r="C1928" s="1" t="s">
        <v>312</v>
      </c>
      <c r="D1928" s="1">
        <v>39.477800000000002</v>
      </c>
      <c r="E1928" s="1">
        <v>-74.661299999999997</v>
      </c>
      <c r="F1928" s="1" t="s">
        <v>1925</v>
      </c>
      <c r="G1928" s="22">
        <v>2077.098686764069</v>
      </c>
      <c r="H1928" s="20">
        <f ca="1">NOW() - TIME(5,30,0) + (VLOOKUP(MasterTable[[#This Row],[TimeZone]], $O$3:$P$8, 2, FALSE) / 24)</f>
        <v>45990.573544791667</v>
      </c>
      <c r="I1928" s="1" t="s">
        <v>1944</v>
      </c>
      <c r="J1928" s="1">
        <v>671.45</v>
      </c>
    </row>
    <row r="1929" spans="1:10" x14ac:dyDescent="0.25">
      <c r="A1929" s="1" t="s">
        <v>98</v>
      </c>
      <c r="B1929" s="1" t="s">
        <v>99</v>
      </c>
      <c r="C1929" s="1" t="s">
        <v>271</v>
      </c>
      <c r="D1929" s="1">
        <v>39.373899999999999</v>
      </c>
      <c r="E1929" s="1">
        <v>-75.110699999999994</v>
      </c>
      <c r="F1929" s="1" t="s">
        <v>1925</v>
      </c>
      <c r="G1929" s="22">
        <v>2052.8117138144758</v>
      </c>
      <c r="H1929" s="20">
        <f ca="1">NOW() - TIME(5,30,0) + (VLOOKUP(MasterTable[[#This Row],[TimeZone]], $O$3:$P$8, 2, FALSE) / 24)</f>
        <v>45990.573544791667</v>
      </c>
      <c r="I1929" s="1" t="s">
        <v>1944</v>
      </c>
      <c r="J1929" s="1">
        <v>347</v>
      </c>
    </row>
    <row r="1930" spans="1:10" x14ac:dyDescent="0.25">
      <c r="A1930" s="1" t="s">
        <v>98</v>
      </c>
      <c r="B1930" s="1" t="s">
        <v>99</v>
      </c>
      <c r="C1930" s="1" t="s">
        <v>330</v>
      </c>
      <c r="D1930" s="1">
        <v>41.139299999999999</v>
      </c>
      <c r="E1930" s="1">
        <v>-74.690899999999999</v>
      </c>
      <c r="F1930" s="1" t="s">
        <v>1925</v>
      </c>
      <c r="G1930" s="22">
        <v>2083.4950645377362</v>
      </c>
      <c r="H1930" s="20">
        <f ca="1">NOW() - TIME(5,30,0) + (VLOOKUP(MasterTable[[#This Row],[TimeZone]], $O$3:$P$8, 2, FALSE) / 24)</f>
        <v>45990.573544791667</v>
      </c>
      <c r="I1930" s="1" t="s">
        <v>1944</v>
      </c>
      <c r="J1930" s="1">
        <v>1195.6500000000001</v>
      </c>
    </row>
    <row r="1931" spans="1:10" x14ac:dyDescent="0.25">
      <c r="A1931" s="1" t="s">
        <v>98</v>
      </c>
      <c r="B1931" s="1" t="s">
        <v>99</v>
      </c>
      <c r="C1931" s="1" t="s">
        <v>507</v>
      </c>
      <c r="D1931" s="1">
        <v>40.567300000000003</v>
      </c>
      <c r="E1931" s="1">
        <v>-74.912199999999999</v>
      </c>
      <c r="F1931" s="1" t="s">
        <v>1925</v>
      </c>
      <c r="G1931" s="22">
        <v>2068.5251242388067</v>
      </c>
      <c r="H1931" s="20">
        <f ca="1">NOW() - TIME(5,30,0) + (VLOOKUP(MasterTable[[#This Row],[TimeZone]], $O$3:$P$8, 2, FALSE) / 24)</f>
        <v>45990.573544791667</v>
      </c>
      <c r="I1931" s="1" t="s">
        <v>1944</v>
      </c>
      <c r="J1931" s="1">
        <v>437.76</v>
      </c>
    </row>
    <row r="1932" spans="1:10" x14ac:dyDescent="0.25">
      <c r="A1932" s="1" t="s">
        <v>98</v>
      </c>
      <c r="B1932" s="1" t="s">
        <v>99</v>
      </c>
      <c r="C1932" s="1" t="s">
        <v>331</v>
      </c>
      <c r="D1932" s="1">
        <v>40.857199999999999</v>
      </c>
      <c r="E1932" s="1">
        <v>-74.997299999999996</v>
      </c>
      <c r="F1932" s="1" t="s">
        <v>1925</v>
      </c>
      <c r="G1932" s="22">
        <v>2065.7879579104924</v>
      </c>
      <c r="H1932" s="20">
        <f ca="1">NOW() - TIME(5,30,0) + (VLOOKUP(MasterTable[[#This Row],[TimeZone]], $O$3:$P$8, 2, FALSE) / 24)</f>
        <v>45990.573544791667</v>
      </c>
      <c r="I1932" s="1" t="s">
        <v>1944</v>
      </c>
      <c r="J1932" s="1">
        <v>286.74</v>
      </c>
    </row>
    <row r="1933" spans="1:10" x14ac:dyDescent="0.25">
      <c r="A1933" s="1" t="s">
        <v>98</v>
      </c>
      <c r="B1933" s="1" t="s">
        <v>99</v>
      </c>
      <c r="C1933" s="1" t="s">
        <v>614</v>
      </c>
      <c r="D1933" s="1">
        <v>39.1494</v>
      </c>
      <c r="E1933" s="1">
        <v>-74.8005</v>
      </c>
      <c r="F1933" s="1" t="s">
        <v>1925</v>
      </c>
      <c r="G1933" s="22">
        <v>2068.7546254300414</v>
      </c>
      <c r="H1933" s="20">
        <f ca="1">NOW() - TIME(5,30,0) + (VLOOKUP(MasterTable[[#This Row],[TimeZone]], $O$3:$P$8, 2, FALSE) / 24)</f>
        <v>45990.573544791667</v>
      </c>
      <c r="I1933" s="1" t="s">
        <v>1944</v>
      </c>
      <c r="J1933" s="1">
        <v>620.28</v>
      </c>
    </row>
    <row r="1934" spans="1:10" x14ac:dyDescent="0.25">
      <c r="A1934" s="1" t="s">
        <v>98</v>
      </c>
      <c r="B1934" s="1" t="s">
        <v>99</v>
      </c>
      <c r="C1934" s="1" t="s">
        <v>748</v>
      </c>
      <c r="D1934" s="1">
        <v>39.587600000000002</v>
      </c>
      <c r="E1934" s="1">
        <v>-75.349100000000007</v>
      </c>
      <c r="F1934" s="1" t="s">
        <v>1925</v>
      </c>
      <c r="G1934" s="22">
        <v>2040.8697612079818</v>
      </c>
      <c r="H1934" s="20">
        <f ca="1">NOW() - TIME(5,30,0) + (VLOOKUP(MasterTable[[#This Row],[TimeZone]], $O$3:$P$8, 2, FALSE) / 24)</f>
        <v>45990.573544791667</v>
      </c>
      <c r="I1934" s="1" t="s">
        <v>1944</v>
      </c>
      <c r="J1934" s="1">
        <v>372.57</v>
      </c>
    </row>
    <row r="1935" spans="1:10" x14ac:dyDescent="0.25">
      <c r="A1935" s="1" t="s">
        <v>147</v>
      </c>
      <c r="B1935" s="1" t="s">
        <v>148</v>
      </c>
      <c r="C1935" s="1" t="s">
        <v>146</v>
      </c>
      <c r="D1935" s="1">
        <v>35.051400000000001</v>
      </c>
      <c r="E1935" s="1">
        <v>-106.67019999999999</v>
      </c>
      <c r="F1935" s="1" t="s">
        <v>1923</v>
      </c>
      <c r="G1935" s="22">
        <v>313.2873260897689</v>
      </c>
      <c r="H1935" s="20">
        <f ca="1">NOW() - TIME(5,30,0) + (VLOOKUP(MasterTable[[#This Row],[TimeZone]], $O$3:$P$8, 2, FALSE) / 24)</f>
        <v>45990.490211458338</v>
      </c>
      <c r="I1935" s="1" t="s">
        <v>1944</v>
      </c>
      <c r="J1935" s="1">
        <v>1168.6500000000001</v>
      </c>
    </row>
    <row r="1936" spans="1:10" x14ac:dyDescent="0.25">
      <c r="A1936" s="1" t="s">
        <v>147</v>
      </c>
      <c r="B1936" s="1" t="s">
        <v>148</v>
      </c>
      <c r="C1936" s="1" t="s">
        <v>356</v>
      </c>
      <c r="D1936" s="1">
        <v>32.352600000000002</v>
      </c>
      <c r="E1936" s="1">
        <v>-106.83280000000001</v>
      </c>
      <c r="F1936" s="1" t="s">
        <v>1923</v>
      </c>
      <c r="G1936" s="22">
        <v>239.28507398403582</v>
      </c>
      <c r="H1936" s="20">
        <f ca="1">NOW() - TIME(5,30,0) + (VLOOKUP(MasterTable[[#This Row],[TimeZone]], $O$3:$P$8, 2, FALSE) / 24)</f>
        <v>45990.490211458338</v>
      </c>
      <c r="I1936" s="1" t="s">
        <v>1945</v>
      </c>
      <c r="J1936" s="1" t="s">
        <v>1946</v>
      </c>
    </row>
    <row r="1937" spans="1:10" x14ac:dyDescent="0.25">
      <c r="A1937" s="1" t="s">
        <v>147</v>
      </c>
      <c r="B1937" s="1" t="s">
        <v>148</v>
      </c>
      <c r="C1937" s="1" t="s">
        <v>468</v>
      </c>
      <c r="D1937" s="1">
        <v>35.506900000000002</v>
      </c>
      <c r="E1937" s="1">
        <v>-105.97629999999999</v>
      </c>
      <c r="F1937" s="1" t="s">
        <v>1923</v>
      </c>
      <c r="G1937" s="22">
        <v>363.49636788354331</v>
      </c>
      <c r="H1937" s="20">
        <f ca="1">NOW() - TIME(5,30,0) + (VLOOKUP(MasterTable[[#This Row],[TimeZone]], $O$3:$P$8, 2, FALSE) / 24)</f>
        <v>45990.490211458338</v>
      </c>
      <c r="I1937" s="1" t="s">
        <v>1944</v>
      </c>
      <c r="J1937" s="1">
        <v>1910.79</v>
      </c>
    </row>
    <row r="1938" spans="1:10" x14ac:dyDescent="0.25">
      <c r="A1938" s="1" t="s">
        <v>147</v>
      </c>
      <c r="B1938" s="1" t="s">
        <v>148</v>
      </c>
      <c r="C1938" s="1" t="s">
        <v>473</v>
      </c>
      <c r="D1938" s="1">
        <v>35.688600000000001</v>
      </c>
      <c r="E1938" s="1">
        <v>-106.8659</v>
      </c>
      <c r="F1938" s="1" t="s">
        <v>1923</v>
      </c>
      <c r="G1938" s="22">
        <v>333.92287605520056</v>
      </c>
      <c r="H1938" s="20">
        <f ca="1">NOW() - TIME(5,30,0) + (VLOOKUP(MasterTable[[#This Row],[TimeZone]], $O$3:$P$8, 2, FALSE) / 24)</f>
        <v>45990.490211458338</v>
      </c>
      <c r="I1938" s="1" t="s">
        <v>1944</v>
      </c>
      <c r="J1938" s="1">
        <v>3714.32</v>
      </c>
    </row>
    <row r="1939" spans="1:10" x14ac:dyDescent="0.25">
      <c r="A1939" s="1" t="s">
        <v>147</v>
      </c>
      <c r="B1939" s="1" t="s">
        <v>148</v>
      </c>
      <c r="C1939" s="1" t="s">
        <v>527</v>
      </c>
      <c r="D1939" s="1">
        <v>36.508499999999998</v>
      </c>
      <c r="E1939" s="1">
        <v>-108.3206</v>
      </c>
      <c r="F1939" s="1" t="s">
        <v>1923</v>
      </c>
      <c r="G1939" s="22">
        <v>331.36791010746759</v>
      </c>
      <c r="H1939" s="20">
        <f ca="1">NOW() - TIME(5,30,0) + (VLOOKUP(MasterTable[[#This Row],[TimeZone]], $O$3:$P$8, 2, FALSE) / 24)</f>
        <v>45990.490211458338</v>
      </c>
      <c r="I1939" s="1" t="s">
        <v>1944</v>
      </c>
      <c r="J1939" s="1">
        <v>388.29</v>
      </c>
    </row>
    <row r="1940" spans="1:10" x14ac:dyDescent="0.25">
      <c r="A1940" s="1" t="s">
        <v>147</v>
      </c>
      <c r="B1940" s="1" t="s">
        <v>148</v>
      </c>
      <c r="C1940" s="1" t="s">
        <v>683</v>
      </c>
      <c r="D1940" s="1">
        <v>34.715499999999999</v>
      </c>
      <c r="E1940" s="1">
        <v>-106.8091</v>
      </c>
      <c r="F1940" s="1" t="s">
        <v>1923</v>
      </c>
      <c r="G1940" s="22">
        <v>293.2397603424867</v>
      </c>
      <c r="H1940" s="20">
        <f ca="1">NOW() - TIME(5,30,0) + (VLOOKUP(MasterTable[[#This Row],[TimeZone]], $O$3:$P$8, 2, FALSE) / 24)</f>
        <v>45990.490211458338</v>
      </c>
      <c r="I1940" s="1" t="s">
        <v>1945</v>
      </c>
      <c r="J1940" s="1">
        <v>1068.21</v>
      </c>
    </row>
    <row r="1941" spans="1:10" x14ac:dyDescent="0.25">
      <c r="A1941" s="1" t="s">
        <v>147</v>
      </c>
      <c r="B1941" s="1" t="s">
        <v>148</v>
      </c>
      <c r="C1941" s="1" t="s">
        <v>699</v>
      </c>
      <c r="D1941" s="1">
        <v>32.792099999999998</v>
      </c>
      <c r="E1941" s="1">
        <v>-103.41249999999999</v>
      </c>
      <c r="F1941" s="1" t="s">
        <v>1923</v>
      </c>
      <c r="G1941" s="22">
        <v>439.53056100438101</v>
      </c>
      <c r="H1941" s="20">
        <f ca="1">NOW() - TIME(5,30,0) + (VLOOKUP(MasterTable[[#This Row],[TimeZone]], $O$3:$P$8, 2, FALSE) / 24)</f>
        <v>45990.490211458338</v>
      </c>
      <c r="I1941" s="1" t="s">
        <v>1944</v>
      </c>
      <c r="J1941" s="1">
        <v>4394.0200000000004</v>
      </c>
    </row>
    <row r="1942" spans="1:10" x14ac:dyDescent="0.25">
      <c r="A1942" s="1" t="s">
        <v>147</v>
      </c>
      <c r="B1942" s="1" t="s">
        <v>148</v>
      </c>
      <c r="C1942" s="1" t="s">
        <v>708</v>
      </c>
      <c r="D1942" s="1">
        <v>35.5807</v>
      </c>
      <c r="E1942" s="1">
        <v>-108.26179999999999</v>
      </c>
      <c r="F1942" s="1" t="s">
        <v>1923</v>
      </c>
      <c r="G1942" s="22">
        <v>277.86282002558278</v>
      </c>
      <c r="H1942" s="20">
        <f ca="1">NOW() - TIME(5,30,0) + (VLOOKUP(MasterTable[[#This Row],[TimeZone]], $O$3:$P$8, 2, FALSE) / 24)</f>
        <v>45990.490211458338</v>
      </c>
      <c r="I1942" s="1" t="s">
        <v>1945</v>
      </c>
      <c r="J1942" s="1">
        <v>5455.22</v>
      </c>
    </row>
    <row r="1943" spans="1:10" x14ac:dyDescent="0.25">
      <c r="A1943" s="1" t="s">
        <v>147</v>
      </c>
      <c r="B1943" s="1" t="s">
        <v>148</v>
      </c>
      <c r="C1943" s="1" t="s">
        <v>719</v>
      </c>
      <c r="D1943" s="1">
        <v>32.613199999999999</v>
      </c>
      <c r="E1943" s="1">
        <v>-105.7414</v>
      </c>
      <c r="F1943" s="1" t="s">
        <v>1923</v>
      </c>
      <c r="G1943" s="22">
        <v>303.62207652293347</v>
      </c>
      <c r="H1943" s="20">
        <f ca="1">NOW() - TIME(5,30,0) + (VLOOKUP(MasterTable[[#This Row],[TimeZone]], $O$3:$P$8, 2, FALSE) / 24)</f>
        <v>45990.490211458338</v>
      </c>
      <c r="I1943" s="1" t="s">
        <v>1944</v>
      </c>
      <c r="J1943" s="1">
        <v>1269.74</v>
      </c>
    </row>
    <row r="1944" spans="1:10" x14ac:dyDescent="0.25">
      <c r="A1944" s="1" t="s">
        <v>147</v>
      </c>
      <c r="B1944" s="1" t="s">
        <v>148</v>
      </c>
      <c r="C1944" s="1" t="s">
        <v>754</v>
      </c>
      <c r="D1944" s="1">
        <v>33.363300000000002</v>
      </c>
      <c r="E1944" s="1">
        <v>-104.4669</v>
      </c>
      <c r="F1944" s="1" t="s">
        <v>1923</v>
      </c>
      <c r="G1944" s="22">
        <v>383.34383785909205</v>
      </c>
      <c r="H1944" s="20">
        <f ca="1">NOW() - TIME(5,30,0) + (VLOOKUP(MasterTable[[#This Row],[TimeZone]], $O$3:$P$8, 2, FALSE) / 24)</f>
        <v>45990.490211458338</v>
      </c>
      <c r="I1944" s="1" t="s">
        <v>1944</v>
      </c>
      <c r="J1944" s="1">
        <v>6075.07</v>
      </c>
    </row>
    <row r="1945" spans="1:10" x14ac:dyDescent="0.25">
      <c r="A1945" s="1" t="s">
        <v>147</v>
      </c>
      <c r="B1945" s="1" t="s">
        <v>148</v>
      </c>
      <c r="C1945" s="1" t="s">
        <v>772</v>
      </c>
      <c r="D1945" s="1">
        <v>32.471400000000003</v>
      </c>
      <c r="E1945" s="1">
        <v>-104.3044</v>
      </c>
      <c r="F1945" s="1" t="s">
        <v>1923</v>
      </c>
      <c r="G1945" s="22">
        <v>386.8912144982221</v>
      </c>
      <c r="H1945" s="20">
        <f ca="1">NOW() - TIME(5,30,0) + (VLOOKUP(MasterTable[[#This Row],[TimeZone]], $O$3:$P$8, 2, FALSE) / 24)</f>
        <v>45990.490211458338</v>
      </c>
      <c r="I1945" s="1" t="s">
        <v>1944</v>
      </c>
      <c r="J1945" s="1">
        <v>4197.57</v>
      </c>
    </row>
    <row r="1946" spans="1:10" x14ac:dyDescent="0.25">
      <c r="A1946" s="1" t="s">
        <v>147</v>
      </c>
      <c r="B1946" s="1" t="s">
        <v>148</v>
      </c>
      <c r="C1946" s="1" t="s">
        <v>858</v>
      </c>
      <c r="D1946" s="1">
        <v>34.574199999999998</v>
      </c>
      <c r="E1946" s="1">
        <v>-103.34699999999999</v>
      </c>
      <c r="F1946" s="1" t="s">
        <v>1923</v>
      </c>
      <c r="G1946" s="22">
        <v>466.32233076659548</v>
      </c>
      <c r="H1946" s="20">
        <f ca="1">NOW() - TIME(5,30,0) + (VLOOKUP(MasterTable[[#This Row],[TimeZone]], $O$3:$P$8, 2, FALSE) / 24)</f>
        <v>45990.490211458338</v>
      </c>
      <c r="I1946" s="1" t="s">
        <v>1944</v>
      </c>
      <c r="J1946" s="1">
        <v>1407.67</v>
      </c>
    </row>
    <row r="1947" spans="1:10" x14ac:dyDescent="0.25">
      <c r="A1947" s="1" t="s">
        <v>147</v>
      </c>
      <c r="B1947" s="1" t="s">
        <v>148</v>
      </c>
      <c r="C1947" s="1" t="s">
        <v>951</v>
      </c>
      <c r="D1947" s="1">
        <v>36.509599999999999</v>
      </c>
      <c r="E1947" s="1">
        <v>-106.6931</v>
      </c>
      <c r="F1947" s="1" t="s">
        <v>1923</v>
      </c>
      <c r="G1947" s="22">
        <v>382.1160652995361</v>
      </c>
      <c r="H1947" s="20">
        <f ca="1">NOW() - TIME(5,30,0) + (VLOOKUP(MasterTable[[#This Row],[TimeZone]], $O$3:$P$8, 2, FALSE) / 24)</f>
        <v>45990.490211458338</v>
      </c>
      <c r="I1947" s="1" t="s">
        <v>1944</v>
      </c>
      <c r="J1947" s="1">
        <v>5896.1</v>
      </c>
    </row>
    <row r="1948" spans="1:10" x14ac:dyDescent="0.25">
      <c r="A1948" s="1" t="s">
        <v>147</v>
      </c>
      <c r="B1948" s="1" t="s">
        <v>148</v>
      </c>
      <c r="C1948" s="1" t="s">
        <v>1019</v>
      </c>
      <c r="D1948" s="1">
        <v>36.578299999999999</v>
      </c>
      <c r="E1948" s="1">
        <v>-105.631</v>
      </c>
      <c r="F1948" s="1" t="s">
        <v>1923</v>
      </c>
      <c r="G1948" s="22">
        <v>426.19844521794698</v>
      </c>
      <c r="H1948" s="20">
        <f ca="1">NOW() - TIME(5,30,0) + (VLOOKUP(MasterTable[[#This Row],[TimeZone]], $O$3:$P$8, 2, FALSE) / 24)</f>
        <v>45990.490211458338</v>
      </c>
      <c r="I1948" s="1" t="s">
        <v>1944</v>
      </c>
      <c r="J1948" s="1">
        <v>2204.62</v>
      </c>
    </row>
    <row r="1949" spans="1:10" x14ac:dyDescent="0.25">
      <c r="A1949" s="1" t="s">
        <v>147</v>
      </c>
      <c r="B1949" s="1" t="s">
        <v>148</v>
      </c>
      <c r="C1949" s="1" t="s">
        <v>590</v>
      </c>
      <c r="D1949" s="1">
        <v>32.738900000000001</v>
      </c>
      <c r="E1949" s="1">
        <v>-108.3824</v>
      </c>
      <c r="F1949" s="1" t="s">
        <v>1923</v>
      </c>
      <c r="G1949" s="22">
        <v>152.53413532768329</v>
      </c>
      <c r="H1949" s="20">
        <f ca="1">NOW() - TIME(5,30,0) + (VLOOKUP(MasterTable[[#This Row],[TimeZone]], $O$3:$P$8, 2, FALSE) / 24)</f>
        <v>45990.490211458338</v>
      </c>
      <c r="I1949" s="1" t="s">
        <v>1945</v>
      </c>
      <c r="J1949" s="1">
        <v>633.01</v>
      </c>
    </row>
    <row r="1950" spans="1:10" x14ac:dyDescent="0.25">
      <c r="A1950" s="1" t="s">
        <v>147</v>
      </c>
      <c r="B1950" s="1" t="s">
        <v>148</v>
      </c>
      <c r="C1950" s="1" t="s">
        <v>1124</v>
      </c>
      <c r="D1950" s="1">
        <v>34.912500000000001</v>
      </c>
      <c r="E1950" s="1">
        <v>-107.9997</v>
      </c>
      <c r="F1950" s="1" t="s">
        <v>1923</v>
      </c>
      <c r="G1950" s="22">
        <v>250.899831577529</v>
      </c>
      <c r="H1950" s="20">
        <f ca="1">NOW() - TIME(5,30,0) + (VLOOKUP(MasterTable[[#This Row],[TimeZone]], $O$3:$P$8, 2, FALSE) / 24)</f>
        <v>45990.490211458338</v>
      </c>
      <c r="I1950" s="1" t="s">
        <v>1945</v>
      </c>
      <c r="J1950" s="1">
        <v>4541.71</v>
      </c>
    </row>
    <row r="1951" spans="1:10" x14ac:dyDescent="0.25">
      <c r="A1951" s="1" t="s">
        <v>147</v>
      </c>
      <c r="B1951" s="1" t="s">
        <v>148</v>
      </c>
      <c r="C1951" s="1" t="s">
        <v>1125</v>
      </c>
      <c r="D1951" s="1">
        <v>35.480499999999999</v>
      </c>
      <c r="E1951" s="1">
        <v>-104.8158</v>
      </c>
      <c r="F1951" s="1" t="s">
        <v>1923</v>
      </c>
      <c r="G1951" s="22">
        <v>416.59663421152675</v>
      </c>
      <c r="H1951" s="20">
        <f ca="1">NOW() - TIME(5,30,0) + (VLOOKUP(MasterTable[[#This Row],[TimeZone]], $O$3:$P$8, 2, FALSE) / 24)</f>
        <v>45990.490211458338</v>
      </c>
      <c r="I1951" s="1" t="s">
        <v>1944</v>
      </c>
      <c r="J1951" s="1">
        <v>1288.49</v>
      </c>
    </row>
    <row r="1952" spans="1:10" x14ac:dyDescent="0.25">
      <c r="A1952" s="1" t="s">
        <v>147</v>
      </c>
      <c r="B1952" s="1" t="s">
        <v>148</v>
      </c>
      <c r="C1952" s="1" t="s">
        <v>1157</v>
      </c>
      <c r="D1952" s="1">
        <v>32.182299999999998</v>
      </c>
      <c r="E1952" s="1">
        <v>-107.7499</v>
      </c>
      <c r="F1952" s="1" t="s">
        <v>1923</v>
      </c>
      <c r="G1952" s="22">
        <v>185.7446025851421</v>
      </c>
      <c r="H1952" s="20">
        <f ca="1">NOW() - TIME(5,30,0) + (VLOOKUP(MasterTable[[#This Row],[TimeZone]], $O$3:$P$8, 2, FALSE) / 24)</f>
        <v>45990.490211458338</v>
      </c>
      <c r="I1952" s="1" t="s">
        <v>1945</v>
      </c>
      <c r="J1952" s="1">
        <v>2965.28</v>
      </c>
    </row>
    <row r="1953" spans="1:12" x14ac:dyDescent="0.25">
      <c r="A1953" s="1" t="s">
        <v>147</v>
      </c>
      <c r="B1953" s="1" t="s">
        <v>148</v>
      </c>
      <c r="C1953" s="1" t="s">
        <v>632</v>
      </c>
      <c r="D1953" s="1">
        <v>33.7453</v>
      </c>
      <c r="E1953" s="1">
        <v>-105.4593</v>
      </c>
      <c r="F1953" s="1" t="s">
        <v>1923</v>
      </c>
      <c r="G1953" s="22">
        <v>333.86044604543156</v>
      </c>
      <c r="H1953" s="20">
        <f ca="1">NOW() - TIME(5,30,0) + (VLOOKUP(MasterTable[[#This Row],[TimeZone]], $O$3:$P$8, 2, FALSE) / 24)</f>
        <v>45990.490211458338</v>
      </c>
      <c r="I1953" s="1" t="s">
        <v>1944</v>
      </c>
      <c r="J1953" s="1">
        <v>572.16999999999996</v>
      </c>
    </row>
    <row r="1954" spans="1:12" x14ac:dyDescent="0.25">
      <c r="A1954" s="1" t="s">
        <v>147</v>
      </c>
      <c r="B1954" s="1" t="s">
        <v>148</v>
      </c>
      <c r="C1954" s="1" t="s">
        <v>1291</v>
      </c>
      <c r="D1954" s="1">
        <v>35.869300000000003</v>
      </c>
      <c r="E1954" s="1">
        <v>-106.3073</v>
      </c>
      <c r="F1954" s="1" t="s">
        <v>1923</v>
      </c>
      <c r="G1954" s="22">
        <v>365.23843153429118</v>
      </c>
      <c r="H1954" s="20">
        <f ca="1">NOW() - TIME(5,30,0) + (VLOOKUP(MasterTable[[#This Row],[TimeZone]], $O$3:$P$8, 2, FALSE) / 24)</f>
        <v>45990.490211458338</v>
      </c>
      <c r="I1954" s="1" t="s">
        <v>1944</v>
      </c>
      <c r="J1954" s="1">
        <v>109.35</v>
      </c>
    </row>
    <row r="1955" spans="1:12" x14ac:dyDescent="0.25">
      <c r="A1955" s="1" t="s">
        <v>147</v>
      </c>
      <c r="B1955" s="1" t="s">
        <v>148</v>
      </c>
      <c r="C1955" s="1" t="s">
        <v>1297</v>
      </c>
      <c r="D1955" s="1">
        <v>34.0212</v>
      </c>
      <c r="E1955" s="1">
        <v>-103.48</v>
      </c>
      <c r="F1955" s="1" t="s">
        <v>1923</v>
      </c>
      <c r="G1955" s="22">
        <v>448.38479997155741</v>
      </c>
      <c r="H1955" s="20">
        <f ca="1">NOW() - TIME(5,30,0) + (VLOOKUP(MasterTable[[#This Row],[TimeZone]], $O$3:$P$8, 2, FALSE) / 24)</f>
        <v>45990.490211458338</v>
      </c>
      <c r="I1955" s="1" t="s">
        <v>1944</v>
      </c>
      <c r="J1955" s="1">
        <v>2369.65</v>
      </c>
    </row>
    <row r="1956" spans="1:12" x14ac:dyDescent="0.25">
      <c r="A1956" s="1" t="s">
        <v>147</v>
      </c>
      <c r="B1956" s="1" t="s">
        <v>148</v>
      </c>
      <c r="C1956" s="1" t="s">
        <v>1370</v>
      </c>
      <c r="D1956" s="1">
        <v>34.007100000000001</v>
      </c>
      <c r="E1956" s="1">
        <v>-106.9302</v>
      </c>
      <c r="F1956" s="1" t="s">
        <v>1923</v>
      </c>
      <c r="G1956" s="22">
        <v>262.09907986502276</v>
      </c>
      <c r="H1956" s="20">
        <f ca="1">NOW() - TIME(5,30,0) + (VLOOKUP(MasterTable[[#This Row],[TimeZone]], $O$3:$P$8, 2, FALSE) / 24)</f>
        <v>45990.490211458338</v>
      </c>
      <c r="I1956" s="1" t="s">
        <v>1945</v>
      </c>
      <c r="J1956" s="1">
        <v>6648.71</v>
      </c>
    </row>
    <row r="1957" spans="1:12" x14ac:dyDescent="0.25">
      <c r="A1957" s="1" t="s">
        <v>147</v>
      </c>
      <c r="B1957" s="1" t="s">
        <v>148</v>
      </c>
      <c r="C1957" s="1" t="s">
        <v>1394</v>
      </c>
      <c r="D1957" s="1">
        <v>34.640500000000003</v>
      </c>
      <c r="E1957" s="1">
        <v>-105.85080000000001</v>
      </c>
      <c r="F1957" s="1" t="s">
        <v>1923</v>
      </c>
      <c r="G1957" s="22">
        <v>336.98020694686289</v>
      </c>
      <c r="H1957" s="20">
        <f ca="1">NOW() - TIME(5,30,0) + (VLOOKUP(MasterTable[[#This Row],[TimeZone]], $O$3:$P$8, 2, FALSE) / 24)</f>
        <v>45990.490211458338</v>
      </c>
      <c r="I1957" s="1" t="s">
        <v>1944</v>
      </c>
      <c r="J1957" s="1">
        <v>3345.81</v>
      </c>
    </row>
    <row r="1958" spans="1:12" x14ac:dyDescent="0.25">
      <c r="A1958" s="1" t="s">
        <v>147</v>
      </c>
      <c r="B1958" s="1" t="s">
        <v>148</v>
      </c>
      <c r="C1958" s="1" t="s">
        <v>1487</v>
      </c>
      <c r="D1958" s="1">
        <v>36.606099999999998</v>
      </c>
      <c r="E1958" s="1">
        <v>-104.6468</v>
      </c>
      <c r="F1958" s="1" t="s">
        <v>1923</v>
      </c>
      <c r="G1958" s="22">
        <v>468.75206482884073</v>
      </c>
      <c r="H1958" s="20">
        <f ca="1">NOW() - TIME(5,30,0) + (VLOOKUP(MasterTable[[#This Row],[TimeZone]], $O$3:$P$8, 2, FALSE) / 24)</f>
        <v>45990.490211458338</v>
      </c>
      <c r="I1958" s="1" t="s">
        <v>1944</v>
      </c>
      <c r="J1958" s="1">
        <v>418.58</v>
      </c>
    </row>
    <row r="1959" spans="1:12" x14ac:dyDescent="0.25">
      <c r="A1959" s="1" t="s">
        <v>147</v>
      </c>
      <c r="B1959" s="1" t="s">
        <v>148</v>
      </c>
      <c r="C1959" s="1" t="s">
        <v>1512</v>
      </c>
      <c r="D1959" s="1">
        <v>33.130499999999998</v>
      </c>
      <c r="E1959" s="1">
        <v>-107.19240000000001</v>
      </c>
      <c r="F1959" s="1" t="s">
        <v>1923</v>
      </c>
      <c r="G1959" s="22">
        <v>226.06297069446268</v>
      </c>
      <c r="H1959" s="20">
        <f ca="1">NOW() - TIME(5,30,0) + (VLOOKUP(MasterTable[[#This Row],[TimeZone]], $O$3:$P$8, 2, FALSE) / 24)</f>
        <v>45990.490211458338</v>
      </c>
      <c r="I1959" s="1" t="s">
        <v>1945</v>
      </c>
      <c r="J1959" s="1">
        <v>961.97</v>
      </c>
    </row>
    <row r="1960" spans="1:12" x14ac:dyDescent="0.25">
      <c r="A1960" s="1" t="s">
        <v>147</v>
      </c>
      <c r="B1960" s="1" t="s">
        <v>148</v>
      </c>
      <c r="C1960" s="1" t="s">
        <v>1605</v>
      </c>
      <c r="D1960" s="1">
        <v>35.104300000000002</v>
      </c>
      <c r="E1960" s="1">
        <v>-103.5498</v>
      </c>
      <c r="F1960" s="1" t="s">
        <v>1923</v>
      </c>
      <c r="G1960" s="22">
        <v>468.49469594173991</v>
      </c>
      <c r="H1960" s="20">
        <f ca="1">NOW() - TIME(5,30,0) + (VLOOKUP(MasterTable[[#This Row],[TimeZone]], $O$3:$P$8, 2, FALSE) / 24)</f>
        <v>45990.490211458338</v>
      </c>
      <c r="I1960" s="1" t="s">
        <v>1944</v>
      </c>
      <c r="J1960" s="1">
        <v>2881.8</v>
      </c>
    </row>
    <row r="1961" spans="1:12" x14ac:dyDescent="0.25">
      <c r="A1961" s="1" t="s">
        <v>147</v>
      </c>
      <c r="B1961" s="1" t="s">
        <v>148</v>
      </c>
      <c r="C1961" s="1" t="s">
        <v>409</v>
      </c>
      <c r="D1961" s="1">
        <v>34.863300000000002</v>
      </c>
      <c r="E1961" s="1">
        <v>-104.7906</v>
      </c>
      <c r="F1961" s="1" t="s">
        <v>1923</v>
      </c>
      <c r="G1961" s="22">
        <v>397.62018788769399</v>
      </c>
      <c r="H1961" s="20">
        <f ca="1">NOW() - TIME(5,30,0) + (VLOOKUP(MasterTable[[#This Row],[TimeZone]], $O$3:$P$8, 2, FALSE) / 24)</f>
        <v>45990.490211458338</v>
      </c>
      <c r="I1961" s="1" t="s">
        <v>1944</v>
      </c>
      <c r="J1961" s="1">
        <v>3031.58</v>
      </c>
    </row>
    <row r="1962" spans="1:12" x14ac:dyDescent="0.25">
      <c r="A1962" s="1" t="s">
        <v>147</v>
      </c>
      <c r="B1962" s="1" t="s">
        <v>148</v>
      </c>
      <c r="C1962" s="1" t="s">
        <v>1773</v>
      </c>
      <c r="D1962" s="1">
        <v>36.0105</v>
      </c>
      <c r="E1962" s="1">
        <v>-104.94499999999999</v>
      </c>
      <c r="F1962" s="1" t="s">
        <v>1923</v>
      </c>
      <c r="G1962" s="22">
        <v>430.68389337280553</v>
      </c>
      <c r="H1962" s="20">
        <f ca="1">NOW() - TIME(5,30,0) + (VLOOKUP(MasterTable[[#This Row],[TimeZone]], $O$3:$P$8, 2, FALSE) / 24)</f>
        <v>45990.490211458338</v>
      </c>
      <c r="I1962" s="1" t="s">
        <v>1944</v>
      </c>
      <c r="J1962" s="1">
        <v>1933.48</v>
      </c>
    </row>
    <row r="1963" spans="1:12" x14ac:dyDescent="0.25">
      <c r="A1963" s="1" t="s">
        <v>147</v>
      </c>
      <c r="B1963" s="1" t="s">
        <v>148</v>
      </c>
      <c r="C1963" s="1" t="s">
        <v>111</v>
      </c>
      <c r="D1963" s="1">
        <v>31.914000000000001</v>
      </c>
      <c r="E1963" s="1">
        <v>-108.7148</v>
      </c>
      <c r="F1963" s="1" t="s">
        <v>1923</v>
      </c>
      <c r="G1963" s="22">
        <v>131.23646706039264</v>
      </c>
      <c r="H1963" s="20">
        <f ca="1">NOW() - TIME(5,30,0) + (VLOOKUP(MasterTable[[#This Row],[TimeZone]], $O$3:$P$8, 2, FALSE) / 24)</f>
        <v>45990.490211458338</v>
      </c>
      <c r="I1963" s="1" t="s">
        <v>1945</v>
      </c>
      <c r="J1963" s="1">
        <v>3445.91</v>
      </c>
    </row>
    <row r="1964" spans="1:12" x14ac:dyDescent="0.25">
      <c r="A1964" s="1" t="s">
        <v>147</v>
      </c>
      <c r="B1964" s="1" t="s">
        <v>148</v>
      </c>
      <c r="C1964" s="1" t="s">
        <v>177</v>
      </c>
      <c r="D1964" s="1">
        <v>36.4816</v>
      </c>
      <c r="E1964" s="1">
        <v>-103.471</v>
      </c>
      <c r="F1964" s="1" t="s">
        <v>1923</v>
      </c>
      <c r="G1964" s="22">
        <v>516.95935990328564</v>
      </c>
      <c r="H1964" s="20">
        <f ca="1">NOW() - TIME(5,30,0) + (VLOOKUP(MasterTable[[#This Row],[TimeZone]], $O$3:$P$8, 2, FALSE) / 24)</f>
        <v>45990.490211458338</v>
      </c>
      <c r="I1964" s="1" t="s">
        <v>1944</v>
      </c>
      <c r="J1964" s="1">
        <v>1055.27</v>
      </c>
    </row>
    <row r="1965" spans="1:12" x14ac:dyDescent="0.25">
      <c r="A1965" s="1" t="s">
        <v>147</v>
      </c>
      <c r="B1965" s="1" t="s">
        <v>148</v>
      </c>
      <c r="C1965" s="1" t="s">
        <v>1792</v>
      </c>
      <c r="D1965" s="1">
        <v>33.915300000000002</v>
      </c>
      <c r="E1965" s="1">
        <v>-108.4046</v>
      </c>
      <c r="F1965" s="1" t="s">
        <v>1923</v>
      </c>
      <c r="G1965" s="22">
        <v>187.12291450764684</v>
      </c>
      <c r="H1965" s="20">
        <f ca="1">NOW() - TIME(5,30,0) + (VLOOKUP(MasterTable[[#This Row],[TimeZone]], $O$3:$P$8, 2, FALSE) / 24)</f>
        <v>45990.490211458338</v>
      </c>
      <c r="I1965" s="1" t="s">
        <v>1945</v>
      </c>
      <c r="J1965" s="1">
        <v>6929.03</v>
      </c>
    </row>
    <row r="1966" spans="1:12" x14ac:dyDescent="0.25">
      <c r="A1966" s="1" t="s">
        <v>147</v>
      </c>
      <c r="B1966" s="1" t="s">
        <v>148</v>
      </c>
      <c r="C1966" s="1" t="s">
        <v>1884</v>
      </c>
      <c r="D1966" s="1">
        <v>34.342500000000001</v>
      </c>
      <c r="E1966" s="1">
        <v>-104.41200000000001</v>
      </c>
      <c r="F1966" s="1" t="s">
        <v>1923</v>
      </c>
      <c r="G1966" s="22">
        <v>403.72827513681017</v>
      </c>
      <c r="H1966" s="20">
        <f ca="1">NOW() - TIME(5,30,0) + (VLOOKUP(MasterTable[[#This Row],[TimeZone]], $O$3:$P$8, 2, FALSE) / 24)</f>
        <v>45990.490211458338</v>
      </c>
      <c r="I1966" s="1" t="s">
        <v>1944</v>
      </c>
      <c r="J1966" s="1">
        <v>2333.83</v>
      </c>
    </row>
    <row r="1967" spans="1:12" x14ac:dyDescent="0.25">
      <c r="A1967" s="1" t="s">
        <v>147</v>
      </c>
      <c r="B1967" s="1" t="s">
        <v>148</v>
      </c>
      <c r="C1967" s="1" t="s">
        <v>1898</v>
      </c>
      <c r="D1967" s="1">
        <v>35.857900000000001</v>
      </c>
      <c r="E1967" s="1">
        <v>-103.8203</v>
      </c>
      <c r="F1967" s="1" t="s">
        <v>1923</v>
      </c>
      <c r="G1967" s="22">
        <v>478.00044988503498</v>
      </c>
      <c r="H1967" s="20">
        <f ca="1">NOW() - TIME(5,30,0) + (VLOOKUP(MasterTable[[#This Row],[TimeZone]], $O$3:$P$8, 2, FALSE) / 24)</f>
        <v>45990.490211458338</v>
      </c>
      <c r="I1967" s="1" t="s">
        <v>1944</v>
      </c>
      <c r="J1967" s="1">
        <v>2125.9499999999998</v>
      </c>
    </row>
    <row r="1968" spans="1:12" x14ac:dyDescent="0.25">
      <c r="A1968" s="1" t="s">
        <v>24</v>
      </c>
      <c r="B1968" s="1" t="s">
        <v>25</v>
      </c>
      <c r="C1968" s="1" t="s">
        <v>23</v>
      </c>
      <c r="D1968" s="1">
        <v>36.215200000000003</v>
      </c>
      <c r="E1968" s="1">
        <v>-115.01349999999999</v>
      </c>
      <c r="F1968" s="1" t="s">
        <v>1924</v>
      </c>
      <c r="G1968" s="22">
        <v>361.40578375906938</v>
      </c>
      <c r="H1968" s="20">
        <f ca="1">NOW() - TIME(5,30,0) + (VLOOKUP(MasterTable[[#This Row],[TimeZone]], $O$3:$P$8, 2, FALSE) / 24)</f>
        <v>45990.448544791667</v>
      </c>
      <c r="I1968" s="1" t="s">
        <v>1944</v>
      </c>
      <c r="J1968" s="1">
        <v>882.6</v>
      </c>
      <c r="K1968" s="10"/>
      <c r="L1968" s="10"/>
    </row>
    <row r="1969" spans="1:12" x14ac:dyDescent="0.25">
      <c r="A1969" s="1" t="s">
        <v>24</v>
      </c>
      <c r="B1969" s="1" t="s">
        <v>25</v>
      </c>
      <c r="C1969" s="1" t="s">
        <v>204</v>
      </c>
      <c r="D1969" s="1">
        <v>40.665500000000002</v>
      </c>
      <c r="E1969" s="1">
        <v>-119.6643</v>
      </c>
      <c r="F1969" s="1" t="s">
        <v>1924</v>
      </c>
      <c r="G1969" s="22">
        <v>758.29828808484808</v>
      </c>
      <c r="H1969" s="20">
        <f ca="1">NOW() - TIME(5,30,0) + (VLOOKUP(MasterTable[[#This Row],[TimeZone]], $O$3:$P$8, 2, FALSE) / 24)</f>
        <v>45990.448544791667</v>
      </c>
      <c r="I1969" s="1" t="s">
        <v>1944</v>
      </c>
      <c r="J1969" s="1">
        <v>6551.32</v>
      </c>
      <c r="K1969" s="11"/>
      <c r="L1969" s="11"/>
    </row>
    <row r="1970" spans="1:12" x14ac:dyDescent="0.25">
      <c r="A1970" s="1" t="s">
        <v>24</v>
      </c>
      <c r="B1970" s="1" t="s">
        <v>25</v>
      </c>
      <c r="C1970" s="1" t="s">
        <v>773</v>
      </c>
      <c r="D1970" s="1">
        <v>39.020600000000002</v>
      </c>
      <c r="E1970" s="1">
        <v>-119.18899999999999</v>
      </c>
      <c r="F1970" s="1" t="s">
        <v>1924</v>
      </c>
      <c r="G1970" s="22">
        <v>659.78193633598153</v>
      </c>
      <c r="H1970" s="20">
        <f ca="1">NOW() - TIME(5,30,0) + (VLOOKUP(MasterTable[[#This Row],[TimeZone]], $O$3:$P$8, 2, FALSE) / 24)</f>
        <v>45990.448544791667</v>
      </c>
      <c r="I1970" s="1" t="s">
        <v>1944</v>
      </c>
      <c r="J1970" s="1">
        <v>587.63</v>
      </c>
      <c r="K1970" s="11"/>
      <c r="L1970" s="11"/>
    </row>
    <row r="1971" spans="1:12" x14ac:dyDescent="0.25">
      <c r="A1971" s="1" t="s">
        <v>24</v>
      </c>
      <c r="B1971" s="1" t="s">
        <v>25</v>
      </c>
      <c r="C1971" s="1" t="s">
        <v>793</v>
      </c>
      <c r="D1971" s="1">
        <v>39.1511</v>
      </c>
      <c r="E1971" s="1">
        <v>-119.74760000000001</v>
      </c>
      <c r="F1971" s="1" t="s">
        <v>1924</v>
      </c>
      <c r="G1971" s="22">
        <v>688.05125320429704</v>
      </c>
      <c r="H1971" s="20">
        <f ca="1">NOW() - TIME(5,30,0) + (VLOOKUP(MasterTable[[#This Row],[TimeZone]], $O$3:$P$8, 2, FALSE) / 24)</f>
        <v>45990.448544791667</v>
      </c>
      <c r="I1971" s="1" t="s">
        <v>1944</v>
      </c>
      <c r="J1971" s="1" t="s">
        <v>1946</v>
      </c>
      <c r="K1971" s="11"/>
      <c r="L1971" s="11"/>
    </row>
    <row r="1972" spans="1:12" x14ac:dyDescent="0.25">
      <c r="A1972" s="1" t="s">
        <v>24</v>
      </c>
      <c r="B1972" s="1" t="s">
        <v>25</v>
      </c>
      <c r="C1972" s="1" t="s">
        <v>816</v>
      </c>
      <c r="D1972" s="1">
        <v>41.145699999999998</v>
      </c>
      <c r="E1972" s="1">
        <v>-115.35769999999999</v>
      </c>
      <c r="F1972" s="1" t="s">
        <v>1924</v>
      </c>
      <c r="G1972" s="22">
        <v>663.4639974679634</v>
      </c>
      <c r="H1972" s="20">
        <f ca="1">NOW() - TIME(5,30,0) + (VLOOKUP(MasterTable[[#This Row],[TimeZone]], $O$3:$P$8, 2, FALSE) / 24)</f>
        <v>45990.448544791667</v>
      </c>
      <c r="I1972" s="1" t="s">
        <v>1944</v>
      </c>
      <c r="J1972" s="1">
        <v>17202.939999999999</v>
      </c>
      <c r="K1972" s="11"/>
      <c r="L1972" s="11"/>
    </row>
    <row r="1973" spans="1:12" x14ac:dyDescent="0.25">
      <c r="A1973" s="1" t="s">
        <v>24</v>
      </c>
      <c r="B1973" s="1" t="s">
        <v>25</v>
      </c>
      <c r="C1973" s="1" t="s">
        <v>821</v>
      </c>
      <c r="D1973" s="1">
        <v>38.042299999999997</v>
      </c>
      <c r="E1973" s="1">
        <v>-116.47190000000001</v>
      </c>
      <c r="F1973" s="1" t="s">
        <v>1924</v>
      </c>
      <c r="G1973" s="22">
        <v>509.62915609975482</v>
      </c>
      <c r="H1973" s="20">
        <f ca="1">NOW() - TIME(5,30,0) + (VLOOKUP(MasterTable[[#This Row],[TimeZone]], $O$3:$P$8, 2, FALSE) / 24)</f>
        <v>45990.448544791667</v>
      </c>
      <c r="I1973" s="1" t="s">
        <v>1944</v>
      </c>
      <c r="J1973" s="1">
        <v>18158.73</v>
      </c>
      <c r="K1973" s="11"/>
      <c r="L1973" s="11"/>
    </row>
    <row r="1974" spans="1:12" x14ac:dyDescent="0.25">
      <c r="A1974" s="1" t="s">
        <v>24</v>
      </c>
      <c r="B1974" s="1" t="s">
        <v>25</v>
      </c>
      <c r="C1974" s="1" t="s">
        <v>170</v>
      </c>
      <c r="D1974" s="1">
        <v>38.912300000000002</v>
      </c>
      <c r="E1974" s="1">
        <v>-119.61620000000001</v>
      </c>
      <c r="F1974" s="1" t="s">
        <v>1924</v>
      </c>
      <c r="G1974" s="22">
        <v>671.88854384763761</v>
      </c>
      <c r="H1974" s="20">
        <f ca="1">NOW() - TIME(5,30,0) + (VLOOKUP(MasterTable[[#This Row],[TimeZone]], $O$3:$P$8, 2, FALSE) / 24)</f>
        <v>45990.448544791667</v>
      </c>
      <c r="I1974" s="1" t="s">
        <v>1944</v>
      </c>
      <c r="J1974" s="1">
        <v>842.75</v>
      </c>
      <c r="K1974" s="11"/>
      <c r="L1974" s="11"/>
    </row>
    <row r="1975" spans="1:12" x14ac:dyDescent="0.25">
      <c r="A1975" s="1" t="s">
        <v>24</v>
      </c>
      <c r="B1975" s="1" t="s">
        <v>25</v>
      </c>
      <c r="C1975" s="1" t="s">
        <v>1152</v>
      </c>
      <c r="D1975" s="1">
        <v>39.5809</v>
      </c>
      <c r="E1975" s="1">
        <v>-118.33580000000001</v>
      </c>
      <c r="F1975" s="1" t="s">
        <v>1924</v>
      </c>
      <c r="G1975" s="22">
        <v>655.64088001340554</v>
      </c>
      <c r="H1975" s="20">
        <f ca="1">NOW() - TIME(5,30,0) + (VLOOKUP(MasterTable[[#This Row],[TimeZone]], $O$3:$P$8, 2, FALSE) / 24)</f>
        <v>45990.448544791667</v>
      </c>
      <c r="I1975" s="1" t="s">
        <v>1944</v>
      </c>
      <c r="J1975" s="1">
        <v>5023.38</v>
      </c>
      <c r="K1975" s="11"/>
      <c r="L1975" s="11"/>
    </row>
    <row r="1976" spans="1:12" x14ac:dyDescent="0.25">
      <c r="A1976" s="1" t="s">
        <v>24</v>
      </c>
      <c r="B1976" s="1" t="s">
        <v>25</v>
      </c>
      <c r="C1976" s="1" t="s">
        <v>495</v>
      </c>
      <c r="D1976" s="1">
        <v>41.406799999999997</v>
      </c>
      <c r="E1976" s="1">
        <v>-118.11199999999999</v>
      </c>
      <c r="F1976" s="1" t="s">
        <v>1924</v>
      </c>
      <c r="G1976" s="22">
        <v>748.21044505763155</v>
      </c>
      <c r="H1976" s="20">
        <f ca="1">NOW() - TIME(5,30,0) + (VLOOKUP(MasterTable[[#This Row],[TimeZone]], $O$3:$P$8, 2, FALSE) / 24)</f>
        <v>45990.448544791667</v>
      </c>
      <c r="I1976" s="1" t="s">
        <v>1944</v>
      </c>
      <c r="J1976" s="1">
        <v>4052.22</v>
      </c>
      <c r="K1976" s="11"/>
      <c r="L1976" s="11"/>
    </row>
    <row r="1977" spans="1:12" x14ac:dyDescent="0.25">
      <c r="A1977" s="1" t="s">
        <v>24</v>
      </c>
      <c r="B1977" s="1" t="s">
        <v>25</v>
      </c>
      <c r="C1977" s="1" t="s">
        <v>1592</v>
      </c>
      <c r="D1977" s="1">
        <v>39.442100000000003</v>
      </c>
      <c r="E1977" s="1">
        <v>-114.90170000000001</v>
      </c>
      <c r="F1977" s="1" t="s">
        <v>1924</v>
      </c>
      <c r="G1977" s="22">
        <v>546.19533167544387</v>
      </c>
      <c r="H1977" s="20">
        <f ca="1">NOW() - TIME(5,30,0) + (VLOOKUP(MasterTable[[#This Row],[TimeZone]], $O$3:$P$8, 2, FALSE) / 24)</f>
        <v>45990.448544791667</v>
      </c>
      <c r="I1977" s="1" t="s">
        <v>1944</v>
      </c>
      <c r="J1977" s="1">
        <v>8896.6</v>
      </c>
      <c r="K1977" s="11"/>
      <c r="L1977" s="11"/>
    </row>
    <row r="1978" spans="1:12" x14ac:dyDescent="0.25">
      <c r="A1978" s="1" t="s">
        <v>24</v>
      </c>
      <c r="B1978" s="1" t="s">
        <v>25</v>
      </c>
      <c r="C1978" s="1" t="s">
        <v>1692</v>
      </c>
      <c r="D1978" s="1">
        <v>40.440399999999997</v>
      </c>
      <c r="E1978" s="1">
        <v>-118.4044</v>
      </c>
      <c r="F1978" s="1" t="s">
        <v>1924</v>
      </c>
      <c r="G1978" s="22">
        <v>703.49731906822672</v>
      </c>
      <c r="H1978" s="20">
        <f ca="1">NOW() - TIME(5,30,0) + (VLOOKUP(MasterTable[[#This Row],[TimeZone]], $O$3:$P$8, 2, FALSE) / 24)</f>
        <v>45990.448544791667</v>
      </c>
      <c r="I1978" s="1" t="s">
        <v>1944</v>
      </c>
      <c r="J1978" s="1">
        <v>6067.55</v>
      </c>
      <c r="K1978" s="11"/>
      <c r="L1978" s="11"/>
    </row>
    <row r="1979" spans="1:12" x14ac:dyDescent="0.25">
      <c r="A1979" s="1" t="s">
        <v>24</v>
      </c>
      <c r="B1979" s="1" t="s">
        <v>25</v>
      </c>
      <c r="C1979" s="1" t="s">
        <v>1721</v>
      </c>
      <c r="D1979" s="1">
        <v>39.933700000000002</v>
      </c>
      <c r="E1979" s="1">
        <v>-117.038</v>
      </c>
      <c r="F1979" s="1" t="s">
        <v>1924</v>
      </c>
      <c r="G1979" s="22">
        <v>632.41954630567102</v>
      </c>
      <c r="H1979" s="20">
        <f ca="1">NOW() - TIME(5,30,0) + (VLOOKUP(MasterTable[[#This Row],[TimeZone]], $O$3:$P$8, 2, FALSE) / 24)</f>
        <v>45990.448544791667</v>
      </c>
      <c r="I1979" s="1" t="s">
        <v>1944</v>
      </c>
      <c r="J1979" s="1">
        <v>5519.47</v>
      </c>
      <c r="K1979" s="11"/>
      <c r="L1979" s="11"/>
    </row>
    <row r="1980" spans="1:12" x14ac:dyDescent="0.25">
      <c r="A1980" s="1" t="s">
        <v>24</v>
      </c>
      <c r="B1980" s="1" t="s">
        <v>25</v>
      </c>
      <c r="C1980" s="1" t="s">
        <v>1127</v>
      </c>
      <c r="D1980" s="1">
        <v>38.538600000000002</v>
      </c>
      <c r="E1980" s="1">
        <v>-118.4349</v>
      </c>
      <c r="F1980" s="1" t="s">
        <v>1924</v>
      </c>
      <c r="G1980" s="22">
        <v>607.37656273256437</v>
      </c>
      <c r="H1980" s="20">
        <f ca="1">NOW() - TIME(5,30,0) + (VLOOKUP(MasterTable[[#This Row],[TimeZone]], $O$3:$P$8, 2, FALSE) / 24)</f>
        <v>45990.448544791667</v>
      </c>
      <c r="I1980" s="1" t="s">
        <v>1944</v>
      </c>
      <c r="J1980" s="1">
        <v>877.7</v>
      </c>
      <c r="K1980" s="11"/>
      <c r="L1980" s="11"/>
    </row>
    <row r="1981" spans="1:12" x14ac:dyDescent="0.25">
      <c r="A1981" s="1" t="s">
        <v>24</v>
      </c>
      <c r="B1981" s="1" t="s">
        <v>25</v>
      </c>
      <c r="C1981" s="1" t="s">
        <v>632</v>
      </c>
      <c r="D1981" s="1">
        <v>37.643300000000004</v>
      </c>
      <c r="E1981" s="1">
        <v>-114.8775</v>
      </c>
      <c r="F1981" s="1" t="s">
        <v>1924</v>
      </c>
      <c r="G1981" s="22">
        <v>436.2739481407653</v>
      </c>
      <c r="H1981" s="20">
        <f ca="1">NOW() - TIME(5,30,0) + (VLOOKUP(MasterTable[[#This Row],[TimeZone]], $O$3:$P$8, 2, FALSE) / 24)</f>
        <v>45990.448544791667</v>
      </c>
      <c r="I1981" s="1" t="s">
        <v>1944</v>
      </c>
      <c r="J1981" s="1">
        <v>572.16999999999996</v>
      </c>
      <c r="K1981" s="11"/>
      <c r="L1981" s="11"/>
    </row>
    <row r="1982" spans="1:12" x14ac:dyDescent="0.25">
      <c r="A1982" s="1" t="s">
        <v>24</v>
      </c>
      <c r="B1982" s="1" t="s">
        <v>25</v>
      </c>
      <c r="C1982" s="1" t="s">
        <v>1776</v>
      </c>
      <c r="D1982" s="1">
        <v>39.447000000000003</v>
      </c>
      <c r="E1982" s="1">
        <v>-119.5294</v>
      </c>
      <c r="F1982" s="1" t="s">
        <v>1924</v>
      </c>
      <c r="G1982" s="22">
        <v>693.22309405829571</v>
      </c>
      <c r="H1982" s="20">
        <f ca="1">NOW() - TIME(5,30,0) + (VLOOKUP(MasterTable[[#This Row],[TimeZone]], $O$3:$P$8, 2, FALSE) / 24)</f>
        <v>45990.448544791667</v>
      </c>
      <c r="I1982" s="1" t="s">
        <v>1944</v>
      </c>
      <c r="J1982" s="1">
        <v>263.8</v>
      </c>
      <c r="K1982" s="11"/>
      <c r="L1982" s="11"/>
    </row>
    <row r="1983" spans="1:12" x14ac:dyDescent="0.25">
      <c r="A1983" s="1" t="s">
        <v>24</v>
      </c>
      <c r="B1983" s="1" t="s">
        <v>25</v>
      </c>
      <c r="C1983" s="1" t="s">
        <v>1880</v>
      </c>
      <c r="D1983" s="1">
        <v>39.983800000000002</v>
      </c>
      <c r="E1983" s="1">
        <v>-116.26860000000001</v>
      </c>
      <c r="F1983" s="1" t="s">
        <v>1924</v>
      </c>
      <c r="G1983" s="22">
        <v>613.37935334394922</v>
      </c>
      <c r="H1983" s="20">
        <f ca="1">NOW() - TIME(5,30,0) + (VLOOKUP(MasterTable[[#This Row],[TimeZone]], $O$3:$P$8, 2, FALSE) / 24)</f>
        <v>45990.448544791667</v>
      </c>
      <c r="I1983" s="1" t="s">
        <v>1944</v>
      </c>
      <c r="J1983" s="1">
        <v>4179.96</v>
      </c>
      <c r="K1983" s="11"/>
      <c r="L1983" s="11"/>
    </row>
    <row r="1984" spans="1:12" x14ac:dyDescent="0.25">
      <c r="A1984" s="1" t="s">
        <v>24</v>
      </c>
      <c r="B1984" s="1" t="s">
        <v>25</v>
      </c>
      <c r="C1984" s="1" t="s">
        <v>1902</v>
      </c>
      <c r="D1984" s="1">
        <v>37.784599999999998</v>
      </c>
      <c r="E1984" s="1">
        <v>-117.6323</v>
      </c>
      <c r="F1984" s="1" t="s">
        <v>1924</v>
      </c>
      <c r="G1984" s="22">
        <v>539.87901299511702</v>
      </c>
      <c r="H1984" s="20">
        <f ca="1">NOW() - TIME(5,30,0) + (VLOOKUP(MasterTable[[#This Row],[TimeZone]], $O$3:$P$8, 2, FALSE) / 24)</f>
        <v>45990.448544791667</v>
      </c>
      <c r="I1984" s="1" t="s">
        <v>1944</v>
      </c>
      <c r="J1984" s="1">
        <v>3589</v>
      </c>
      <c r="K1984" s="11"/>
      <c r="L1984" s="11"/>
    </row>
    <row r="1985" spans="1:12" x14ac:dyDescent="0.25">
      <c r="A1985" s="1" t="s">
        <v>18</v>
      </c>
      <c r="B1985" s="1" t="s">
        <v>19</v>
      </c>
      <c r="C1985" s="1" t="s">
        <v>17</v>
      </c>
      <c r="D1985" s="1">
        <v>40.641300000000001</v>
      </c>
      <c r="E1985" s="1">
        <v>-73.938299999999998</v>
      </c>
      <c r="F1985" s="1" t="s">
        <v>1925</v>
      </c>
      <c r="G1985" s="22">
        <v>2119.8555336645613</v>
      </c>
      <c r="H1985" s="20">
        <f ca="1">NOW() - TIME(5,30,0) + (VLOOKUP(MasterTable[[#This Row],[TimeZone]], $O$3:$P$8, 2, FALSE) / 24)</f>
        <v>45990.573544791667</v>
      </c>
      <c r="I1985" s="1" t="s">
        <v>1944</v>
      </c>
      <c r="J1985" s="1">
        <v>1391.49</v>
      </c>
      <c r="K1985" s="11"/>
      <c r="L1985" s="11"/>
    </row>
    <row r="1986" spans="1:12" x14ac:dyDescent="0.25">
      <c r="A1986" s="1" t="s">
        <v>18</v>
      </c>
      <c r="B1986" s="1" t="s">
        <v>19</v>
      </c>
      <c r="C1986" s="1" t="s">
        <v>22</v>
      </c>
      <c r="D1986" s="1">
        <v>40.703499999999998</v>
      </c>
      <c r="E1986" s="1">
        <v>-73.819599999999994</v>
      </c>
      <c r="F1986" s="1" t="s">
        <v>1925</v>
      </c>
      <c r="G1986" s="22">
        <v>2126.3610184612435</v>
      </c>
      <c r="H1986" s="20">
        <f ca="1">NOW() - TIME(5,30,0) + (VLOOKUP(MasterTable[[#This Row],[TimeZone]], $O$3:$P$8, 2, FALSE) / 24)</f>
        <v>45990.573544791667</v>
      </c>
      <c r="I1986" s="1" t="s">
        <v>1944</v>
      </c>
      <c r="J1986" s="1">
        <v>178.28</v>
      </c>
    </row>
    <row r="1987" spans="1:12" x14ac:dyDescent="0.25">
      <c r="A1987" s="1" t="s">
        <v>18</v>
      </c>
      <c r="B1987" s="1" t="s">
        <v>19</v>
      </c>
      <c r="C1987" s="1" t="s">
        <v>19</v>
      </c>
      <c r="D1987" s="1">
        <v>40.779200000000003</v>
      </c>
      <c r="E1987" s="1">
        <v>-73.966800000000006</v>
      </c>
      <c r="F1987" s="1" t="s">
        <v>1925</v>
      </c>
      <c r="G1987" s="22">
        <v>2119.0512574675981</v>
      </c>
      <c r="H1987" s="20">
        <f ca="1">NOW() - TIME(5,30,0) + (VLOOKUP(MasterTable[[#This Row],[TimeZone]], $O$3:$P$8, 2, FALSE) / 24)</f>
        <v>45990.573544791667</v>
      </c>
      <c r="I1987" s="1" t="s">
        <v>1944</v>
      </c>
      <c r="J1987" s="1">
        <v>33.770000000000003</v>
      </c>
    </row>
    <row r="1988" spans="1:12" x14ac:dyDescent="0.25">
      <c r="A1988" s="1" t="s">
        <v>18</v>
      </c>
      <c r="B1988" s="1" t="s">
        <v>19</v>
      </c>
      <c r="C1988" s="1" t="s">
        <v>45</v>
      </c>
      <c r="D1988" s="1">
        <v>40.868099999999998</v>
      </c>
      <c r="E1988" s="1">
        <v>-72.845600000000005</v>
      </c>
      <c r="F1988" s="1" t="s">
        <v>1925</v>
      </c>
      <c r="G1988" s="22">
        <v>2177.9582994999473</v>
      </c>
      <c r="H1988" s="20">
        <f ca="1">NOW() - TIME(5,30,0) + (VLOOKUP(MasterTable[[#This Row],[TimeZone]], $O$3:$P$8, 2, FALSE) / 24)</f>
        <v>45990.573544791667</v>
      </c>
      <c r="I1988" s="1" t="s">
        <v>1944</v>
      </c>
      <c r="J1988" s="1">
        <v>120.19</v>
      </c>
    </row>
    <row r="1989" spans="1:12" x14ac:dyDescent="0.25">
      <c r="A1989" s="1" t="s">
        <v>18</v>
      </c>
      <c r="B1989" s="1" t="s">
        <v>19</v>
      </c>
      <c r="C1989" s="1" t="s">
        <v>48</v>
      </c>
      <c r="D1989" s="1">
        <v>40.850099999999998</v>
      </c>
      <c r="E1989" s="1">
        <v>-73.867099999999994</v>
      </c>
      <c r="F1989" s="1" t="s">
        <v>1925</v>
      </c>
      <c r="G1989" s="22">
        <v>2124.6152808911829</v>
      </c>
      <c r="H1989" s="20">
        <f ca="1">NOW() - TIME(5,30,0) + (VLOOKUP(MasterTable[[#This Row],[TimeZone]], $O$3:$P$8, 2, FALSE) / 24)</f>
        <v>45990.573544791667</v>
      </c>
      <c r="I1989" s="1" t="s">
        <v>1944</v>
      </c>
      <c r="J1989" s="1">
        <v>57.43</v>
      </c>
    </row>
    <row r="1990" spans="1:12" x14ac:dyDescent="0.25">
      <c r="A1990" s="1" t="s">
        <v>18</v>
      </c>
      <c r="B1990" s="1" t="s">
        <v>19</v>
      </c>
      <c r="C1990" s="1" t="s">
        <v>49</v>
      </c>
      <c r="D1990" s="1">
        <v>40.732599999999998</v>
      </c>
      <c r="E1990" s="1">
        <v>-73.586200000000005</v>
      </c>
      <c r="F1990" s="1" t="s">
        <v>1925</v>
      </c>
      <c r="G1990" s="22">
        <v>2138.6938558133229</v>
      </c>
      <c r="H1990" s="20">
        <f ca="1">NOW() - TIME(5,30,0) + (VLOOKUP(MasterTable[[#This Row],[TimeZone]], $O$3:$P$8, 2, FALSE) / 24)</f>
        <v>45990.573544791667</v>
      </c>
      <c r="I1990" s="1" t="s">
        <v>1944</v>
      </c>
      <c r="J1990" s="1">
        <v>725.86</v>
      </c>
    </row>
    <row r="1991" spans="1:12" x14ac:dyDescent="0.25">
      <c r="A1991" s="1" t="s">
        <v>18</v>
      </c>
      <c r="B1991" s="1" t="s">
        <v>19</v>
      </c>
      <c r="C1991" s="1" t="s">
        <v>84</v>
      </c>
      <c r="D1991" s="1">
        <v>41.162599999999998</v>
      </c>
      <c r="E1991" s="1">
        <v>-73.756100000000004</v>
      </c>
      <c r="F1991" s="1" t="s">
        <v>1925</v>
      </c>
      <c r="G1991" s="22">
        <v>2132.0835063469199</v>
      </c>
      <c r="H1991" s="20">
        <f ca="1">NOW() - TIME(5,30,0) + (VLOOKUP(MasterTable[[#This Row],[TimeZone]], $O$3:$P$8, 2, FALSE) / 24)</f>
        <v>45990.573544791667</v>
      </c>
      <c r="I1991" s="1" t="s">
        <v>1944</v>
      </c>
      <c r="J1991" s="1">
        <v>500.08</v>
      </c>
    </row>
    <row r="1992" spans="1:12" x14ac:dyDescent="0.25">
      <c r="A1992" s="1" t="s">
        <v>18</v>
      </c>
      <c r="B1992" s="1" t="s">
        <v>19</v>
      </c>
      <c r="C1992" s="1" t="s">
        <v>100</v>
      </c>
      <c r="D1992" s="1">
        <v>42.7639</v>
      </c>
      <c r="E1992" s="1">
        <v>-78.732299999999995</v>
      </c>
      <c r="F1992" s="1" t="s">
        <v>1925</v>
      </c>
      <c r="G1992" s="22">
        <v>1894.9036063480903</v>
      </c>
      <c r="H1992" s="20">
        <f ca="1">NOW() - TIME(5,30,0) + (VLOOKUP(MasterTable[[#This Row],[TimeZone]], $O$3:$P$8, 2, FALSE) / 24)</f>
        <v>45990.573544791667</v>
      </c>
      <c r="I1992" s="1" t="s">
        <v>1944</v>
      </c>
      <c r="J1992" s="1">
        <v>1226.8900000000001</v>
      </c>
    </row>
    <row r="1993" spans="1:12" x14ac:dyDescent="0.25">
      <c r="A1993" s="1" t="s">
        <v>18</v>
      </c>
      <c r="B1993" s="1" t="s">
        <v>19</v>
      </c>
      <c r="C1993" s="1" t="s">
        <v>135</v>
      </c>
      <c r="D1993" s="1">
        <v>43.1464</v>
      </c>
      <c r="E1993" s="1">
        <v>-77.696100000000001</v>
      </c>
      <c r="F1993" s="1" t="s">
        <v>1925</v>
      </c>
      <c r="G1993" s="22">
        <v>1951.5805971001002</v>
      </c>
      <c r="H1993" s="20">
        <f ca="1">NOW() - TIME(5,30,0) + (VLOOKUP(MasterTable[[#This Row],[TimeZone]], $O$3:$P$8, 2, FALSE) / 24)</f>
        <v>45990.573544791667</v>
      </c>
      <c r="I1993" s="1" t="s">
        <v>1944</v>
      </c>
      <c r="J1993" s="1">
        <v>1034.53</v>
      </c>
    </row>
    <row r="1994" spans="1:12" x14ac:dyDescent="0.25">
      <c r="A1994" s="1" t="s">
        <v>18</v>
      </c>
      <c r="B1994" s="1" t="s">
        <v>19</v>
      </c>
      <c r="C1994" s="1" t="s">
        <v>203</v>
      </c>
      <c r="D1994" s="1">
        <v>40.580800000000004</v>
      </c>
      <c r="E1994" s="1">
        <v>-74.153099999999995</v>
      </c>
      <c r="F1994" s="1" t="s">
        <v>1925</v>
      </c>
      <c r="G1994" s="22">
        <v>2108.3226947123107</v>
      </c>
      <c r="H1994" s="20">
        <f ca="1">NOW() - TIME(5,30,0) + (VLOOKUP(MasterTable[[#This Row],[TimeZone]], $O$3:$P$8, 2, FALSE) / 24)</f>
        <v>45990.573544791667</v>
      </c>
      <c r="I1994" s="1" t="s">
        <v>1944</v>
      </c>
      <c r="J1994" s="1">
        <v>328.45</v>
      </c>
    </row>
    <row r="1995" spans="1:12" x14ac:dyDescent="0.25">
      <c r="A1995" s="1" t="s">
        <v>18</v>
      </c>
      <c r="B1995" s="1" t="s">
        <v>19</v>
      </c>
      <c r="C1995" s="1" t="s">
        <v>210</v>
      </c>
      <c r="D1995" s="1">
        <v>43.005800000000001</v>
      </c>
      <c r="E1995" s="1">
        <v>-76.194599999999994</v>
      </c>
      <c r="F1995" s="1" t="s">
        <v>1925</v>
      </c>
      <c r="G1995" s="22">
        <v>2024.2248824773951</v>
      </c>
      <c r="H1995" s="20">
        <f ca="1">NOW() - TIME(5,30,0) + (VLOOKUP(MasterTable[[#This Row],[TimeZone]], $O$3:$P$8, 2, FALSE) / 24)</f>
        <v>45990.573544791667</v>
      </c>
      <c r="I1995" s="1" t="s">
        <v>1944</v>
      </c>
      <c r="J1995" s="1">
        <v>805.69</v>
      </c>
    </row>
    <row r="1996" spans="1:12" x14ac:dyDescent="0.25">
      <c r="A1996" s="1" t="s">
        <v>18</v>
      </c>
      <c r="B1996" s="1" t="s">
        <v>19</v>
      </c>
      <c r="C1996" s="1" t="s">
        <v>13</v>
      </c>
      <c r="D1996" s="1">
        <v>41.402200000000001</v>
      </c>
      <c r="E1996" s="1">
        <v>-74.305599999999998</v>
      </c>
      <c r="F1996" s="1" t="s">
        <v>1925</v>
      </c>
      <c r="G1996" s="22">
        <v>2105.1498706513003</v>
      </c>
      <c r="H1996" s="20">
        <f ca="1">NOW() - TIME(5,30,0) + (VLOOKUP(MasterTable[[#This Row],[TimeZone]], $O$3:$P$8, 2, FALSE) / 24)</f>
        <v>45990.573544791667</v>
      </c>
      <c r="I1996" s="1" t="s">
        <v>1944</v>
      </c>
      <c r="J1996" s="1">
        <v>947.98</v>
      </c>
    </row>
    <row r="1997" spans="1:12" x14ac:dyDescent="0.25">
      <c r="A1997" s="1" t="s">
        <v>18</v>
      </c>
      <c r="B1997" s="1" t="s">
        <v>19</v>
      </c>
      <c r="C1997" s="1" t="s">
        <v>269</v>
      </c>
      <c r="D1997" s="1">
        <v>41.152500000000003</v>
      </c>
      <c r="E1997" s="1">
        <v>-74.024199999999993</v>
      </c>
      <c r="F1997" s="1" t="s">
        <v>1925</v>
      </c>
      <c r="G1997" s="22">
        <v>2118.1266581624327</v>
      </c>
      <c r="H1997" s="20">
        <f ca="1">NOW() - TIME(5,30,0) + (VLOOKUP(MasterTable[[#This Row],[TimeZone]], $O$3:$P$8, 2, FALSE) / 24)</f>
        <v>45990.573544791667</v>
      </c>
      <c r="I1997" s="1" t="s">
        <v>1944</v>
      </c>
      <c r="J1997" s="1">
        <v>199.34</v>
      </c>
    </row>
    <row r="1998" spans="1:12" x14ac:dyDescent="0.25">
      <c r="A1998" s="1" t="s">
        <v>18</v>
      </c>
      <c r="B1998" s="1" t="s">
        <v>19</v>
      </c>
      <c r="C1998" s="1" t="s">
        <v>282</v>
      </c>
      <c r="D1998" s="1">
        <v>42.600200000000001</v>
      </c>
      <c r="E1998" s="1">
        <v>-73.973600000000005</v>
      </c>
      <c r="F1998" s="1" t="s">
        <v>1925</v>
      </c>
      <c r="G1998" s="22">
        <v>2131.3619337867426</v>
      </c>
      <c r="H1998" s="20">
        <f ca="1">NOW() - TIME(5,30,0) + (VLOOKUP(MasterTable[[#This Row],[TimeZone]], $O$3:$P$8, 2, FALSE) / 24)</f>
        <v>45990.573544791667</v>
      </c>
      <c r="I1998" s="1" t="s">
        <v>1944</v>
      </c>
      <c r="J1998" s="1">
        <v>533.21</v>
      </c>
    </row>
    <row r="1999" spans="1:12" x14ac:dyDescent="0.25">
      <c r="A1999" s="1" t="s">
        <v>18</v>
      </c>
      <c r="B1999" s="1" t="s">
        <v>19</v>
      </c>
      <c r="C1999" s="1" t="s">
        <v>295</v>
      </c>
      <c r="D1999" s="1">
        <v>41.7652</v>
      </c>
      <c r="E1999" s="1">
        <v>-73.742900000000006</v>
      </c>
      <c r="F1999" s="1" t="s">
        <v>1925</v>
      </c>
      <c r="G1999" s="22">
        <v>2136.5571903669556</v>
      </c>
      <c r="H1999" s="20">
        <f ca="1">NOW() - TIME(5,30,0) + (VLOOKUP(MasterTable[[#This Row],[TimeZone]], $O$3:$P$8, 2, FALSE) / 24)</f>
        <v>45990.573544791667</v>
      </c>
      <c r="I1999" s="1" t="s">
        <v>1944</v>
      </c>
      <c r="J1999" s="1">
        <v>825.38</v>
      </c>
    </row>
    <row r="2000" spans="1:12" x14ac:dyDescent="0.25">
      <c r="A2000" s="1" t="s">
        <v>18</v>
      </c>
      <c r="B2000" s="1" t="s">
        <v>19</v>
      </c>
      <c r="C2000" s="1" t="s">
        <v>340</v>
      </c>
      <c r="D2000" s="1">
        <v>43.107399999999998</v>
      </c>
      <c r="E2000" s="1">
        <v>-73.863900000000001</v>
      </c>
      <c r="F2000" s="1" t="s">
        <v>1925</v>
      </c>
      <c r="G2000" s="22">
        <v>2141.5472958480486</v>
      </c>
      <c r="H2000" s="20">
        <f ca="1">NOW() - TIME(5,30,0) + (VLOOKUP(MasterTable[[#This Row],[TimeZone]], $O$3:$P$8, 2, FALSE) / 24)</f>
        <v>45990.573544791667</v>
      </c>
      <c r="I2000" s="1" t="s">
        <v>1944</v>
      </c>
      <c r="J2000" s="1">
        <v>843.71</v>
      </c>
    </row>
    <row r="2001" spans="1:10" x14ac:dyDescent="0.25">
      <c r="A2001" s="1" t="s">
        <v>18</v>
      </c>
      <c r="B2001" s="1" t="s">
        <v>19</v>
      </c>
      <c r="C2001" s="1" t="s">
        <v>348</v>
      </c>
      <c r="D2001" s="1">
        <v>43.241799999999998</v>
      </c>
      <c r="E2001" s="1">
        <v>-75.4358</v>
      </c>
      <c r="F2001" s="1" t="s">
        <v>1925</v>
      </c>
      <c r="G2001" s="22">
        <v>2064.7076290304362</v>
      </c>
      <c r="H2001" s="20">
        <f ca="1">NOW() - TIME(5,30,0) + (VLOOKUP(MasterTable[[#This Row],[TimeZone]], $O$3:$P$8, 2, FALSE) / 24)</f>
        <v>45990.573544791667</v>
      </c>
      <c r="I2001" s="1" t="s">
        <v>1944</v>
      </c>
      <c r="J2001" s="1">
        <v>1201.6099999999999</v>
      </c>
    </row>
    <row r="2002" spans="1:10" x14ac:dyDescent="0.25">
      <c r="A2002" s="1" t="s">
        <v>18</v>
      </c>
      <c r="B2002" s="1" t="s">
        <v>19</v>
      </c>
      <c r="C2002" s="1" t="s">
        <v>361</v>
      </c>
      <c r="D2002" s="1">
        <v>43.200099999999999</v>
      </c>
      <c r="E2002" s="1">
        <v>-78.745199999999997</v>
      </c>
      <c r="F2002" s="1" t="s">
        <v>1925</v>
      </c>
      <c r="G2002" s="22">
        <v>1900.6743691412375</v>
      </c>
      <c r="H2002" s="20">
        <f ca="1">NOW() - TIME(5,30,0) + (VLOOKUP(MasterTable[[#This Row],[TimeZone]], $O$3:$P$8, 2, FALSE) / 24)</f>
        <v>45990.573544791667</v>
      </c>
      <c r="I2002" s="1" t="s">
        <v>1944</v>
      </c>
      <c r="J2002" s="1">
        <v>1139.83</v>
      </c>
    </row>
    <row r="2003" spans="1:10" x14ac:dyDescent="0.25">
      <c r="A2003" s="1" t="s">
        <v>18</v>
      </c>
      <c r="B2003" s="1" t="s">
        <v>19</v>
      </c>
      <c r="C2003" s="1" t="s">
        <v>381</v>
      </c>
      <c r="D2003" s="1">
        <v>42.160200000000003</v>
      </c>
      <c r="E2003" s="1">
        <v>-75.819599999999994</v>
      </c>
      <c r="F2003" s="1" t="s">
        <v>1925</v>
      </c>
      <c r="G2003" s="22">
        <v>2033.915957330682</v>
      </c>
      <c r="H2003" s="20">
        <f ca="1">NOW() - TIME(5,30,0) + (VLOOKUP(MasterTable[[#This Row],[TimeZone]], $O$3:$P$8, 2, FALSE) / 24)</f>
        <v>45990.573544791667</v>
      </c>
      <c r="I2003" s="1" t="s">
        <v>1944</v>
      </c>
      <c r="J2003" s="1">
        <v>715.46</v>
      </c>
    </row>
    <row r="2004" spans="1:10" x14ac:dyDescent="0.25">
      <c r="A2004" s="1" t="s">
        <v>18</v>
      </c>
      <c r="B2004" s="1" t="s">
        <v>19</v>
      </c>
      <c r="C2004" s="1" t="s">
        <v>401</v>
      </c>
      <c r="D2004" s="1">
        <v>41.888100000000001</v>
      </c>
      <c r="E2004" s="1">
        <v>-74.258600000000001</v>
      </c>
      <c r="F2004" s="1" t="s">
        <v>1925</v>
      </c>
      <c r="G2004" s="22">
        <v>2111.0434539180178</v>
      </c>
      <c r="H2004" s="20">
        <f ca="1">NOW() - TIME(5,30,0) + (VLOOKUP(MasterTable[[#This Row],[TimeZone]], $O$3:$P$8, 2, FALSE) / 24)</f>
        <v>45990.573544791667</v>
      </c>
      <c r="I2004" s="1" t="s">
        <v>1944</v>
      </c>
      <c r="J2004" s="1">
        <v>1160.76</v>
      </c>
    </row>
    <row r="2005" spans="1:10" x14ac:dyDescent="0.25">
      <c r="A2005" s="1" t="s">
        <v>18</v>
      </c>
      <c r="B2005" s="1" t="s">
        <v>19</v>
      </c>
      <c r="C2005" s="1" t="s">
        <v>453</v>
      </c>
      <c r="D2005" s="1">
        <v>42.711100000000002</v>
      </c>
      <c r="E2005" s="1">
        <v>-73.509699999999995</v>
      </c>
      <c r="F2005" s="1" t="s">
        <v>1925</v>
      </c>
      <c r="G2005" s="22">
        <v>2155.710168242676</v>
      </c>
      <c r="H2005" s="20">
        <f ca="1">NOW() - TIME(5,30,0) + (VLOOKUP(MasterTable[[#This Row],[TimeZone]], $O$3:$P$8, 2, FALSE) / 24)</f>
        <v>45990.573544791667</v>
      </c>
      <c r="I2005" s="1" t="s">
        <v>1944</v>
      </c>
      <c r="J2005" s="1">
        <v>665.39</v>
      </c>
    </row>
    <row r="2006" spans="1:10" x14ac:dyDescent="0.25">
      <c r="A2006" s="1" t="s">
        <v>18</v>
      </c>
      <c r="B2006" s="1" t="s">
        <v>19</v>
      </c>
      <c r="C2006" s="1" t="s">
        <v>456</v>
      </c>
      <c r="D2006" s="1">
        <v>42.818100000000001</v>
      </c>
      <c r="E2006" s="1">
        <v>-74.058599999999998</v>
      </c>
      <c r="F2006" s="1" t="s">
        <v>1925</v>
      </c>
      <c r="G2006" s="22">
        <v>2129.0521153532713</v>
      </c>
      <c r="H2006" s="20">
        <f ca="1">NOW() - TIME(5,30,0) + (VLOOKUP(MasterTable[[#This Row],[TimeZone]], $O$3:$P$8, 2, FALSE) / 24)</f>
        <v>45990.573544791667</v>
      </c>
      <c r="I2006" s="1" t="s">
        <v>1944</v>
      </c>
      <c r="J2006" s="1">
        <v>209.62</v>
      </c>
    </row>
    <row r="2007" spans="1:10" x14ac:dyDescent="0.25">
      <c r="A2007" s="1" t="s">
        <v>18</v>
      </c>
      <c r="B2007" s="1" t="s">
        <v>19</v>
      </c>
      <c r="C2007" s="1" t="s">
        <v>515</v>
      </c>
      <c r="D2007" s="1">
        <v>42.228099999999998</v>
      </c>
      <c r="E2007" s="1">
        <v>-79.366299999999995</v>
      </c>
      <c r="F2007" s="1" t="s">
        <v>1925</v>
      </c>
      <c r="G2007" s="22">
        <v>1855.7897710549994</v>
      </c>
      <c r="H2007" s="20">
        <f ca="1">NOW() - TIME(5,30,0) + (VLOOKUP(MasterTable[[#This Row],[TimeZone]], $O$3:$P$8, 2, FALSE) / 24)</f>
        <v>45990.573544791667</v>
      </c>
      <c r="I2007" s="1" t="s">
        <v>1944</v>
      </c>
      <c r="J2007" s="1">
        <v>644.83000000000004</v>
      </c>
    </row>
    <row r="2008" spans="1:10" x14ac:dyDescent="0.25">
      <c r="A2008" s="1" t="s">
        <v>18</v>
      </c>
      <c r="B2008" s="1" t="s">
        <v>19</v>
      </c>
      <c r="C2008" s="1" t="s">
        <v>533</v>
      </c>
      <c r="D2008" s="1">
        <v>43.426900000000003</v>
      </c>
      <c r="E2008" s="1">
        <v>-76.141300000000001</v>
      </c>
      <c r="F2008" s="1" t="s">
        <v>1925</v>
      </c>
      <c r="G2008" s="22">
        <v>2032.0509443442759</v>
      </c>
      <c r="H2008" s="20">
        <f ca="1">NOW() - TIME(5,30,0) + (VLOOKUP(MasterTable[[#This Row],[TimeZone]], $O$3:$P$8, 2, FALSE) / 24)</f>
        <v>45990.573544791667</v>
      </c>
      <c r="I2008" s="1" t="s">
        <v>1944</v>
      </c>
      <c r="J2008" s="1">
        <v>1312.18</v>
      </c>
    </row>
    <row r="2009" spans="1:10" x14ac:dyDescent="0.25">
      <c r="A2009" s="1" t="s">
        <v>18</v>
      </c>
      <c r="B2009" s="1" t="s">
        <v>19</v>
      </c>
      <c r="C2009" s="1" t="s">
        <v>129</v>
      </c>
      <c r="D2009" s="1">
        <v>44.049500000000002</v>
      </c>
      <c r="E2009" s="1">
        <v>-75.920299999999997</v>
      </c>
      <c r="F2009" s="1" t="s">
        <v>1925</v>
      </c>
      <c r="G2009" s="22">
        <v>2051.1217645938464</v>
      </c>
      <c r="H2009" s="20">
        <f ca="1">NOW() - TIME(5,30,0) + (VLOOKUP(MasterTable[[#This Row],[TimeZone]], $O$3:$P$8, 2, FALSE) / 24)</f>
        <v>45990.573544791667</v>
      </c>
      <c r="I2009" s="1" t="s">
        <v>1944</v>
      </c>
      <c r="J2009" s="1">
        <v>1123.8</v>
      </c>
    </row>
    <row r="2010" spans="1:10" x14ac:dyDescent="0.25">
      <c r="A2010" s="1" t="s">
        <v>18</v>
      </c>
      <c r="B2010" s="1" t="s">
        <v>19</v>
      </c>
      <c r="C2010" s="1" t="s">
        <v>544</v>
      </c>
      <c r="D2010" s="1">
        <v>42.852800000000002</v>
      </c>
      <c r="E2010" s="1">
        <v>-77.299800000000005</v>
      </c>
      <c r="F2010" s="1" t="s">
        <v>1925</v>
      </c>
      <c r="G2010" s="22">
        <v>1967.3209259855837</v>
      </c>
      <c r="H2010" s="20">
        <f ca="1">NOW() - TIME(5,30,0) + (VLOOKUP(MasterTable[[#This Row],[TimeZone]], $O$3:$P$8, 2, FALSE) / 24)</f>
        <v>45990.573544791667</v>
      </c>
      <c r="I2010" s="1" t="s">
        <v>1944</v>
      </c>
      <c r="J2010" s="1">
        <v>662.43</v>
      </c>
    </row>
    <row r="2011" spans="1:10" x14ac:dyDescent="0.25">
      <c r="A2011" s="1" t="s">
        <v>18</v>
      </c>
      <c r="B2011" s="1" t="s">
        <v>19</v>
      </c>
      <c r="C2011" s="1" t="s">
        <v>562</v>
      </c>
      <c r="D2011" s="1">
        <v>44.496400000000001</v>
      </c>
      <c r="E2011" s="1">
        <v>-75.069100000000006</v>
      </c>
      <c r="F2011" s="1" t="s">
        <v>1925</v>
      </c>
      <c r="G2011" s="22">
        <v>2098.5301567859051</v>
      </c>
      <c r="H2011" s="20">
        <f ca="1">NOW() - TIME(5,30,0) + (VLOOKUP(MasterTable[[#This Row],[TimeZone]], $O$3:$P$8, 2, FALSE) / 24)</f>
        <v>45990.573544791667</v>
      </c>
      <c r="I2011" s="1" t="s">
        <v>1944</v>
      </c>
      <c r="J2011" s="1">
        <v>2821.48</v>
      </c>
    </row>
    <row r="2012" spans="1:10" x14ac:dyDescent="0.25">
      <c r="A2012" s="1" t="s">
        <v>18</v>
      </c>
      <c r="B2012" s="1" t="s">
        <v>19</v>
      </c>
      <c r="C2012" s="1" t="s">
        <v>581</v>
      </c>
      <c r="D2012" s="1">
        <v>42.451999999999998</v>
      </c>
      <c r="E2012" s="1">
        <v>-76.473600000000005</v>
      </c>
      <c r="F2012" s="1" t="s">
        <v>1925</v>
      </c>
      <c r="G2012" s="22">
        <v>2003.9067202579733</v>
      </c>
      <c r="H2012" s="20">
        <f ca="1">NOW() - TIME(5,30,0) + (VLOOKUP(MasterTable[[#This Row],[TimeZone]], $O$3:$P$8, 2, FALSE) / 24)</f>
        <v>45990.573544791667</v>
      </c>
      <c r="I2012" s="1" t="s">
        <v>1944</v>
      </c>
      <c r="J2012" s="1">
        <v>491.63</v>
      </c>
    </row>
    <row r="2013" spans="1:10" x14ac:dyDescent="0.25">
      <c r="A2013" s="1" t="s">
        <v>18</v>
      </c>
      <c r="B2013" s="1" t="s">
        <v>19</v>
      </c>
      <c r="C2013" s="1" t="s">
        <v>604</v>
      </c>
      <c r="D2013" s="1">
        <v>41.426699999999997</v>
      </c>
      <c r="E2013" s="1">
        <v>-73.749499999999998</v>
      </c>
      <c r="F2013" s="1" t="s">
        <v>1925</v>
      </c>
      <c r="G2013" s="22">
        <v>2133.9986692790344</v>
      </c>
      <c r="H2013" s="20">
        <f ca="1">NOW() - TIME(5,30,0) + (VLOOKUP(MasterTable[[#This Row],[TimeZone]], $O$3:$P$8, 2, FALSE) / 24)</f>
        <v>45990.573544791667</v>
      </c>
      <c r="I2013" s="1" t="s">
        <v>1944</v>
      </c>
      <c r="J2013" s="1">
        <v>827.16</v>
      </c>
    </row>
    <row r="2014" spans="1:10" x14ac:dyDescent="0.25">
      <c r="A2014" s="1" t="s">
        <v>18</v>
      </c>
      <c r="B2014" s="1" t="s">
        <v>19</v>
      </c>
      <c r="C2014" s="1" t="s">
        <v>622</v>
      </c>
      <c r="D2014" s="1">
        <v>42.267800000000001</v>
      </c>
      <c r="E2014" s="1">
        <v>-77.383799999999994</v>
      </c>
      <c r="F2014" s="1" t="s">
        <v>1925</v>
      </c>
      <c r="G2014" s="22">
        <v>1955.9763034985588</v>
      </c>
      <c r="H2014" s="20">
        <f ca="1">NOW() - TIME(5,30,0) + (VLOOKUP(MasterTable[[#This Row],[TimeZone]], $O$3:$P$8, 2, FALSE) / 24)</f>
        <v>45990.573544791667</v>
      </c>
      <c r="I2014" s="1" t="s">
        <v>1944</v>
      </c>
      <c r="J2014" s="1">
        <v>322.48</v>
      </c>
    </row>
    <row r="2015" spans="1:10" x14ac:dyDescent="0.25">
      <c r="A2015" s="1" t="s">
        <v>18</v>
      </c>
      <c r="B2015" s="1" t="s">
        <v>19</v>
      </c>
      <c r="C2015" s="1" t="s">
        <v>34</v>
      </c>
      <c r="D2015" s="1">
        <v>43.156599999999997</v>
      </c>
      <c r="E2015" s="1">
        <v>-77.029399999999995</v>
      </c>
      <c r="F2015" s="1" t="s">
        <v>1925</v>
      </c>
      <c r="G2015" s="22">
        <v>1984.6792190321773</v>
      </c>
      <c r="H2015" s="20">
        <f ca="1">NOW() - TIME(5,30,0) + (VLOOKUP(MasterTable[[#This Row],[TimeZone]], $O$3:$P$8, 2, FALSE) / 24)</f>
        <v>45990.573544791667</v>
      </c>
      <c r="I2015" s="1" t="s">
        <v>1944</v>
      </c>
      <c r="J2015" s="1">
        <v>648.79999999999995</v>
      </c>
    </row>
    <row r="2016" spans="1:10" x14ac:dyDescent="0.25">
      <c r="A2016" s="1" t="s">
        <v>18</v>
      </c>
      <c r="B2016" s="1" t="s">
        <v>19</v>
      </c>
      <c r="C2016" s="1" t="s">
        <v>658</v>
      </c>
      <c r="D2016" s="1">
        <v>42.141300000000001</v>
      </c>
      <c r="E2016" s="1">
        <v>-76.760000000000005</v>
      </c>
      <c r="F2016" s="1" t="s">
        <v>1925</v>
      </c>
      <c r="G2016" s="22">
        <v>1986.0774309366832</v>
      </c>
      <c r="H2016" s="20">
        <f ca="1">NOW() - TIME(5,30,0) + (VLOOKUP(MasterTable[[#This Row],[TimeZone]], $O$3:$P$8, 2, FALSE) / 24)</f>
        <v>45990.573544791667</v>
      </c>
      <c r="I2016" s="1" t="s">
        <v>1944</v>
      </c>
      <c r="J2016" s="1">
        <v>410.79</v>
      </c>
    </row>
    <row r="2017" spans="1:10" x14ac:dyDescent="0.25">
      <c r="A2017" s="1" t="s">
        <v>18</v>
      </c>
      <c r="B2017" s="1" t="s">
        <v>19</v>
      </c>
      <c r="C2017" s="1" t="s">
        <v>454</v>
      </c>
      <c r="D2017" s="1">
        <v>41.7164</v>
      </c>
      <c r="E2017" s="1">
        <v>-74.768100000000004</v>
      </c>
      <c r="F2017" s="1" t="s">
        <v>1925</v>
      </c>
      <c r="G2017" s="22">
        <v>2083.6407244580346</v>
      </c>
      <c r="H2017" s="20">
        <f ca="1">NOW() - TIME(5,30,0) + (VLOOKUP(MasterTable[[#This Row],[TimeZone]], $O$3:$P$8, 2, FALSE) / 24)</f>
        <v>45990.573544791667</v>
      </c>
      <c r="I2017" s="1" t="s">
        <v>1944</v>
      </c>
      <c r="J2017" s="1">
        <v>454.04</v>
      </c>
    </row>
    <row r="2018" spans="1:10" x14ac:dyDescent="0.25">
      <c r="A2018" s="1" t="s">
        <v>18</v>
      </c>
      <c r="B2018" s="1" t="s">
        <v>19</v>
      </c>
      <c r="C2018" s="1" t="s">
        <v>675</v>
      </c>
      <c r="D2018" s="1">
        <v>44.746200000000002</v>
      </c>
      <c r="E2018" s="1">
        <v>-73.678200000000004</v>
      </c>
      <c r="F2018" s="1" t="s">
        <v>1925</v>
      </c>
      <c r="G2018" s="22">
        <v>2168.9715610644898</v>
      </c>
      <c r="H2018" s="20">
        <f ca="1">NOW() - TIME(5,30,0) + (VLOOKUP(MasterTable[[#This Row],[TimeZone]], $O$3:$P$8, 2, FALSE) / 24)</f>
        <v>45990.573544791667</v>
      </c>
      <c r="I2018" s="1" t="s">
        <v>1944</v>
      </c>
      <c r="J2018" s="1">
        <v>503.48</v>
      </c>
    </row>
    <row r="2019" spans="1:10" x14ac:dyDescent="0.25">
      <c r="A2019" s="1" t="s">
        <v>18</v>
      </c>
      <c r="B2019" s="1" t="s">
        <v>19</v>
      </c>
      <c r="C2019" s="1" t="s">
        <v>688</v>
      </c>
      <c r="D2019" s="1">
        <v>42.248600000000003</v>
      </c>
      <c r="E2019" s="1">
        <v>-78.678799999999995</v>
      </c>
      <c r="F2019" s="1" t="s">
        <v>1925</v>
      </c>
      <c r="G2019" s="22">
        <v>1890.5709984347177</v>
      </c>
      <c r="H2019" s="20">
        <f ca="1">NOW() - TIME(5,30,0) + (VLOOKUP(MasterTable[[#This Row],[TimeZone]], $O$3:$P$8, 2, FALSE) / 24)</f>
        <v>45990.573544791667</v>
      </c>
      <c r="I2019" s="1" t="s">
        <v>1944</v>
      </c>
      <c r="J2019" s="1">
        <v>1322.25</v>
      </c>
    </row>
    <row r="2020" spans="1:10" x14ac:dyDescent="0.25">
      <c r="A2020" s="1" t="s">
        <v>18</v>
      </c>
      <c r="B2020" s="1" t="s">
        <v>19</v>
      </c>
      <c r="C2020" s="1" t="s">
        <v>691</v>
      </c>
      <c r="D2020" s="1">
        <v>42.917499999999997</v>
      </c>
      <c r="E2020" s="1">
        <v>-76.554500000000004</v>
      </c>
      <c r="F2020" s="1" t="s">
        <v>1925</v>
      </c>
      <c r="G2020" s="22">
        <v>2005.2427750133033</v>
      </c>
      <c r="H2020" s="20">
        <f ca="1">NOW() - TIME(5,30,0) + (VLOOKUP(MasterTable[[#This Row],[TimeZone]], $O$3:$P$8, 2, FALSE) / 24)</f>
        <v>45990.573544791667</v>
      </c>
      <c r="I2020" s="1" t="s">
        <v>1944</v>
      </c>
      <c r="J2020" s="1">
        <v>863.64</v>
      </c>
    </row>
    <row r="2021" spans="1:10" x14ac:dyDescent="0.25">
      <c r="A2021" s="1" t="s">
        <v>18</v>
      </c>
      <c r="B2021" s="1" t="s">
        <v>19</v>
      </c>
      <c r="C2021" s="1" t="s">
        <v>244</v>
      </c>
      <c r="D2021" s="1">
        <v>42.912799999999997</v>
      </c>
      <c r="E2021" s="1">
        <v>-75.669600000000003</v>
      </c>
      <c r="F2021" s="1" t="s">
        <v>1925</v>
      </c>
      <c r="G2021" s="22">
        <v>2049.3291202663527</v>
      </c>
      <c r="H2021" s="20">
        <f ca="1">NOW() - TIME(5,30,0) + (VLOOKUP(MasterTable[[#This Row],[TimeZone]], $O$3:$P$8, 2, FALSE) / 24)</f>
        <v>45990.573544791667</v>
      </c>
      <c r="I2021" s="1" t="s">
        <v>1944</v>
      </c>
      <c r="J2021" s="1">
        <v>812.85</v>
      </c>
    </row>
    <row r="2022" spans="1:10" x14ac:dyDescent="0.25">
      <c r="A2022" s="1" t="s">
        <v>18</v>
      </c>
      <c r="B2022" s="1" t="s">
        <v>19</v>
      </c>
      <c r="C2022" s="1" t="s">
        <v>331</v>
      </c>
      <c r="D2022" s="1">
        <v>43.561</v>
      </c>
      <c r="E2022" s="1">
        <v>-73.846000000000004</v>
      </c>
      <c r="F2022" s="1" t="s">
        <v>1925</v>
      </c>
      <c r="G2022" s="22">
        <v>2147.02100273315</v>
      </c>
      <c r="H2022" s="20">
        <f ca="1">NOW() - TIME(5,30,0) + (VLOOKUP(MasterTable[[#This Row],[TimeZone]], $O$3:$P$8, 2, FALSE) / 24)</f>
        <v>45990.573544791667</v>
      </c>
      <c r="I2022" s="1" t="s">
        <v>1944</v>
      </c>
      <c r="J2022" s="1">
        <v>286.74</v>
      </c>
    </row>
    <row r="2023" spans="1:10" x14ac:dyDescent="0.25">
      <c r="A2023" s="1" t="s">
        <v>18</v>
      </c>
      <c r="B2023" s="1" t="s">
        <v>19</v>
      </c>
      <c r="C2023" s="1" t="s">
        <v>384</v>
      </c>
      <c r="D2023" s="1">
        <v>42.728000000000002</v>
      </c>
      <c r="E2023" s="1">
        <v>-77.775499999999994</v>
      </c>
      <c r="F2023" s="1" t="s">
        <v>1925</v>
      </c>
      <c r="G2023" s="22">
        <v>1942.0131353036559</v>
      </c>
      <c r="H2023" s="20">
        <f ca="1">NOW() - TIME(5,30,0) + (VLOOKUP(MasterTable[[#This Row],[TimeZone]], $O$3:$P$8, 2, FALSE) / 24)</f>
        <v>45990.573544791667</v>
      </c>
      <c r="I2023" s="1" t="s">
        <v>1944</v>
      </c>
      <c r="J2023" s="1">
        <v>1045.43</v>
      </c>
    </row>
    <row r="2024" spans="1:10" x14ac:dyDescent="0.25">
      <c r="A2024" s="1" t="s">
        <v>18</v>
      </c>
      <c r="B2024" s="1" t="s">
        <v>19</v>
      </c>
      <c r="C2024" s="1" t="s">
        <v>455</v>
      </c>
      <c r="D2024" s="1">
        <v>42.250100000000003</v>
      </c>
      <c r="E2024" s="1">
        <v>-73.631799999999998</v>
      </c>
      <c r="F2024" s="1" t="s">
        <v>1925</v>
      </c>
      <c r="G2024" s="22">
        <v>2145.778283030972</v>
      </c>
      <c r="H2024" s="20">
        <f ca="1">NOW() - TIME(5,30,0) + (VLOOKUP(MasterTable[[#This Row],[TimeZone]], $O$3:$P$8, 2, FALSE) / 24)</f>
        <v>45990.573544791667</v>
      </c>
      <c r="I2024" s="1" t="s">
        <v>1944</v>
      </c>
      <c r="J2024" s="1">
        <v>766.86</v>
      </c>
    </row>
    <row r="2025" spans="1:10" x14ac:dyDescent="0.25">
      <c r="A2025" s="1" t="s">
        <v>18</v>
      </c>
      <c r="B2025" s="1" t="s">
        <v>19</v>
      </c>
      <c r="C2025" s="1" t="s">
        <v>28</v>
      </c>
      <c r="D2025" s="1">
        <v>43.313699999999997</v>
      </c>
      <c r="E2025" s="1">
        <v>-73.430800000000005</v>
      </c>
      <c r="F2025" s="1" t="s">
        <v>1925</v>
      </c>
      <c r="G2025" s="22">
        <v>2165.1358755474603</v>
      </c>
      <c r="H2025" s="20">
        <f ca="1">NOW() - TIME(5,30,0) + (VLOOKUP(MasterTable[[#This Row],[TimeZone]], $O$3:$P$8, 2, FALSE) / 24)</f>
        <v>45990.573544791667</v>
      </c>
      <c r="I2025" s="1" t="s">
        <v>1944</v>
      </c>
      <c r="J2025" s="1">
        <v>1088.54</v>
      </c>
    </row>
    <row r="2026" spans="1:10" x14ac:dyDescent="0.25">
      <c r="A2026" s="1" t="s">
        <v>18</v>
      </c>
      <c r="B2026" s="1" t="s">
        <v>19</v>
      </c>
      <c r="C2026" s="1" t="s">
        <v>779</v>
      </c>
      <c r="D2026" s="1">
        <v>43.4193</v>
      </c>
      <c r="E2026" s="1">
        <v>-74.962400000000002</v>
      </c>
      <c r="F2026" s="1" t="s">
        <v>1925</v>
      </c>
      <c r="G2026" s="22">
        <v>2090.2117203869839</v>
      </c>
      <c r="H2026" s="20">
        <f ca="1">NOW() - TIME(5,30,0) + (VLOOKUP(MasterTable[[#This Row],[TimeZone]], $O$3:$P$8, 2, FALSE) / 24)</f>
        <v>45990.573544791667</v>
      </c>
      <c r="I2026" s="1" t="s">
        <v>1944</v>
      </c>
      <c r="J2026" s="1">
        <v>1458.35</v>
      </c>
    </row>
    <row r="2027" spans="1:10" x14ac:dyDescent="0.25">
      <c r="A2027" s="1" t="s">
        <v>18</v>
      </c>
      <c r="B2027" s="1" t="s">
        <v>19</v>
      </c>
      <c r="C2027" s="1" t="s">
        <v>781</v>
      </c>
      <c r="D2027" s="1">
        <v>42.633800000000001</v>
      </c>
      <c r="E2027" s="1">
        <v>-75.032600000000002</v>
      </c>
      <c r="F2027" s="1" t="s">
        <v>1925</v>
      </c>
      <c r="G2027" s="22">
        <v>2078.3223095058911</v>
      </c>
      <c r="H2027" s="20">
        <f ca="1">NOW() - TIME(5,30,0) + (VLOOKUP(MasterTable[[#This Row],[TimeZone]], $O$3:$P$8, 2, FALSE) / 24)</f>
        <v>45990.573544791667</v>
      </c>
      <c r="I2027" s="1" t="s">
        <v>1944</v>
      </c>
      <c r="J2027" s="1">
        <v>525.98</v>
      </c>
    </row>
    <row r="2028" spans="1:10" x14ac:dyDescent="0.25">
      <c r="A2028" s="1" t="s">
        <v>18</v>
      </c>
      <c r="B2028" s="1" t="s">
        <v>19</v>
      </c>
      <c r="C2028" s="1" t="s">
        <v>240</v>
      </c>
      <c r="D2028" s="1">
        <v>43.000900000000001</v>
      </c>
      <c r="E2028" s="1">
        <v>-78.193700000000007</v>
      </c>
      <c r="F2028" s="1" t="s">
        <v>1925</v>
      </c>
      <c r="G2028" s="22">
        <v>1924.9498215455292</v>
      </c>
      <c r="H2028" s="20">
        <f ca="1">NOW() - TIME(5,30,0) + (VLOOKUP(MasterTable[[#This Row],[TimeZone]], $O$3:$P$8, 2, FALSE) / 24)</f>
        <v>45990.573544791667</v>
      </c>
      <c r="I2028" s="1" t="s">
        <v>1944</v>
      </c>
      <c r="J2028" s="1">
        <v>649.34</v>
      </c>
    </row>
    <row r="2029" spans="1:10" x14ac:dyDescent="0.25">
      <c r="A2029" s="1" t="s">
        <v>18</v>
      </c>
      <c r="B2029" s="1" t="s">
        <v>19</v>
      </c>
      <c r="C2029" s="1" t="s">
        <v>72</v>
      </c>
      <c r="D2029" s="1">
        <v>43.113799999999998</v>
      </c>
      <c r="E2029" s="1">
        <v>-74.422200000000004</v>
      </c>
      <c r="F2029" s="1" t="s">
        <v>1925</v>
      </c>
      <c r="G2029" s="22">
        <v>2113.7425903109302</v>
      </c>
      <c r="H2029" s="20">
        <f ca="1">NOW() - TIME(5,30,0) + (VLOOKUP(MasterTable[[#This Row],[TimeZone]], $O$3:$P$8, 2, FALSE) / 24)</f>
        <v>45990.573544791667</v>
      </c>
      <c r="I2029" s="1" t="s">
        <v>1944</v>
      </c>
      <c r="J2029" s="1">
        <v>620.30999999999995</v>
      </c>
    </row>
    <row r="2030" spans="1:10" x14ac:dyDescent="0.25">
      <c r="A2030" s="1" t="s">
        <v>18</v>
      </c>
      <c r="B2030" s="1" t="s">
        <v>19</v>
      </c>
      <c r="C2030" s="1" t="s">
        <v>75</v>
      </c>
      <c r="D2030" s="1">
        <v>42.902299999999997</v>
      </c>
      <c r="E2030" s="1">
        <v>-74.439700000000002</v>
      </c>
      <c r="F2030" s="1" t="s">
        <v>1925</v>
      </c>
      <c r="G2030" s="22">
        <v>2110.7416477462552</v>
      </c>
      <c r="H2030" s="20">
        <f ca="1">NOW() - TIME(5,30,0) + (VLOOKUP(MasterTable[[#This Row],[TimeZone]], $O$3:$P$8, 2, FALSE) / 24)</f>
        <v>45990.573544791667</v>
      </c>
      <c r="I2030" s="1" t="s">
        <v>1944</v>
      </c>
      <c r="J2030" s="1">
        <v>799.76</v>
      </c>
    </row>
    <row r="2031" spans="1:10" x14ac:dyDescent="0.25">
      <c r="A2031" s="1" t="s">
        <v>18</v>
      </c>
      <c r="B2031" s="1" t="s">
        <v>19</v>
      </c>
      <c r="C2031" s="1" t="s">
        <v>856</v>
      </c>
      <c r="D2031" s="1">
        <v>42.170299999999997</v>
      </c>
      <c r="E2031" s="1">
        <v>-76.306299999999993</v>
      </c>
      <c r="F2031" s="1" t="s">
        <v>1925</v>
      </c>
      <c r="G2031" s="22">
        <v>2009.3528282259217</v>
      </c>
      <c r="H2031" s="20">
        <f ca="1">NOW() - TIME(5,30,0) + (VLOOKUP(MasterTable[[#This Row],[TimeZone]], $O$3:$P$8, 2, FALSE) / 24)</f>
        <v>45990.573544791667</v>
      </c>
      <c r="I2031" s="1" t="s">
        <v>1944</v>
      </c>
      <c r="J2031" s="1">
        <v>522.91</v>
      </c>
    </row>
    <row r="2032" spans="1:10" x14ac:dyDescent="0.25">
      <c r="A2032" s="1" t="s">
        <v>18</v>
      </c>
      <c r="B2032" s="1" t="s">
        <v>19</v>
      </c>
      <c r="C2032" s="1" t="s">
        <v>289</v>
      </c>
      <c r="D2032" s="1">
        <v>42.276499999999999</v>
      </c>
      <c r="E2032" s="1">
        <v>-74.122699999999995</v>
      </c>
      <c r="F2032" s="1" t="s">
        <v>1925</v>
      </c>
      <c r="G2032" s="22">
        <v>2121.0562685176974</v>
      </c>
      <c r="H2032" s="20">
        <f ca="1">NOW() - TIME(5,30,0) + (VLOOKUP(MasterTable[[#This Row],[TimeZone]], $O$3:$P$8, 2, FALSE) / 24)</f>
        <v>45990.573544791667</v>
      </c>
      <c r="I2032" s="1" t="s">
        <v>1944</v>
      </c>
      <c r="J2032" s="1">
        <v>659.93</v>
      </c>
    </row>
    <row r="2033" spans="1:10" x14ac:dyDescent="0.25">
      <c r="A2033" s="1" t="s">
        <v>18</v>
      </c>
      <c r="B2033" s="1" t="s">
        <v>19</v>
      </c>
      <c r="C2033" s="1" t="s">
        <v>50</v>
      </c>
      <c r="D2033" s="1">
        <v>44.5929</v>
      </c>
      <c r="E2033" s="1">
        <v>-74.303799999999995</v>
      </c>
      <c r="F2033" s="1" t="s">
        <v>1925</v>
      </c>
      <c r="G2033" s="22">
        <v>2136.796022654627</v>
      </c>
      <c r="H2033" s="20">
        <f ca="1">NOW() - TIME(5,30,0) + (VLOOKUP(MasterTable[[#This Row],[TimeZone]], $O$3:$P$8, 2, FALSE) / 24)</f>
        <v>45990.573544791667</v>
      </c>
      <c r="I2033" s="1" t="s">
        <v>1944</v>
      </c>
      <c r="J2033" s="1">
        <v>646.51</v>
      </c>
    </row>
    <row r="2034" spans="1:10" x14ac:dyDescent="0.25">
      <c r="A2034" s="1" t="s">
        <v>18</v>
      </c>
      <c r="B2034" s="1" t="s">
        <v>19</v>
      </c>
      <c r="C2034" s="1" t="s">
        <v>723</v>
      </c>
      <c r="D2034" s="1">
        <v>42.257399999999997</v>
      </c>
      <c r="E2034" s="1">
        <v>-78.027600000000007</v>
      </c>
      <c r="F2034" s="1" t="s">
        <v>1925</v>
      </c>
      <c r="G2034" s="22">
        <v>1923.4260282863406</v>
      </c>
      <c r="H2034" s="20">
        <f ca="1">NOW() - TIME(5,30,0) + (VLOOKUP(MasterTable[[#This Row],[TimeZone]], $O$3:$P$8, 2, FALSE) / 24)</f>
        <v>45990.573544791667</v>
      </c>
      <c r="I2034" s="1" t="s">
        <v>1944</v>
      </c>
      <c r="J2034" s="1">
        <v>429.82</v>
      </c>
    </row>
    <row r="2035" spans="1:10" x14ac:dyDescent="0.25">
      <c r="A2035" s="1" t="s">
        <v>18</v>
      </c>
      <c r="B2035" s="1" t="s">
        <v>19</v>
      </c>
      <c r="C2035" s="1" t="s">
        <v>871</v>
      </c>
      <c r="D2035" s="1">
        <v>42.493499999999997</v>
      </c>
      <c r="E2035" s="1">
        <v>-75.611599999999996</v>
      </c>
      <c r="F2035" s="1" t="s">
        <v>1925</v>
      </c>
      <c r="G2035" s="22">
        <v>2047.7576121221584</v>
      </c>
      <c r="H2035" s="20">
        <f ca="1">NOW() - TIME(5,30,0) + (VLOOKUP(MasterTable[[#This Row],[TimeZone]], $O$3:$P$8, 2, FALSE) / 24)</f>
        <v>45990.573544791667</v>
      </c>
      <c r="I2035" s="1" t="s">
        <v>1944</v>
      </c>
      <c r="J2035" s="1">
        <v>898.7</v>
      </c>
    </row>
    <row r="2036" spans="1:10" x14ac:dyDescent="0.25">
      <c r="A2036" s="1" t="s">
        <v>18</v>
      </c>
      <c r="B2036" s="1" t="s">
        <v>19</v>
      </c>
      <c r="C2036" s="1" t="s">
        <v>873</v>
      </c>
      <c r="D2036" s="1">
        <v>42.594999999999999</v>
      </c>
      <c r="E2036" s="1">
        <v>-76.070300000000003</v>
      </c>
      <c r="F2036" s="1" t="s">
        <v>1925</v>
      </c>
      <c r="G2036" s="22">
        <v>2025.7534774974706</v>
      </c>
      <c r="H2036" s="20">
        <f ca="1">NOW() - TIME(5,30,0) + (VLOOKUP(MasterTable[[#This Row],[TimeZone]], $O$3:$P$8, 2, FALSE) / 24)</f>
        <v>45990.573544791667</v>
      </c>
      <c r="I2036" s="1" t="s">
        <v>1944</v>
      </c>
      <c r="J2036" s="1">
        <v>501.52</v>
      </c>
    </row>
    <row r="2037" spans="1:10" x14ac:dyDescent="0.25">
      <c r="A2037" s="1" t="s">
        <v>18</v>
      </c>
      <c r="B2037" s="1" t="s">
        <v>19</v>
      </c>
      <c r="C2037" s="1" t="s">
        <v>174</v>
      </c>
      <c r="D2037" s="1">
        <v>42.198099999999997</v>
      </c>
      <c r="E2037" s="1">
        <v>-74.966499999999996</v>
      </c>
      <c r="F2037" s="1" t="s">
        <v>1925</v>
      </c>
      <c r="G2037" s="22">
        <v>2077.5510951880869</v>
      </c>
      <c r="H2037" s="20">
        <f ca="1">NOW() - TIME(5,30,0) + (VLOOKUP(MasterTable[[#This Row],[TimeZone]], $O$3:$P$8, 2, FALSE) / 24)</f>
        <v>45990.573544791667</v>
      </c>
      <c r="I2037" s="1" t="s">
        <v>1944</v>
      </c>
      <c r="J2037" s="1">
        <v>395.92</v>
      </c>
    </row>
    <row r="2038" spans="1:10" x14ac:dyDescent="0.25">
      <c r="A2038" s="1" t="s">
        <v>18</v>
      </c>
      <c r="B2038" s="1" t="s">
        <v>19</v>
      </c>
      <c r="C2038" s="1" t="s">
        <v>589</v>
      </c>
      <c r="D2038" s="1">
        <v>42.702399999999997</v>
      </c>
      <c r="E2038" s="1">
        <v>-78.224400000000003</v>
      </c>
      <c r="F2038" s="1" t="s">
        <v>1925</v>
      </c>
      <c r="G2038" s="22">
        <v>1919.3074990894372</v>
      </c>
      <c r="H2038" s="20">
        <f ca="1">NOW() - TIME(5,30,0) + (VLOOKUP(MasterTable[[#This Row],[TimeZone]], $O$3:$P$8, 2, FALSE) / 24)</f>
        <v>45990.573544791667</v>
      </c>
      <c r="I2038" s="1" t="s">
        <v>1944</v>
      </c>
      <c r="J2038" s="1">
        <v>596.44000000000005</v>
      </c>
    </row>
    <row r="2039" spans="1:10" x14ac:dyDescent="0.25">
      <c r="A2039" s="1" t="s">
        <v>18</v>
      </c>
      <c r="B2039" s="1" t="s">
        <v>19</v>
      </c>
      <c r="C2039" s="1" t="s">
        <v>253</v>
      </c>
      <c r="D2039" s="1">
        <v>43.252099999999999</v>
      </c>
      <c r="E2039" s="1">
        <v>-78.231200000000001</v>
      </c>
      <c r="F2039" s="1" t="s">
        <v>1925</v>
      </c>
      <c r="G2039" s="22">
        <v>1926.7181660673757</v>
      </c>
      <c r="H2039" s="20">
        <f ca="1">NOW() - TIME(5,30,0) + (VLOOKUP(MasterTable[[#This Row],[TimeZone]], $O$3:$P$8, 2, FALSE) / 24)</f>
        <v>45990.573544791667</v>
      </c>
      <c r="I2039" s="1" t="s">
        <v>1944</v>
      </c>
      <c r="J2039" s="1">
        <v>350.21</v>
      </c>
    </row>
    <row r="2040" spans="1:10" x14ac:dyDescent="0.25">
      <c r="A2040" s="1" t="s">
        <v>18</v>
      </c>
      <c r="B2040" s="1" t="s">
        <v>19</v>
      </c>
      <c r="C2040" s="1" t="s">
        <v>116</v>
      </c>
      <c r="D2040" s="1">
        <v>44.117199999999997</v>
      </c>
      <c r="E2040" s="1">
        <v>-73.772599999999997</v>
      </c>
      <c r="F2040" s="1" t="s">
        <v>1925</v>
      </c>
      <c r="G2040" s="22">
        <v>2156.7746672276744</v>
      </c>
      <c r="H2040" s="20">
        <f ca="1">NOW() - TIME(5,30,0) + (VLOOKUP(MasterTable[[#This Row],[TimeZone]], $O$3:$P$8, 2, FALSE) / 24)</f>
        <v>45990.573544791667</v>
      </c>
      <c r="I2040" s="1" t="s">
        <v>1944</v>
      </c>
      <c r="J2040" s="1">
        <v>828.53</v>
      </c>
    </row>
    <row r="2041" spans="1:10" x14ac:dyDescent="0.25">
      <c r="A2041" s="1" t="s">
        <v>18</v>
      </c>
      <c r="B2041" s="1" t="s">
        <v>19</v>
      </c>
      <c r="C2041" s="1" t="s">
        <v>812</v>
      </c>
      <c r="D2041" s="1">
        <v>42.780999999999999</v>
      </c>
      <c r="E2041" s="1">
        <v>-76.823800000000006</v>
      </c>
      <c r="F2041" s="1" t="s">
        <v>1925</v>
      </c>
      <c r="G2041" s="22">
        <v>1990.1586207682699</v>
      </c>
      <c r="H2041" s="20">
        <f ca="1">NOW() - TIME(5,30,0) + (VLOOKUP(MasterTable[[#This Row],[TimeZone]], $O$3:$P$8, 2, FALSE) / 24)</f>
        <v>45990.573544791667</v>
      </c>
      <c r="I2041" s="1" t="s">
        <v>1944</v>
      </c>
      <c r="J2041" s="1">
        <v>390.51</v>
      </c>
    </row>
    <row r="2042" spans="1:10" x14ac:dyDescent="0.25">
      <c r="A2042" s="1" t="s">
        <v>18</v>
      </c>
      <c r="B2042" s="1" t="s">
        <v>19</v>
      </c>
      <c r="C2042" s="1" t="s">
        <v>1079</v>
      </c>
      <c r="D2042" s="1">
        <v>42.588200000000001</v>
      </c>
      <c r="E2042" s="1">
        <v>-74.442099999999996</v>
      </c>
      <c r="F2042" s="1" t="s">
        <v>1925</v>
      </c>
      <c r="G2042" s="22">
        <v>2107.6256463012755</v>
      </c>
      <c r="H2042" s="20">
        <f ca="1">NOW() - TIME(5,30,0) + (VLOOKUP(MasterTable[[#This Row],[TimeZone]], $O$3:$P$8, 2, FALSE) / 24)</f>
        <v>45990.573544791667</v>
      </c>
      <c r="I2042" s="1" t="s">
        <v>1944</v>
      </c>
      <c r="J2042" s="1">
        <v>626.36</v>
      </c>
    </row>
    <row r="2043" spans="1:10" x14ac:dyDescent="0.25">
      <c r="A2043" s="1" t="s">
        <v>18</v>
      </c>
      <c r="B2043" s="1" t="s">
        <v>19</v>
      </c>
      <c r="C2043" s="1" t="s">
        <v>649</v>
      </c>
      <c r="D2043" s="1">
        <v>43.784999999999997</v>
      </c>
      <c r="E2043" s="1">
        <v>-75.448700000000002</v>
      </c>
      <c r="F2043" s="1" t="s">
        <v>1925</v>
      </c>
      <c r="G2043" s="22">
        <v>2070.6639607253865</v>
      </c>
      <c r="H2043" s="20">
        <f ca="1">NOW() - TIME(5,30,0) + (VLOOKUP(MasterTable[[#This Row],[TimeZone]], $O$3:$P$8, 2, FALSE) / 24)</f>
        <v>45990.573544791667</v>
      </c>
      <c r="I2043" s="1" t="s">
        <v>1944</v>
      </c>
      <c r="J2043" s="1">
        <v>479.81</v>
      </c>
    </row>
    <row r="2044" spans="1:10" x14ac:dyDescent="0.25">
      <c r="A2044" s="1" t="s">
        <v>18</v>
      </c>
      <c r="B2044" s="1" t="s">
        <v>19</v>
      </c>
      <c r="C2044" s="1" t="s">
        <v>1181</v>
      </c>
      <c r="D2044" s="1">
        <v>42.633499999999998</v>
      </c>
      <c r="E2044" s="1">
        <v>-77.105500000000006</v>
      </c>
      <c r="F2044" s="1" t="s">
        <v>1925</v>
      </c>
      <c r="G2044" s="22">
        <v>1974.290925134404</v>
      </c>
      <c r="H2044" s="20">
        <f ca="1">NOW() - TIME(5,30,0) + (VLOOKUP(MasterTable[[#This Row],[TimeZone]], $O$3:$P$8, 2, FALSE) / 24)</f>
        <v>45990.573544791667</v>
      </c>
      <c r="I2044" s="1" t="s">
        <v>1944</v>
      </c>
      <c r="J2044" s="1">
        <v>375.76</v>
      </c>
    </row>
    <row r="2045" spans="1:10" x14ac:dyDescent="0.25">
      <c r="A2045" s="1" t="s">
        <v>18</v>
      </c>
      <c r="B2045" s="1" t="s">
        <v>19</v>
      </c>
      <c r="C2045" s="1" t="s">
        <v>1330</v>
      </c>
      <c r="D2045" s="1">
        <v>42.393799999999999</v>
      </c>
      <c r="E2045" s="1">
        <v>-76.875200000000007</v>
      </c>
      <c r="F2045" s="1" t="s">
        <v>1925</v>
      </c>
      <c r="G2045" s="22">
        <v>1983.0415442585472</v>
      </c>
      <c r="H2045" s="20">
        <f ca="1">NOW() - TIME(5,30,0) + (VLOOKUP(MasterTable[[#This Row],[TimeZone]], $O$3:$P$8, 2, FALSE) / 24)</f>
        <v>45990.573544791667</v>
      </c>
      <c r="I2045" s="1" t="s">
        <v>1944</v>
      </c>
      <c r="J2045" s="1">
        <v>441.39</v>
      </c>
    </row>
    <row r="2046" spans="1:10" x14ac:dyDescent="0.25">
      <c r="A2046" s="1" t="s">
        <v>18</v>
      </c>
      <c r="B2046" s="1" t="s">
        <v>19</v>
      </c>
      <c r="C2046" s="1" t="s">
        <v>121</v>
      </c>
      <c r="D2046" s="1">
        <v>43.661099999999998</v>
      </c>
      <c r="E2046" s="1">
        <v>-74.497399999999999</v>
      </c>
      <c r="F2046" s="1" t="s">
        <v>1925</v>
      </c>
      <c r="G2046" s="22">
        <v>2115.9452533937733</v>
      </c>
      <c r="H2046" s="20">
        <f ca="1">NOW() - TIME(5,30,0) + (VLOOKUP(MasterTable[[#This Row],[TimeZone]], $O$3:$P$8, 2, FALSE) / 24)</f>
        <v>45990.573544791667</v>
      </c>
      <c r="I2046" s="1" t="s">
        <v>1944</v>
      </c>
      <c r="J2046" s="1">
        <v>519.30999999999995</v>
      </c>
    </row>
    <row r="2047" spans="1:10" x14ac:dyDescent="0.25">
      <c r="A2047" s="1" t="s">
        <v>51</v>
      </c>
      <c r="B2047" s="1" t="s">
        <v>52</v>
      </c>
      <c r="C2047" s="1" t="s">
        <v>50</v>
      </c>
      <c r="D2047" s="1">
        <v>39.969499999999996</v>
      </c>
      <c r="E2047" s="1">
        <v>-83.009299999999996</v>
      </c>
      <c r="F2047" s="1" t="s">
        <v>1925</v>
      </c>
      <c r="G2047" s="22">
        <v>1640.0134755148283</v>
      </c>
      <c r="H2047" s="20">
        <f ca="1">NOW() - TIME(5,30,0) + (VLOOKUP(MasterTable[[#This Row],[TimeZone]], $O$3:$P$8, 2, FALSE) / 24)</f>
        <v>45990.573544791667</v>
      </c>
      <c r="I2047" s="1" t="s">
        <v>1944</v>
      </c>
      <c r="J2047" s="1">
        <v>646.51</v>
      </c>
    </row>
    <row r="2048" spans="1:10" x14ac:dyDescent="0.25">
      <c r="A2048" s="1" t="s">
        <v>51</v>
      </c>
      <c r="B2048" s="1" t="s">
        <v>52</v>
      </c>
      <c r="C2048" s="1" t="s">
        <v>58</v>
      </c>
      <c r="D2048" s="1">
        <v>41.424300000000002</v>
      </c>
      <c r="E2048" s="1">
        <v>-81.658600000000007</v>
      </c>
      <c r="F2048" s="1" t="s">
        <v>1925</v>
      </c>
      <c r="G2048" s="22">
        <v>1728.9173664824909</v>
      </c>
      <c r="H2048" s="20">
        <f ca="1">NOW() - TIME(5,30,0) + (VLOOKUP(MasterTable[[#This Row],[TimeZone]], $O$3:$P$8, 2, FALSE) / 24)</f>
        <v>45990.573544791667</v>
      </c>
      <c r="I2048" s="1" t="s">
        <v>1944</v>
      </c>
      <c r="J2048" s="1">
        <v>1245.56</v>
      </c>
    </row>
    <row r="2049" spans="1:10" x14ac:dyDescent="0.25">
      <c r="A2049" s="1" t="s">
        <v>51</v>
      </c>
      <c r="B2049" s="1" t="s">
        <v>52</v>
      </c>
      <c r="C2049" s="1" t="s">
        <v>121</v>
      </c>
      <c r="D2049" s="1">
        <v>39.195500000000003</v>
      </c>
      <c r="E2049" s="1">
        <v>-84.5428</v>
      </c>
      <c r="F2049" s="1" t="s">
        <v>1925</v>
      </c>
      <c r="G2049" s="22">
        <v>1550.2432656922431</v>
      </c>
      <c r="H2049" s="20">
        <f ca="1">NOW() - TIME(5,30,0) + (VLOOKUP(MasterTable[[#This Row],[TimeZone]], $O$3:$P$8, 2, FALSE) / 24)</f>
        <v>45990.573544791667</v>
      </c>
      <c r="I2049" s="1" t="s">
        <v>1944</v>
      </c>
      <c r="J2049" s="1">
        <v>519.30999999999995</v>
      </c>
    </row>
    <row r="2050" spans="1:10" x14ac:dyDescent="0.25">
      <c r="A2050" s="1" t="s">
        <v>51</v>
      </c>
      <c r="B2050" s="1" t="s">
        <v>52</v>
      </c>
      <c r="C2050" s="1" t="s">
        <v>187</v>
      </c>
      <c r="D2050" s="1">
        <v>41.125999999999998</v>
      </c>
      <c r="E2050" s="1">
        <v>-81.532200000000003</v>
      </c>
      <c r="F2050" s="1" t="s">
        <v>1925</v>
      </c>
      <c r="G2050" s="22">
        <v>1731.1655628438871</v>
      </c>
      <c r="H2050" s="20">
        <f ca="1">NOW() - TIME(5,30,0) + (VLOOKUP(MasterTable[[#This Row],[TimeZone]], $O$3:$P$8, 2, FALSE) / 24)</f>
        <v>45990.573544791667</v>
      </c>
      <c r="I2050" s="1" t="s">
        <v>1944</v>
      </c>
      <c r="J2050" s="1">
        <v>619.25</v>
      </c>
    </row>
    <row r="2051" spans="1:10" x14ac:dyDescent="0.25">
      <c r="A2051" s="1" t="s">
        <v>51</v>
      </c>
      <c r="B2051" s="1" t="s">
        <v>52</v>
      </c>
      <c r="C2051" s="1" t="s">
        <v>75</v>
      </c>
      <c r="D2051" s="1">
        <v>39.7547</v>
      </c>
      <c r="E2051" s="1">
        <v>-84.290700000000001</v>
      </c>
      <c r="F2051" s="1" t="s">
        <v>1925</v>
      </c>
      <c r="G2051" s="22">
        <v>1570.4793960660991</v>
      </c>
      <c r="H2051" s="20">
        <f ca="1">NOW() - TIME(5,30,0) + (VLOOKUP(MasterTable[[#This Row],[TimeZone]], $O$3:$P$8, 2, FALSE) / 24)</f>
        <v>45990.573544791667</v>
      </c>
      <c r="I2051" s="1" t="s">
        <v>1944</v>
      </c>
      <c r="J2051" s="1">
        <v>799.76</v>
      </c>
    </row>
    <row r="2052" spans="1:10" x14ac:dyDescent="0.25">
      <c r="A2052" s="1" t="s">
        <v>51</v>
      </c>
      <c r="B2052" s="1" t="s">
        <v>52</v>
      </c>
      <c r="C2052" s="1" t="s">
        <v>226</v>
      </c>
      <c r="D2052" s="1">
        <v>41.619700000000002</v>
      </c>
      <c r="E2052" s="1">
        <v>-83.658900000000003</v>
      </c>
      <c r="F2052" s="1" t="s">
        <v>1925</v>
      </c>
      <c r="G2052" s="22">
        <v>1631.3315111428305</v>
      </c>
      <c r="H2052" s="20">
        <f ca="1">NOW() - TIME(5,30,0) + (VLOOKUP(MasterTable[[#This Row],[TimeZone]], $O$3:$P$8, 2, FALSE) / 24)</f>
        <v>45990.573544791667</v>
      </c>
      <c r="I2052" s="1" t="s">
        <v>1944</v>
      </c>
      <c r="J2052" s="1">
        <v>434.17</v>
      </c>
    </row>
    <row r="2053" spans="1:10" x14ac:dyDescent="0.25">
      <c r="A2053" s="1" t="s">
        <v>51</v>
      </c>
      <c r="B2053" s="1" t="s">
        <v>52</v>
      </c>
      <c r="C2053" s="1" t="s">
        <v>245</v>
      </c>
      <c r="D2053" s="1">
        <v>39.438600000000001</v>
      </c>
      <c r="E2053" s="1">
        <v>-84.575599999999994</v>
      </c>
      <c r="F2053" s="1" t="s">
        <v>1925</v>
      </c>
      <c r="G2053" s="22">
        <v>1551.498745670596</v>
      </c>
      <c r="H2053" s="20">
        <f ca="1">NOW() - TIME(5,30,0) + (VLOOKUP(MasterTable[[#This Row],[TimeZone]], $O$3:$P$8, 2, FALSE) / 24)</f>
        <v>45990.573544791667</v>
      </c>
      <c r="I2053" s="1" t="s">
        <v>1944</v>
      </c>
      <c r="J2053" s="1">
        <v>777.92</v>
      </c>
    </row>
    <row r="2054" spans="1:10" x14ac:dyDescent="0.25">
      <c r="A2054" s="1" t="s">
        <v>51</v>
      </c>
      <c r="B2054" s="1" t="s">
        <v>52</v>
      </c>
      <c r="C2054" s="1" t="s">
        <v>255</v>
      </c>
      <c r="D2054" s="1">
        <v>40.813899999999997</v>
      </c>
      <c r="E2054" s="1">
        <v>-81.365600000000001</v>
      </c>
      <c r="F2054" s="1" t="s">
        <v>1925</v>
      </c>
      <c r="G2054" s="22">
        <v>1735.6162077648507</v>
      </c>
      <c r="H2054" s="20">
        <f ca="1">NOW() - TIME(5,30,0) + (VLOOKUP(MasterTable[[#This Row],[TimeZone]], $O$3:$P$8, 2, FALSE) / 24)</f>
        <v>45990.573544791667</v>
      </c>
      <c r="I2054" s="1" t="s">
        <v>1944</v>
      </c>
      <c r="J2054" s="1">
        <v>288.20999999999998</v>
      </c>
    </row>
    <row r="2055" spans="1:10" x14ac:dyDescent="0.25">
      <c r="A2055" s="1" t="s">
        <v>51</v>
      </c>
      <c r="B2055" s="1" t="s">
        <v>52</v>
      </c>
      <c r="C2055" s="1" t="s">
        <v>284</v>
      </c>
      <c r="D2055" s="1">
        <v>41.2956</v>
      </c>
      <c r="E2055" s="1">
        <v>-82.150999999999996</v>
      </c>
      <c r="F2055" s="1" t="s">
        <v>1925</v>
      </c>
      <c r="G2055" s="22">
        <v>1702.0784698328841</v>
      </c>
      <c r="H2055" s="20">
        <f ca="1">NOW() - TIME(5,30,0) + (VLOOKUP(MasterTable[[#This Row],[TimeZone]], $O$3:$P$8, 2, FALSE) / 24)</f>
        <v>45990.573544791667</v>
      </c>
      <c r="I2055" s="1" t="s">
        <v>1944</v>
      </c>
      <c r="J2055" s="1">
        <v>923.02</v>
      </c>
    </row>
    <row r="2056" spans="1:10" x14ac:dyDescent="0.25">
      <c r="A2056" s="1" t="s">
        <v>51</v>
      </c>
      <c r="B2056" s="1" t="s">
        <v>52</v>
      </c>
      <c r="C2056" s="1" t="s">
        <v>331</v>
      </c>
      <c r="D2056" s="1">
        <v>39.427700000000002</v>
      </c>
      <c r="E2056" s="1">
        <v>-84.166799999999995</v>
      </c>
      <c r="F2056" s="1" t="s">
        <v>1925</v>
      </c>
      <c r="G2056" s="22">
        <v>1572.8282148989829</v>
      </c>
      <c r="H2056" s="20">
        <f ca="1">NOW() - TIME(5,30,0) + (VLOOKUP(MasterTable[[#This Row],[TimeZone]], $O$3:$P$8, 2, FALSE) / 24)</f>
        <v>45990.573544791667</v>
      </c>
      <c r="I2056" s="1" t="s">
        <v>1944</v>
      </c>
      <c r="J2056" s="1">
        <v>286.74</v>
      </c>
    </row>
    <row r="2057" spans="1:10" x14ac:dyDescent="0.25">
      <c r="A2057" s="1" t="s">
        <v>51</v>
      </c>
      <c r="B2057" s="1" t="s">
        <v>52</v>
      </c>
      <c r="C2057" s="1" t="s">
        <v>142</v>
      </c>
      <c r="D2057" s="1">
        <v>41.696300000000001</v>
      </c>
      <c r="E2057" s="1">
        <v>-81.237200000000001</v>
      </c>
      <c r="F2057" s="1" t="s">
        <v>1925</v>
      </c>
      <c r="G2057" s="22">
        <v>1754.1718938382783</v>
      </c>
      <c r="H2057" s="20">
        <f ca="1">NOW() - TIME(5,30,0) + (VLOOKUP(MasterTable[[#This Row],[TimeZone]], $O$3:$P$8, 2, FALSE) / 24)</f>
        <v>45990.573544791667</v>
      </c>
      <c r="I2057" s="1" t="s">
        <v>1944</v>
      </c>
      <c r="J2057" s="1">
        <v>1329.48</v>
      </c>
    </row>
    <row r="2058" spans="1:10" x14ac:dyDescent="0.25">
      <c r="A2058" s="1" t="s">
        <v>51</v>
      </c>
      <c r="B2058" s="1" t="s">
        <v>52</v>
      </c>
      <c r="C2058" s="1" t="s">
        <v>351</v>
      </c>
      <c r="D2058" s="1">
        <v>41.014600000000002</v>
      </c>
      <c r="E2058" s="1">
        <v>-80.776300000000006</v>
      </c>
      <c r="F2058" s="1" t="s">
        <v>1925</v>
      </c>
      <c r="G2058" s="22">
        <v>1768.3908067658908</v>
      </c>
      <c r="H2058" s="20">
        <f ca="1">NOW() - TIME(5,30,0) + (VLOOKUP(MasterTable[[#This Row],[TimeZone]], $O$3:$P$8, 2, FALSE) / 24)</f>
        <v>45990.573544791667</v>
      </c>
      <c r="I2058" s="1" t="s">
        <v>1944</v>
      </c>
      <c r="J2058" s="1">
        <v>423.38</v>
      </c>
    </row>
    <row r="2059" spans="1:10" x14ac:dyDescent="0.25">
      <c r="A2059" s="1" t="s">
        <v>51</v>
      </c>
      <c r="B2059" s="1" t="s">
        <v>52</v>
      </c>
      <c r="C2059" s="1" t="s">
        <v>174</v>
      </c>
      <c r="D2059" s="1">
        <v>40.278399999999998</v>
      </c>
      <c r="E2059" s="1">
        <v>-83.004900000000006</v>
      </c>
      <c r="F2059" s="1" t="s">
        <v>1925</v>
      </c>
      <c r="G2059" s="22">
        <v>1644.1628666007703</v>
      </c>
      <c r="H2059" s="20">
        <f ca="1">NOW() - TIME(5,30,0) + (VLOOKUP(MasterTable[[#This Row],[TimeZone]], $O$3:$P$8, 2, FALSE) / 24)</f>
        <v>45990.573544791667</v>
      </c>
      <c r="I2059" s="1" t="s">
        <v>1944</v>
      </c>
      <c r="J2059" s="1">
        <v>395.92</v>
      </c>
    </row>
    <row r="2060" spans="1:10" x14ac:dyDescent="0.25">
      <c r="A2060" s="1" t="s">
        <v>51</v>
      </c>
      <c r="B2060" s="1" t="s">
        <v>52</v>
      </c>
      <c r="C2060" s="1" t="s">
        <v>362</v>
      </c>
      <c r="D2060" s="1">
        <v>39.047600000000003</v>
      </c>
      <c r="E2060" s="1">
        <v>-84.151700000000005</v>
      </c>
      <c r="F2060" s="1" t="s">
        <v>1925</v>
      </c>
      <c r="G2060" s="22">
        <v>1569.2211314432532</v>
      </c>
      <c r="H2060" s="20">
        <f ca="1">NOW() - TIME(5,30,0) + (VLOOKUP(MasterTable[[#This Row],[TimeZone]], $O$3:$P$8, 2, FALSE) / 24)</f>
        <v>45990.573544791667</v>
      </c>
      <c r="I2060" s="1" t="s">
        <v>1944</v>
      </c>
      <c r="J2060" s="1">
        <v>457.67</v>
      </c>
    </row>
    <row r="2061" spans="1:10" x14ac:dyDescent="0.25">
      <c r="A2061" s="1" t="s">
        <v>51</v>
      </c>
      <c r="B2061" s="1" t="s">
        <v>52</v>
      </c>
      <c r="C2061" s="1" t="s">
        <v>376</v>
      </c>
      <c r="D2061" s="1">
        <v>41.317</v>
      </c>
      <c r="E2061" s="1">
        <v>-80.761300000000006</v>
      </c>
      <c r="F2061" s="1" t="s">
        <v>1925</v>
      </c>
      <c r="G2061" s="22">
        <v>1773.0272315300806</v>
      </c>
      <c r="H2061" s="20">
        <f ca="1">NOW() - TIME(5,30,0) + (VLOOKUP(MasterTable[[#This Row],[TimeZone]], $O$3:$P$8, 2, FALSE) / 24)</f>
        <v>45990.573544791667</v>
      </c>
      <c r="I2061" s="1" t="s">
        <v>1944</v>
      </c>
      <c r="J2061" s="1">
        <v>634.72</v>
      </c>
    </row>
    <row r="2062" spans="1:10" x14ac:dyDescent="0.25">
      <c r="A2062" s="1" t="s">
        <v>51</v>
      </c>
      <c r="B2062" s="1" t="s">
        <v>52</v>
      </c>
      <c r="C2062" s="1" t="s">
        <v>400</v>
      </c>
      <c r="D2062" s="1">
        <v>41.117600000000003</v>
      </c>
      <c r="E2062" s="1">
        <v>-81.899699999999996</v>
      </c>
      <c r="F2062" s="1" t="s">
        <v>1925</v>
      </c>
      <c r="G2062" s="22">
        <v>1712.3044623954304</v>
      </c>
      <c r="H2062" s="20">
        <f ca="1">NOW() - TIME(5,30,0) + (VLOOKUP(MasterTable[[#This Row],[TimeZone]], $O$3:$P$8, 2, FALSE) / 24)</f>
        <v>45990.573544791667</v>
      </c>
      <c r="I2062" s="1" t="s">
        <v>1944</v>
      </c>
      <c r="J2062" s="1">
        <v>423.11</v>
      </c>
    </row>
    <row r="2063" spans="1:10" x14ac:dyDescent="0.25">
      <c r="A2063" s="1" t="s">
        <v>51</v>
      </c>
      <c r="B2063" s="1" t="s">
        <v>52</v>
      </c>
      <c r="C2063" s="1" t="s">
        <v>404</v>
      </c>
      <c r="D2063" s="1">
        <v>40.0916</v>
      </c>
      <c r="E2063" s="1">
        <v>-82.483099999999993</v>
      </c>
      <c r="F2063" s="1" t="s">
        <v>1925</v>
      </c>
      <c r="G2063" s="22">
        <v>1668.9035079980119</v>
      </c>
      <c r="H2063" s="20">
        <f ca="1">NOW() - TIME(5,30,0) + (VLOOKUP(MasterTable[[#This Row],[TimeZone]], $O$3:$P$8, 2, FALSE) / 24)</f>
        <v>45990.573544791667</v>
      </c>
      <c r="I2063" s="1" t="s">
        <v>1944</v>
      </c>
      <c r="J2063" s="1">
        <v>688.38</v>
      </c>
    </row>
    <row r="2064" spans="1:10" x14ac:dyDescent="0.25">
      <c r="A2064" s="1" t="s">
        <v>51</v>
      </c>
      <c r="B2064" s="1" t="s">
        <v>52</v>
      </c>
      <c r="C2064" s="1" t="s">
        <v>289</v>
      </c>
      <c r="D2064" s="1">
        <v>39.691499999999998</v>
      </c>
      <c r="E2064" s="1">
        <v>-83.889899999999997</v>
      </c>
      <c r="F2064" s="1" t="s">
        <v>1925</v>
      </c>
      <c r="G2064" s="22">
        <v>1590.5956450446452</v>
      </c>
      <c r="H2064" s="20">
        <f ca="1">NOW() - TIME(5,30,0) + (VLOOKUP(MasterTable[[#This Row],[TimeZone]], $O$3:$P$8, 2, FALSE) / 24)</f>
        <v>45990.573544791667</v>
      </c>
      <c r="I2064" s="1" t="s">
        <v>1944</v>
      </c>
      <c r="J2064" s="1">
        <v>659.93</v>
      </c>
    </row>
    <row r="2065" spans="1:10" x14ac:dyDescent="0.25">
      <c r="A2065" s="1" t="s">
        <v>51</v>
      </c>
      <c r="B2065" s="1" t="s">
        <v>52</v>
      </c>
      <c r="C2065" s="1" t="s">
        <v>448</v>
      </c>
      <c r="D2065" s="1">
        <v>41.167700000000004</v>
      </c>
      <c r="E2065" s="1">
        <v>-81.197400000000002</v>
      </c>
      <c r="F2065" s="1" t="s">
        <v>1925</v>
      </c>
      <c r="G2065" s="22">
        <v>1748.8137888501578</v>
      </c>
      <c r="H2065" s="20">
        <f ca="1">NOW() - TIME(5,30,0) + (VLOOKUP(MasterTable[[#This Row],[TimeZone]], $O$3:$P$8, 2, FALSE) / 24)</f>
        <v>45990.573544791667</v>
      </c>
      <c r="I2065" s="1" t="s">
        <v>1944</v>
      </c>
      <c r="J2065" s="1">
        <v>507.11</v>
      </c>
    </row>
    <row r="2066" spans="1:10" x14ac:dyDescent="0.25">
      <c r="A2066" s="1" t="s">
        <v>51</v>
      </c>
      <c r="B2066" s="1" t="s">
        <v>52</v>
      </c>
      <c r="C2066" s="1" t="s">
        <v>449</v>
      </c>
      <c r="D2066" s="1">
        <v>39.751600000000003</v>
      </c>
      <c r="E2066" s="1">
        <v>-82.630600000000001</v>
      </c>
      <c r="F2066" s="1" t="s">
        <v>1925</v>
      </c>
      <c r="G2066" s="22">
        <v>1657.2370260255093</v>
      </c>
      <c r="H2066" s="20">
        <f ca="1">NOW() - TIME(5,30,0) + (VLOOKUP(MasterTable[[#This Row],[TimeZone]], $O$3:$P$8, 2, FALSE) / 24)</f>
        <v>45990.573544791667</v>
      </c>
      <c r="I2066" s="1" t="s">
        <v>1944</v>
      </c>
      <c r="J2066" s="1">
        <v>836.96</v>
      </c>
    </row>
    <row r="2067" spans="1:10" x14ac:dyDescent="0.25">
      <c r="A2067" s="1" t="s">
        <v>51</v>
      </c>
      <c r="B2067" s="1" t="s">
        <v>52</v>
      </c>
      <c r="C2067" s="1" t="s">
        <v>23</v>
      </c>
      <c r="D2067" s="1">
        <v>39.916699999999999</v>
      </c>
      <c r="E2067" s="1">
        <v>-83.784400000000005</v>
      </c>
      <c r="F2067" s="1" t="s">
        <v>1925</v>
      </c>
      <c r="G2067" s="22">
        <v>1598.9785617945206</v>
      </c>
      <c r="H2067" s="20">
        <f ca="1">NOW() - TIME(5,30,0) + (VLOOKUP(MasterTable[[#This Row],[TimeZone]], $O$3:$P$8, 2, FALSE) / 24)</f>
        <v>45990.573544791667</v>
      </c>
      <c r="I2067" s="1" t="s">
        <v>1944</v>
      </c>
      <c r="J2067" s="1">
        <v>882.6</v>
      </c>
    </row>
    <row r="2068" spans="1:10" x14ac:dyDescent="0.25">
      <c r="A2068" s="1" t="s">
        <v>51</v>
      </c>
      <c r="B2068" s="1" t="s">
        <v>52</v>
      </c>
      <c r="C2068" s="1" t="s">
        <v>501</v>
      </c>
      <c r="D2068" s="1">
        <v>41.361699999999999</v>
      </c>
      <c r="E2068" s="1">
        <v>-83.623000000000005</v>
      </c>
      <c r="F2068" s="1" t="s">
        <v>1925</v>
      </c>
      <c r="G2068" s="22">
        <v>1628.735116209067</v>
      </c>
      <c r="H2068" s="20">
        <f ca="1">NOW() - TIME(5,30,0) + (VLOOKUP(MasterTable[[#This Row],[TimeZone]], $O$3:$P$8, 2, FALSE) / 24)</f>
        <v>45990.573544791667</v>
      </c>
      <c r="I2068" s="1" t="s">
        <v>1944</v>
      </c>
      <c r="J2068" s="1">
        <v>620.54</v>
      </c>
    </row>
    <row r="2069" spans="1:10" x14ac:dyDescent="0.25">
      <c r="A2069" s="1" t="s">
        <v>51</v>
      </c>
      <c r="B2069" s="1" t="s">
        <v>52</v>
      </c>
      <c r="C2069" s="1" t="s">
        <v>232</v>
      </c>
      <c r="D2069" s="1">
        <v>40.774700000000003</v>
      </c>
      <c r="E2069" s="1">
        <v>-82.536500000000004</v>
      </c>
      <c r="F2069" s="1" t="s">
        <v>1925</v>
      </c>
      <c r="G2069" s="22">
        <v>1674.979472097275</v>
      </c>
      <c r="H2069" s="20">
        <f ca="1">NOW() - TIME(5,30,0) + (VLOOKUP(MasterTable[[#This Row],[TimeZone]], $O$3:$P$8, 2, FALSE) / 24)</f>
        <v>45990.573544791667</v>
      </c>
      <c r="I2069" s="1" t="s">
        <v>1944</v>
      </c>
      <c r="J2069" s="1">
        <v>362.01</v>
      </c>
    </row>
    <row r="2070" spans="1:10" x14ac:dyDescent="0.25">
      <c r="A2070" s="1" t="s">
        <v>51</v>
      </c>
      <c r="B2070" s="1" t="s">
        <v>52</v>
      </c>
      <c r="C2070" s="1" t="s">
        <v>34</v>
      </c>
      <c r="D2070" s="1">
        <v>40.828899999999997</v>
      </c>
      <c r="E2070" s="1">
        <v>-81.888000000000005</v>
      </c>
      <c r="F2070" s="1" t="s">
        <v>1925</v>
      </c>
      <c r="G2070" s="22">
        <v>1708.9755159630624</v>
      </c>
      <c r="H2070" s="20">
        <f ca="1">NOW() - TIME(5,30,0) + (VLOOKUP(MasterTable[[#This Row],[TimeZone]], $O$3:$P$8, 2, FALSE) / 24)</f>
        <v>45990.573544791667</v>
      </c>
      <c r="I2070" s="1" t="s">
        <v>1944</v>
      </c>
      <c r="J2070" s="1">
        <v>648.79999999999995</v>
      </c>
    </row>
    <row r="2071" spans="1:10" x14ac:dyDescent="0.25">
      <c r="A2071" s="1" t="s">
        <v>51</v>
      </c>
      <c r="B2071" s="1" t="s">
        <v>52</v>
      </c>
      <c r="C2071" s="1" t="s">
        <v>555</v>
      </c>
      <c r="D2071" s="1">
        <v>40.0535</v>
      </c>
      <c r="E2071" s="1">
        <v>-84.228800000000007</v>
      </c>
      <c r="F2071" s="1" t="s">
        <v>1925</v>
      </c>
      <c r="G2071" s="22">
        <v>1577.7466453149573</v>
      </c>
      <c r="H2071" s="20">
        <f ca="1">NOW() - TIME(5,30,0) + (VLOOKUP(MasterTable[[#This Row],[TimeZone]], $O$3:$P$8, 2, FALSE) / 24)</f>
        <v>45990.573544791667</v>
      </c>
      <c r="I2071" s="1" t="s">
        <v>1944</v>
      </c>
      <c r="J2071" s="1">
        <v>377.36</v>
      </c>
    </row>
    <row r="2072" spans="1:10" x14ac:dyDescent="0.25">
      <c r="A2072" s="1" t="s">
        <v>51</v>
      </c>
      <c r="B2072" s="1" t="s">
        <v>52</v>
      </c>
      <c r="C2072" s="1" t="s">
        <v>246</v>
      </c>
      <c r="D2072" s="1">
        <v>40.771500000000003</v>
      </c>
      <c r="E2072" s="1">
        <v>-84.105800000000002</v>
      </c>
      <c r="F2072" s="1" t="s">
        <v>1925</v>
      </c>
      <c r="G2072" s="22">
        <v>1594.717228702388</v>
      </c>
      <c r="H2072" s="20">
        <f ca="1">NOW() - TIME(5,30,0) + (VLOOKUP(MasterTable[[#This Row],[TimeZone]], $O$3:$P$8, 2, FALSE) / 24)</f>
        <v>45990.573544791667</v>
      </c>
      <c r="I2072" s="1" t="s">
        <v>1944</v>
      </c>
      <c r="J2072" s="1">
        <v>660.1</v>
      </c>
    </row>
    <row r="2073" spans="1:10" x14ac:dyDescent="0.25">
      <c r="A2073" s="1" t="s">
        <v>51</v>
      </c>
      <c r="B2073" s="1" t="s">
        <v>52</v>
      </c>
      <c r="C2073" s="1" t="s">
        <v>585</v>
      </c>
      <c r="D2073" s="1">
        <v>40.7684</v>
      </c>
      <c r="E2073" s="1">
        <v>-80.777199999999993</v>
      </c>
      <c r="F2073" s="1" t="s">
        <v>1925</v>
      </c>
      <c r="G2073" s="22">
        <v>1765.3562812344521</v>
      </c>
      <c r="H2073" s="20">
        <f ca="1">NOW() - TIME(5,30,0) + (VLOOKUP(MasterTable[[#This Row],[TimeZone]], $O$3:$P$8, 2, FALSE) / 24)</f>
        <v>45990.573544791667</v>
      </c>
      <c r="I2073" s="1" t="s">
        <v>1944</v>
      </c>
      <c r="J2073" s="1">
        <v>535.17999999999995</v>
      </c>
    </row>
    <row r="2074" spans="1:10" x14ac:dyDescent="0.25">
      <c r="A2074" s="1" t="s">
        <v>51</v>
      </c>
      <c r="B2074" s="1" t="s">
        <v>52</v>
      </c>
      <c r="C2074" s="1" t="s">
        <v>605</v>
      </c>
      <c r="D2074" s="1">
        <v>41.7072</v>
      </c>
      <c r="E2074" s="1">
        <v>-80.748199999999997</v>
      </c>
      <c r="F2074" s="1" t="s">
        <v>1925</v>
      </c>
      <c r="G2074" s="22">
        <v>1779.005419577459</v>
      </c>
      <c r="H2074" s="20">
        <f ca="1">NOW() - TIME(5,30,0) + (VLOOKUP(MasterTable[[#This Row],[TimeZone]], $O$3:$P$8, 2, FALSE) / 24)</f>
        <v>45990.573544791667</v>
      </c>
      <c r="I2074" s="1" t="s">
        <v>1944</v>
      </c>
      <c r="J2074" s="1">
        <v>1368.47</v>
      </c>
    </row>
    <row r="2075" spans="1:10" x14ac:dyDescent="0.25">
      <c r="A2075" s="1" t="s">
        <v>51</v>
      </c>
      <c r="B2075" s="1" t="s">
        <v>52</v>
      </c>
      <c r="C2075" s="1" t="s">
        <v>612</v>
      </c>
      <c r="D2075" s="1">
        <v>41.499600000000001</v>
      </c>
      <c r="E2075" s="1">
        <v>-81.178600000000003</v>
      </c>
      <c r="F2075" s="1" t="s">
        <v>1925</v>
      </c>
      <c r="G2075" s="22">
        <v>1754.3111338690358</v>
      </c>
      <c r="H2075" s="20">
        <f ca="1">NOW() - TIME(5,30,0) + (VLOOKUP(MasterTable[[#This Row],[TimeZone]], $O$3:$P$8, 2, FALSE) / 24)</f>
        <v>45990.573544791667</v>
      </c>
      <c r="I2075" s="1" t="s">
        <v>1944</v>
      </c>
      <c r="J2075" s="1">
        <v>408.29</v>
      </c>
    </row>
    <row r="2076" spans="1:10" x14ac:dyDescent="0.25">
      <c r="A2076" s="1" t="s">
        <v>51</v>
      </c>
      <c r="B2076" s="1" t="s">
        <v>52</v>
      </c>
      <c r="C2076" s="1" t="s">
        <v>623</v>
      </c>
      <c r="D2076" s="1">
        <v>40.440899999999999</v>
      </c>
      <c r="E2076" s="1">
        <v>-81.473699999999994</v>
      </c>
      <c r="F2076" s="1" t="s">
        <v>1925</v>
      </c>
      <c r="G2076" s="22">
        <v>1725.4864163424013</v>
      </c>
      <c r="H2076" s="20">
        <f ca="1">NOW() - TIME(5,30,0) + (VLOOKUP(MasterTable[[#This Row],[TimeZone]], $O$3:$P$8, 2, FALSE) / 24)</f>
        <v>45990.573544791667</v>
      </c>
      <c r="I2076" s="1" t="s">
        <v>1944</v>
      </c>
      <c r="J2076" s="1">
        <v>571.48</v>
      </c>
    </row>
    <row r="2077" spans="1:10" x14ac:dyDescent="0.25">
      <c r="A2077" s="1" t="s">
        <v>51</v>
      </c>
      <c r="B2077" s="1" t="s">
        <v>52</v>
      </c>
      <c r="C2077" s="1" t="s">
        <v>643</v>
      </c>
      <c r="D2077" s="1">
        <v>39.965400000000002</v>
      </c>
      <c r="E2077" s="1">
        <v>-81.944400000000002</v>
      </c>
      <c r="F2077" s="1" t="s">
        <v>1925</v>
      </c>
      <c r="G2077" s="22">
        <v>1695.5462553048026</v>
      </c>
      <c r="H2077" s="20">
        <f ca="1">NOW() - TIME(5,30,0) + (VLOOKUP(MasterTable[[#This Row],[TimeZone]], $O$3:$P$8, 2, FALSE) / 24)</f>
        <v>45990.573544791667</v>
      </c>
      <c r="I2077" s="1" t="s">
        <v>1944</v>
      </c>
      <c r="J2077" s="1">
        <v>672.59</v>
      </c>
    </row>
    <row r="2078" spans="1:10" x14ac:dyDescent="0.25">
      <c r="A2078" s="1" t="s">
        <v>51</v>
      </c>
      <c r="B2078" s="1" t="s">
        <v>52</v>
      </c>
      <c r="C2078" s="1" t="s">
        <v>686</v>
      </c>
      <c r="D2078" s="1">
        <v>39.337600000000002</v>
      </c>
      <c r="E2078" s="1">
        <v>-83.057000000000002</v>
      </c>
      <c r="F2078" s="1" t="s">
        <v>1925</v>
      </c>
      <c r="G2078" s="22">
        <v>1630.2636315162731</v>
      </c>
      <c r="H2078" s="20">
        <f ca="1">NOW() - TIME(5,30,0) + (VLOOKUP(MasterTable[[#This Row],[TimeZone]], $O$3:$P$8, 2, FALSE) / 24)</f>
        <v>45990.573544791667</v>
      </c>
      <c r="I2078" s="1" t="s">
        <v>1944</v>
      </c>
      <c r="J2078" s="1">
        <v>692.96</v>
      </c>
    </row>
    <row r="2079" spans="1:10" x14ac:dyDescent="0.25">
      <c r="A2079" s="1" t="s">
        <v>51</v>
      </c>
      <c r="B2079" s="1" t="s">
        <v>52</v>
      </c>
      <c r="C2079" s="1" t="s">
        <v>100</v>
      </c>
      <c r="D2079" s="1">
        <v>41.364100000000001</v>
      </c>
      <c r="E2079" s="1">
        <v>-82.619399999999999</v>
      </c>
      <c r="F2079" s="1" t="s">
        <v>1925</v>
      </c>
      <c r="G2079" s="22">
        <v>1679.3939443038121</v>
      </c>
      <c r="H2079" s="20">
        <f ca="1">NOW() - TIME(5,30,0) + (VLOOKUP(MasterTable[[#This Row],[TimeZone]], $O$3:$P$8, 2, FALSE) / 24)</f>
        <v>45990.573544791667</v>
      </c>
      <c r="I2079" s="1" t="s">
        <v>1944</v>
      </c>
      <c r="J2079" s="1">
        <v>1226.8900000000001</v>
      </c>
    </row>
    <row r="2080" spans="1:10" x14ac:dyDescent="0.25">
      <c r="A2080" s="1" t="s">
        <v>51</v>
      </c>
      <c r="B2080" s="1" t="s">
        <v>52</v>
      </c>
      <c r="C2080" s="1" t="s">
        <v>663</v>
      </c>
      <c r="D2080" s="1">
        <v>41.001899999999999</v>
      </c>
      <c r="E2080" s="1">
        <v>-83.666499999999999</v>
      </c>
      <c r="F2080" s="1" t="s">
        <v>1925</v>
      </c>
      <c r="G2080" s="22">
        <v>1620.69230227858</v>
      </c>
      <c r="H2080" s="20">
        <f ca="1">NOW() - TIME(5,30,0) + (VLOOKUP(MasterTable[[#This Row],[TimeZone]], $O$3:$P$8, 2, FALSE) / 24)</f>
        <v>45990.573544791667</v>
      </c>
      <c r="I2080" s="1" t="s">
        <v>1944</v>
      </c>
      <c r="J2080" s="1">
        <v>478.76</v>
      </c>
    </row>
    <row r="2081" spans="1:10" x14ac:dyDescent="0.25">
      <c r="A2081" s="1" t="s">
        <v>51</v>
      </c>
      <c r="B2081" s="1" t="s">
        <v>52</v>
      </c>
      <c r="C2081" s="1" t="s">
        <v>700</v>
      </c>
      <c r="D2081" s="1">
        <v>38.803899999999999</v>
      </c>
      <c r="E2081" s="1">
        <v>-82.992900000000006</v>
      </c>
      <c r="F2081" s="1" t="s">
        <v>1925</v>
      </c>
      <c r="G2081" s="22">
        <v>1628.3871402801005</v>
      </c>
      <c r="H2081" s="20">
        <f ca="1">NOW() - TIME(5,30,0) + (VLOOKUP(MasterTable[[#This Row],[TimeZone]], $O$3:$P$8, 2, FALSE) / 24)</f>
        <v>45990.573544791667</v>
      </c>
      <c r="I2081" s="1" t="s">
        <v>1944</v>
      </c>
      <c r="J2081" s="1">
        <v>616.07000000000005</v>
      </c>
    </row>
    <row r="2082" spans="1:10" x14ac:dyDescent="0.25">
      <c r="A2082" s="1" t="s">
        <v>51</v>
      </c>
      <c r="B2082" s="1" t="s">
        <v>52</v>
      </c>
      <c r="C2082" s="1" t="s">
        <v>740</v>
      </c>
      <c r="D2082" s="1">
        <v>40.015799999999999</v>
      </c>
      <c r="E2082" s="1">
        <v>-80.988500000000002</v>
      </c>
      <c r="F2082" s="1" t="s">
        <v>1925</v>
      </c>
      <c r="G2082" s="22">
        <v>1746.0826361350366</v>
      </c>
      <c r="H2082" s="20">
        <f ca="1">NOW() - TIME(5,30,0) + (VLOOKUP(MasterTable[[#This Row],[TimeZone]], $O$3:$P$8, 2, FALSE) / 24)</f>
        <v>45990.573544791667</v>
      </c>
      <c r="I2082" s="1" t="s">
        <v>1944</v>
      </c>
      <c r="J2082" s="1">
        <v>541.39</v>
      </c>
    </row>
    <row r="2083" spans="1:10" x14ac:dyDescent="0.25">
      <c r="A2083" s="1" t="s">
        <v>51</v>
      </c>
      <c r="B2083" s="1" t="s">
        <v>52</v>
      </c>
      <c r="C2083" s="1" t="s">
        <v>177</v>
      </c>
      <c r="D2083" s="1">
        <v>40.299399999999999</v>
      </c>
      <c r="E2083" s="1">
        <v>-83.371600000000001</v>
      </c>
      <c r="F2083" s="1" t="s">
        <v>1925</v>
      </c>
      <c r="G2083" s="22">
        <v>1625.4788709855065</v>
      </c>
      <c r="H2083" s="20">
        <f ca="1">NOW() - TIME(5,30,0) + (VLOOKUP(MasterTable[[#This Row],[TimeZone]], $O$3:$P$8, 2, FALSE) / 24)</f>
        <v>45990.573544791667</v>
      </c>
      <c r="I2083" s="1" t="s">
        <v>1944</v>
      </c>
      <c r="J2083" s="1">
        <v>1055.27</v>
      </c>
    </row>
    <row r="2084" spans="1:10" x14ac:dyDescent="0.25">
      <c r="A2084" s="1" t="s">
        <v>51</v>
      </c>
      <c r="B2084" s="1" t="s">
        <v>52</v>
      </c>
      <c r="C2084" s="1" t="s">
        <v>88</v>
      </c>
      <c r="D2084" s="1">
        <v>40.587200000000003</v>
      </c>
      <c r="E2084" s="1">
        <v>-83.160899999999998</v>
      </c>
      <c r="F2084" s="1" t="s">
        <v>1925</v>
      </c>
      <c r="G2084" s="22">
        <v>1640.3170689879648</v>
      </c>
      <c r="H2084" s="20">
        <f ca="1">NOW() - TIME(5,30,0) + (VLOOKUP(MasterTable[[#This Row],[TimeZone]], $O$3:$P$8, 2, FALSE) / 24)</f>
        <v>45990.573544791667</v>
      </c>
      <c r="I2084" s="1" t="s">
        <v>1944</v>
      </c>
      <c r="J2084" s="1">
        <v>743.57</v>
      </c>
    </row>
    <row r="2085" spans="1:10" x14ac:dyDescent="0.25">
      <c r="A2085" s="1" t="s">
        <v>51</v>
      </c>
      <c r="B2085" s="1" t="s">
        <v>52</v>
      </c>
      <c r="C2085" s="1" t="s">
        <v>129</v>
      </c>
      <c r="D2085" s="1">
        <v>40.384999999999998</v>
      </c>
      <c r="E2085" s="1">
        <v>-80.760999999999996</v>
      </c>
      <c r="F2085" s="1" t="s">
        <v>1925</v>
      </c>
      <c r="G2085" s="22">
        <v>1761.8403986578749</v>
      </c>
      <c r="H2085" s="20">
        <f ca="1">NOW() - TIME(5,30,0) + (VLOOKUP(MasterTable[[#This Row],[TimeZone]], $O$3:$P$8, 2, FALSE) / 24)</f>
        <v>45990.573544791667</v>
      </c>
      <c r="I2085" s="1" t="s">
        <v>1944</v>
      </c>
      <c r="J2085" s="1">
        <v>1123.8</v>
      </c>
    </row>
    <row r="2086" spans="1:10" x14ac:dyDescent="0.25">
      <c r="A2086" s="1" t="s">
        <v>51</v>
      </c>
      <c r="B2086" s="1" t="s">
        <v>52</v>
      </c>
      <c r="C2086" s="1" t="s">
        <v>205</v>
      </c>
      <c r="D2086" s="1">
        <v>40.398800000000001</v>
      </c>
      <c r="E2086" s="1">
        <v>-82.421499999999995</v>
      </c>
      <c r="F2086" s="1" t="s">
        <v>1925</v>
      </c>
      <c r="G2086" s="22">
        <v>1675.9032793707063</v>
      </c>
      <c r="H2086" s="20">
        <f ca="1">NOW() - TIME(5,30,0) + (VLOOKUP(MasterTable[[#This Row],[TimeZone]], $O$3:$P$8, 2, FALSE) / 24)</f>
        <v>45990.573544791667</v>
      </c>
      <c r="I2086" s="1" t="s">
        <v>1944</v>
      </c>
      <c r="J2086" s="1">
        <v>719.7</v>
      </c>
    </row>
    <row r="2087" spans="1:10" x14ac:dyDescent="0.25">
      <c r="A2087" s="1" t="s">
        <v>51</v>
      </c>
      <c r="B2087" s="1" t="s">
        <v>52</v>
      </c>
      <c r="C2087" s="1" t="s">
        <v>768</v>
      </c>
      <c r="D2087" s="1">
        <v>39.3339</v>
      </c>
      <c r="E2087" s="1">
        <v>-82.045199999999994</v>
      </c>
      <c r="F2087" s="1" t="s">
        <v>1925</v>
      </c>
      <c r="G2087" s="22">
        <v>1683.7182994268342</v>
      </c>
      <c r="H2087" s="20">
        <f ca="1">NOW() - TIME(5,30,0) + (VLOOKUP(MasterTable[[#This Row],[TimeZone]], $O$3:$P$8, 2, FALSE) / 24)</f>
        <v>45990.573544791667</v>
      </c>
      <c r="I2087" s="1" t="s">
        <v>1944</v>
      </c>
      <c r="J2087" s="1">
        <v>508.54</v>
      </c>
    </row>
    <row r="2088" spans="1:10" x14ac:dyDescent="0.25">
      <c r="A2088" s="1" t="s">
        <v>51</v>
      </c>
      <c r="B2088" s="1" t="s">
        <v>52</v>
      </c>
      <c r="C2088" s="1" t="s">
        <v>785</v>
      </c>
      <c r="D2088" s="1">
        <v>39.6419</v>
      </c>
      <c r="E2088" s="1">
        <v>-83.0244</v>
      </c>
      <c r="F2088" s="1" t="s">
        <v>1925</v>
      </c>
      <c r="G2088" s="22">
        <v>1635.3389700837877</v>
      </c>
      <c r="H2088" s="20">
        <f ca="1">NOW() - TIME(5,30,0) + (VLOOKUP(MasterTable[[#This Row],[TimeZone]], $O$3:$P$8, 2, FALSE) / 24)</f>
        <v>45990.573544791667</v>
      </c>
      <c r="I2088" s="1" t="s">
        <v>1944</v>
      </c>
      <c r="J2088" s="1">
        <v>506.79</v>
      </c>
    </row>
    <row r="2089" spans="1:10" x14ac:dyDescent="0.25">
      <c r="A2089" s="1" t="s">
        <v>51</v>
      </c>
      <c r="B2089" s="1" t="s">
        <v>52</v>
      </c>
      <c r="C2089" s="1" t="s">
        <v>28</v>
      </c>
      <c r="D2089" s="1">
        <v>39.455300000000001</v>
      </c>
      <c r="E2089" s="1">
        <v>-81.4953</v>
      </c>
      <c r="F2089" s="1" t="s">
        <v>1925</v>
      </c>
      <c r="G2089" s="22">
        <v>1713.9525355989315</v>
      </c>
      <c r="H2089" s="20">
        <f ca="1">NOW() - TIME(5,30,0) + (VLOOKUP(MasterTable[[#This Row],[TimeZone]], $O$3:$P$8, 2, FALSE) / 24)</f>
        <v>45990.573544791667</v>
      </c>
      <c r="I2089" s="1" t="s">
        <v>1944</v>
      </c>
      <c r="J2089" s="1">
        <v>1088.54</v>
      </c>
    </row>
    <row r="2090" spans="1:10" x14ac:dyDescent="0.25">
      <c r="A2090" s="1" t="s">
        <v>51</v>
      </c>
      <c r="B2090" s="1" t="s">
        <v>52</v>
      </c>
      <c r="C2090" s="1" t="s">
        <v>790</v>
      </c>
      <c r="D2090" s="1">
        <v>41.356200000000001</v>
      </c>
      <c r="E2090" s="1">
        <v>-83.1464</v>
      </c>
      <c r="F2090" s="1" t="s">
        <v>1925</v>
      </c>
      <c r="G2090" s="22">
        <v>1652.6585674407368</v>
      </c>
      <c r="H2090" s="20">
        <f ca="1">NOW() - TIME(5,30,0) + (VLOOKUP(MasterTable[[#This Row],[TimeZone]], $O$3:$P$8, 2, FALSE) / 24)</f>
        <v>45990.573544791667</v>
      </c>
      <c r="I2090" s="1" t="s">
        <v>1944</v>
      </c>
      <c r="J2090" s="1">
        <v>417.77</v>
      </c>
    </row>
    <row r="2091" spans="1:10" x14ac:dyDescent="0.25">
      <c r="A2091" s="1" t="s">
        <v>51</v>
      </c>
      <c r="B2091" s="1" t="s">
        <v>52</v>
      </c>
      <c r="C2091" s="1" t="s">
        <v>792</v>
      </c>
      <c r="D2091" s="1">
        <v>41.146299999999997</v>
      </c>
      <c r="E2091" s="1">
        <v>-82.597999999999999</v>
      </c>
      <c r="F2091" s="1" t="s">
        <v>1925</v>
      </c>
      <c r="G2091" s="22">
        <v>1677.1764062728262</v>
      </c>
      <c r="H2091" s="20">
        <f ca="1">NOW() - TIME(5,30,0) + (VLOOKUP(MasterTable[[#This Row],[TimeZone]], $O$3:$P$8, 2, FALSE) / 24)</f>
        <v>45990.573544791667</v>
      </c>
      <c r="I2091" s="1" t="s">
        <v>1944</v>
      </c>
      <c r="J2091" s="1">
        <v>2136.4699999999998</v>
      </c>
    </row>
    <row r="2092" spans="1:10" x14ac:dyDescent="0.25">
      <c r="A2092" s="1" t="s">
        <v>51</v>
      </c>
      <c r="B2092" s="1" t="s">
        <v>52</v>
      </c>
      <c r="C2092" s="1" t="s">
        <v>644</v>
      </c>
      <c r="D2092" s="1">
        <v>38.598399999999998</v>
      </c>
      <c r="E2092" s="1">
        <v>-82.536799999999999</v>
      </c>
      <c r="F2092" s="1" t="s">
        <v>1925</v>
      </c>
      <c r="G2092" s="22">
        <v>1651.0172202718168</v>
      </c>
      <c r="H2092" s="20">
        <f ca="1">NOW() - TIME(5,30,0) + (VLOOKUP(MasterTable[[#This Row],[TimeZone]], $O$3:$P$8, 2, FALSE) / 24)</f>
        <v>45990.573544791667</v>
      </c>
      <c r="I2092" s="1" t="s">
        <v>1944</v>
      </c>
      <c r="J2092" s="1">
        <v>718.07</v>
      </c>
    </row>
    <row r="2093" spans="1:10" x14ac:dyDescent="0.25">
      <c r="A2093" s="1" t="s">
        <v>51</v>
      </c>
      <c r="B2093" s="1" t="s">
        <v>52</v>
      </c>
      <c r="C2093" s="1" t="s">
        <v>812</v>
      </c>
      <c r="D2093" s="1">
        <v>41.123899999999999</v>
      </c>
      <c r="E2093" s="1">
        <v>-83.127700000000004</v>
      </c>
      <c r="F2093" s="1" t="s">
        <v>1925</v>
      </c>
      <c r="G2093" s="22">
        <v>1649.9422508213875</v>
      </c>
      <c r="H2093" s="20">
        <f ca="1">NOW() - TIME(5,30,0) + (VLOOKUP(MasterTable[[#This Row],[TimeZone]], $O$3:$P$8, 2, FALSE) / 24)</f>
        <v>45990.573544791667</v>
      </c>
      <c r="I2093" s="1" t="s">
        <v>1944</v>
      </c>
      <c r="J2093" s="1">
        <v>390.51</v>
      </c>
    </row>
    <row r="2094" spans="1:10" x14ac:dyDescent="0.25">
      <c r="A2094" s="1" t="s">
        <v>51</v>
      </c>
      <c r="B2094" s="1" t="s">
        <v>52</v>
      </c>
      <c r="C2094" s="1" t="s">
        <v>828</v>
      </c>
      <c r="D2094" s="1">
        <v>40.845999999999997</v>
      </c>
      <c r="E2094" s="1">
        <v>-82.270700000000005</v>
      </c>
      <c r="F2094" s="1" t="s">
        <v>1925</v>
      </c>
      <c r="G2094" s="22">
        <v>1689.5837394052235</v>
      </c>
      <c r="H2094" s="20">
        <f ca="1">NOW() - TIME(5,30,0) + (VLOOKUP(MasterTable[[#This Row],[TimeZone]], $O$3:$P$8, 2, FALSE) / 24)</f>
        <v>45990.573544791667</v>
      </c>
      <c r="I2094" s="1" t="s">
        <v>1944</v>
      </c>
      <c r="J2094" s="1">
        <v>426.85</v>
      </c>
    </row>
    <row r="2095" spans="1:10" x14ac:dyDescent="0.25">
      <c r="A2095" s="1" t="s">
        <v>51</v>
      </c>
      <c r="B2095" s="1" t="s">
        <v>52</v>
      </c>
      <c r="C2095" s="1" t="s">
        <v>830</v>
      </c>
      <c r="D2095" s="1">
        <v>40.133200000000002</v>
      </c>
      <c r="E2095" s="1">
        <v>-84.619299999999996</v>
      </c>
      <c r="F2095" s="1" t="s">
        <v>1925</v>
      </c>
      <c r="G2095" s="22">
        <v>1558.6879554617169</v>
      </c>
      <c r="H2095" s="20">
        <f ca="1">NOW() - TIME(5,30,0) + (VLOOKUP(MasterTable[[#This Row],[TimeZone]], $O$3:$P$8, 2, FALSE) / 24)</f>
        <v>45990.573544791667</v>
      </c>
      <c r="I2095" s="1" t="s">
        <v>1944</v>
      </c>
      <c r="J2095" s="1">
        <v>600.29</v>
      </c>
    </row>
    <row r="2096" spans="1:10" x14ac:dyDescent="0.25">
      <c r="A2096" s="1" t="s">
        <v>51</v>
      </c>
      <c r="B2096" s="1" t="s">
        <v>52</v>
      </c>
      <c r="C2096" s="1" t="s">
        <v>107</v>
      </c>
      <c r="D2096" s="1">
        <v>40.331600000000002</v>
      </c>
      <c r="E2096" s="1">
        <v>-84.204800000000006</v>
      </c>
      <c r="F2096" s="1" t="s">
        <v>1925</v>
      </c>
      <c r="G2096" s="22">
        <v>1582.9616630022174</v>
      </c>
      <c r="H2096" s="20">
        <f ca="1">NOW() - TIME(5,30,0) + (VLOOKUP(MasterTable[[#This Row],[TimeZone]], $O$3:$P$8, 2, FALSE) / 24)</f>
        <v>45990.573544791667</v>
      </c>
      <c r="I2096" s="1" t="s">
        <v>1944</v>
      </c>
      <c r="J2096" s="1">
        <v>809.53</v>
      </c>
    </row>
    <row r="2097" spans="1:10" x14ac:dyDescent="0.25">
      <c r="A2097" s="1" t="s">
        <v>51</v>
      </c>
      <c r="B2097" s="1" t="s">
        <v>52</v>
      </c>
      <c r="C2097" s="1" t="s">
        <v>874</v>
      </c>
      <c r="D2097" s="1">
        <v>40.560899999999997</v>
      </c>
      <c r="E2097" s="1">
        <v>-84.221699999999998</v>
      </c>
      <c r="F2097" s="1" t="s">
        <v>1925</v>
      </c>
      <c r="G2097" s="22">
        <v>1585.5298385809579</v>
      </c>
      <c r="H2097" s="20">
        <f ca="1">NOW() - TIME(5,30,0) + (VLOOKUP(MasterTable[[#This Row],[TimeZone]], $O$3:$P$8, 2, FALSE) / 24)</f>
        <v>45990.573544791667</v>
      </c>
      <c r="I2097" s="1" t="s">
        <v>1944</v>
      </c>
      <c r="J2097" s="1">
        <v>401.72</v>
      </c>
    </row>
    <row r="2098" spans="1:10" x14ac:dyDescent="0.25">
      <c r="A2098" s="1" t="s">
        <v>51</v>
      </c>
      <c r="B2098" s="1" t="s">
        <v>52</v>
      </c>
      <c r="C2098" s="1" t="s">
        <v>837</v>
      </c>
      <c r="D2098" s="1">
        <v>40.388500000000001</v>
      </c>
      <c r="E2098" s="1">
        <v>-83.765799999999999</v>
      </c>
      <c r="F2098" s="1" t="s">
        <v>1925</v>
      </c>
      <c r="G2098" s="22">
        <v>1606.3865011794132</v>
      </c>
      <c r="H2098" s="20">
        <f ca="1">NOW() - TIME(5,30,0) + (VLOOKUP(MasterTable[[#This Row],[TimeZone]], $O$3:$P$8, 2, FALSE) / 24)</f>
        <v>45990.573544791667</v>
      </c>
      <c r="I2098" s="1" t="s">
        <v>1944</v>
      </c>
      <c r="J2098" s="1">
        <v>731.5</v>
      </c>
    </row>
    <row r="2099" spans="1:10" x14ac:dyDescent="0.25">
      <c r="A2099" s="1" t="s">
        <v>51</v>
      </c>
      <c r="B2099" s="1" t="s">
        <v>52</v>
      </c>
      <c r="C2099" s="1" t="s">
        <v>899</v>
      </c>
      <c r="D2099" s="1">
        <v>40.561199999999999</v>
      </c>
      <c r="E2099" s="1">
        <v>-81.929299999999998</v>
      </c>
      <c r="F2099" s="1" t="s">
        <v>1925</v>
      </c>
      <c r="G2099" s="22">
        <v>1703.3916351083876</v>
      </c>
      <c r="H2099" s="20">
        <f ca="1">NOW() - TIME(5,30,0) + (VLOOKUP(MasterTable[[#This Row],[TimeZone]], $O$3:$P$8, 2, FALSE) / 24)</f>
        <v>45990.573544791667</v>
      </c>
      <c r="I2099" s="1" t="s">
        <v>1944</v>
      </c>
      <c r="J2099" s="1">
        <v>488.71</v>
      </c>
    </row>
    <row r="2100" spans="1:10" x14ac:dyDescent="0.25">
      <c r="A2100" s="1" t="s">
        <v>51</v>
      </c>
      <c r="B2100" s="1" t="s">
        <v>52</v>
      </c>
      <c r="C2100" s="1" t="s">
        <v>244</v>
      </c>
      <c r="D2100" s="1">
        <v>39.894199999999998</v>
      </c>
      <c r="E2100" s="1">
        <v>-83.400400000000005</v>
      </c>
      <c r="F2100" s="1" t="s">
        <v>1925</v>
      </c>
      <c r="G2100" s="22">
        <v>1618.6937386613847</v>
      </c>
      <c r="H2100" s="20">
        <f ca="1">NOW() - TIME(5,30,0) + (VLOOKUP(MasterTable[[#This Row],[TimeZone]], $O$3:$P$8, 2, FALSE) / 24)</f>
        <v>45990.573544791667</v>
      </c>
      <c r="I2100" s="1" t="s">
        <v>1944</v>
      </c>
      <c r="J2100" s="1">
        <v>812.85</v>
      </c>
    </row>
    <row r="2101" spans="1:10" x14ac:dyDescent="0.25">
      <c r="A2101" s="1" t="s">
        <v>51</v>
      </c>
      <c r="B2101" s="1" t="s">
        <v>52</v>
      </c>
      <c r="C2101" s="1" t="s">
        <v>316</v>
      </c>
      <c r="D2101" s="1">
        <v>38.933799999999998</v>
      </c>
      <c r="E2101" s="1">
        <v>-83.8673</v>
      </c>
      <c r="F2101" s="1" t="s">
        <v>1925</v>
      </c>
      <c r="G2101" s="22">
        <v>1583.0887056374474</v>
      </c>
      <c r="H2101" s="20">
        <f ca="1">NOW() - TIME(5,30,0) + (VLOOKUP(MasterTable[[#This Row],[TimeZone]], $O$3:$P$8, 2, FALSE) / 24)</f>
        <v>45990.573544791667</v>
      </c>
      <c r="I2101" s="1" t="s">
        <v>1944</v>
      </c>
      <c r="J2101" s="1">
        <v>307.24</v>
      </c>
    </row>
    <row r="2102" spans="1:10" x14ac:dyDescent="0.25">
      <c r="A2102" s="1" t="s">
        <v>51</v>
      </c>
      <c r="B2102" s="1" t="s">
        <v>52</v>
      </c>
      <c r="C2102" s="1" t="s">
        <v>912</v>
      </c>
      <c r="D2102" s="1">
        <v>39.184699999999999</v>
      </c>
      <c r="E2102" s="1">
        <v>-83.600999999999999</v>
      </c>
      <c r="F2102" s="1" t="s">
        <v>1925</v>
      </c>
      <c r="G2102" s="22">
        <v>1599.8715474336896</v>
      </c>
      <c r="H2102" s="20">
        <f ca="1">NOW() - TIME(5,30,0) + (VLOOKUP(MasterTable[[#This Row],[TimeZone]], $O$3:$P$8, 2, FALSE) / 24)</f>
        <v>45990.573544791667</v>
      </c>
      <c r="I2102" s="1" t="s">
        <v>1944</v>
      </c>
      <c r="J2102" s="1">
        <v>557.84</v>
      </c>
    </row>
    <row r="2103" spans="1:10" x14ac:dyDescent="0.25">
      <c r="A2103" s="1" t="s">
        <v>51</v>
      </c>
      <c r="B2103" s="1" t="s">
        <v>52</v>
      </c>
      <c r="C2103" s="1" t="s">
        <v>249</v>
      </c>
      <c r="D2103" s="1">
        <v>40.54</v>
      </c>
      <c r="E2103" s="1">
        <v>-84.629400000000004</v>
      </c>
      <c r="F2103" s="1" t="s">
        <v>1925</v>
      </c>
      <c r="G2103" s="22">
        <v>1564.3475573390717</v>
      </c>
      <c r="H2103" s="20">
        <f ca="1">NOW() - TIME(5,30,0) + (VLOOKUP(MasterTable[[#This Row],[TimeZone]], $O$3:$P$8, 2, FALSE) / 24)</f>
        <v>45990.573544791667</v>
      </c>
      <c r="I2103" s="1" t="s">
        <v>1944</v>
      </c>
      <c r="J2103" s="1">
        <v>568.88</v>
      </c>
    </row>
    <row r="2104" spans="1:10" x14ac:dyDescent="0.25">
      <c r="A2104" s="1" t="s">
        <v>51</v>
      </c>
      <c r="B2104" s="1" t="s">
        <v>52</v>
      </c>
      <c r="C2104" s="1" t="s">
        <v>72</v>
      </c>
      <c r="D2104" s="1">
        <v>41.601799999999997</v>
      </c>
      <c r="E2104" s="1">
        <v>-84.130099999999999</v>
      </c>
      <c r="F2104" s="1" t="s">
        <v>1925</v>
      </c>
      <c r="G2104" s="22">
        <v>1607.4821055854254</v>
      </c>
      <c r="H2104" s="20">
        <f ca="1">NOW() - TIME(5,30,0) + (VLOOKUP(MasterTable[[#This Row],[TimeZone]], $O$3:$P$8, 2, FALSE) / 24)</f>
        <v>45990.573544791667</v>
      </c>
      <c r="I2104" s="1" t="s">
        <v>1944</v>
      </c>
      <c r="J2104" s="1">
        <v>620.30999999999995</v>
      </c>
    </row>
    <row r="2105" spans="1:10" x14ac:dyDescent="0.25">
      <c r="A2105" s="1" t="s">
        <v>51</v>
      </c>
      <c r="B2105" s="1" t="s">
        <v>52</v>
      </c>
      <c r="C2105" s="1" t="s">
        <v>675</v>
      </c>
      <c r="D2105" s="1">
        <v>39.414900000000003</v>
      </c>
      <c r="E2105" s="1">
        <v>-83.808400000000006</v>
      </c>
      <c r="F2105" s="1" t="s">
        <v>1925</v>
      </c>
      <c r="G2105" s="22">
        <v>1591.5203136819857</v>
      </c>
      <c r="H2105" s="20">
        <f ca="1">NOW() - TIME(5,30,0) + (VLOOKUP(MasterTable[[#This Row],[TimeZone]], $O$3:$P$8, 2, FALSE) / 24)</f>
        <v>45990.573544791667</v>
      </c>
      <c r="I2105" s="1" t="s">
        <v>1944</v>
      </c>
      <c r="J2105" s="1">
        <v>503.48</v>
      </c>
    </row>
    <row r="2106" spans="1:10" x14ac:dyDescent="0.25">
      <c r="A2106" s="1" t="s">
        <v>51</v>
      </c>
      <c r="B2106" s="1" t="s">
        <v>52</v>
      </c>
      <c r="C2106" s="1" t="s">
        <v>655</v>
      </c>
      <c r="D2106" s="1">
        <v>40.8508</v>
      </c>
      <c r="E2106" s="1">
        <v>-82.919799999999995</v>
      </c>
      <c r="F2106" s="1" t="s">
        <v>1925</v>
      </c>
      <c r="G2106" s="22">
        <v>1656.4387092398074</v>
      </c>
      <c r="H2106" s="20">
        <f ca="1">NOW() - TIME(5,30,0) + (VLOOKUP(MasterTable[[#This Row],[TimeZone]], $O$3:$P$8, 2, FALSE) / 24)</f>
        <v>45990.573544791667</v>
      </c>
      <c r="I2106" s="1" t="s">
        <v>1944</v>
      </c>
      <c r="J2106" s="1">
        <v>604.20000000000005</v>
      </c>
    </row>
    <row r="2107" spans="1:10" x14ac:dyDescent="0.25">
      <c r="A2107" s="1" t="s">
        <v>51</v>
      </c>
      <c r="B2107" s="1" t="s">
        <v>52</v>
      </c>
      <c r="C2107" s="1" t="s">
        <v>942</v>
      </c>
      <c r="D2107" s="1">
        <v>39.741500000000002</v>
      </c>
      <c r="E2107" s="1">
        <v>-84.647999999999996</v>
      </c>
      <c r="F2107" s="1" t="s">
        <v>1925</v>
      </c>
      <c r="G2107" s="22">
        <v>1551.6795140394352</v>
      </c>
      <c r="H2107" s="20">
        <f ca="1">NOW() - TIME(5,30,0) + (VLOOKUP(MasterTable[[#This Row],[TimeZone]], $O$3:$P$8, 2, FALSE) / 24)</f>
        <v>45990.573544791667</v>
      </c>
      <c r="I2107" s="1" t="s">
        <v>1944</v>
      </c>
      <c r="J2107" s="1">
        <v>426.33</v>
      </c>
    </row>
    <row r="2108" spans="1:10" x14ac:dyDescent="0.25">
      <c r="A2108" s="1" t="s">
        <v>51</v>
      </c>
      <c r="B2108" s="1" t="s">
        <v>52</v>
      </c>
      <c r="C2108" s="1" t="s">
        <v>292</v>
      </c>
      <c r="D2108" s="1">
        <v>41.5379</v>
      </c>
      <c r="E2108" s="1">
        <v>-83.143500000000003</v>
      </c>
      <c r="F2108" s="1" t="s">
        <v>1925</v>
      </c>
      <c r="G2108" s="22">
        <v>1655.7676378592562</v>
      </c>
      <c r="H2108" s="20">
        <f ca="1">NOW() - TIME(5,30,0) + (VLOOKUP(MasterTable[[#This Row],[TimeZone]], $O$3:$P$8, 2, FALSE) / 24)</f>
        <v>45990.573544791667</v>
      </c>
      <c r="I2108" s="1" t="s">
        <v>1944</v>
      </c>
      <c r="J2108" s="1">
        <v>721.9</v>
      </c>
    </row>
    <row r="2109" spans="1:10" x14ac:dyDescent="0.25">
      <c r="A2109" s="1" t="s">
        <v>51</v>
      </c>
      <c r="B2109" s="1" t="s">
        <v>52</v>
      </c>
      <c r="C2109" s="1" t="s">
        <v>371</v>
      </c>
      <c r="D2109" s="1">
        <v>40.137700000000002</v>
      </c>
      <c r="E2109" s="1">
        <v>-83.769599999999997</v>
      </c>
      <c r="F2109" s="1" t="s">
        <v>1925</v>
      </c>
      <c r="G2109" s="22">
        <v>1602.6914448368934</v>
      </c>
      <c r="H2109" s="20">
        <f ca="1">NOW() - TIME(5,30,0) + (VLOOKUP(MasterTable[[#This Row],[TimeZone]], $O$3:$P$8, 2, FALSE) / 24)</f>
        <v>45990.573544791667</v>
      </c>
      <c r="I2109" s="1" t="s">
        <v>1944</v>
      </c>
      <c r="J2109" s="1">
        <v>997.53</v>
      </c>
    </row>
    <row r="2110" spans="1:10" x14ac:dyDescent="0.25">
      <c r="A2110" s="1" t="s">
        <v>51</v>
      </c>
      <c r="B2110" s="1" t="s">
        <v>52</v>
      </c>
      <c r="C2110" s="1" t="s">
        <v>971</v>
      </c>
      <c r="D2110" s="1">
        <v>40.052</v>
      </c>
      <c r="E2110" s="1">
        <v>-81.494299999999996</v>
      </c>
      <c r="F2110" s="1" t="s">
        <v>1925</v>
      </c>
      <c r="G2110" s="22">
        <v>1720.0154882222448</v>
      </c>
      <c r="H2110" s="20">
        <f ca="1">NOW() - TIME(5,30,0) + (VLOOKUP(MasterTable[[#This Row],[TimeZone]], $O$3:$P$8, 2, FALSE) / 24)</f>
        <v>45990.573544791667</v>
      </c>
      <c r="I2110" s="1" t="s">
        <v>1944</v>
      </c>
      <c r="J2110" s="1">
        <v>528.29</v>
      </c>
    </row>
    <row r="2111" spans="1:10" x14ac:dyDescent="0.25">
      <c r="A2111" s="1" t="s">
        <v>51</v>
      </c>
      <c r="B2111" s="1" t="s">
        <v>52</v>
      </c>
      <c r="C2111" s="1" t="s">
        <v>972</v>
      </c>
      <c r="D2111" s="1">
        <v>41.323900000000002</v>
      </c>
      <c r="E2111" s="1">
        <v>-84.490499999999997</v>
      </c>
      <c r="F2111" s="1" t="s">
        <v>1925</v>
      </c>
      <c r="G2111" s="22">
        <v>1584.4975438474021</v>
      </c>
      <c r="H2111" s="20">
        <f ca="1">NOW() - TIME(5,30,0) + (VLOOKUP(MasterTable[[#This Row],[TimeZone]], $O$3:$P$8, 2, FALSE) / 24)</f>
        <v>45990.573544791667</v>
      </c>
      <c r="I2111" s="1" t="s">
        <v>1944</v>
      </c>
      <c r="J2111" s="1">
        <v>414.19</v>
      </c>
    </row>
    <row r="2112" spans="1:10" x14ac:dyDescent="0.25">
      <c r="A2112" s="1" t="s">
        <v>51</v>
      </c>
      <c r="B2112" s="1" t="s">
        <v>52</v>
      </c>
      <c r="C2112" s="1" t="s">
        <v>960</v>
      </c>
      <c r="D2112" s="1">
        <v>41.560299999999998</v>
      </c>
      <c r="E2112" s="1">
        <v>-84.588099999999997</v>
      </c>
      <c r="F2112" s="1" t="s">
        <v>1925</v>
      </c>
      <c r="G2112" s="22">
        <v>1583.8907792298537</v>
      </c>
      <c r="H2112" s="20">
        <f ca="1">NOW() - TIME(5,30,0) + (VLOOKUP(MasterTable[[#This Row],[TimeZone]], $O$3:$P$8, 2, FALSE) / 24)</f>
        <v>45990.573544791667</v>
      </c>
      <c r="I2112" s="1" t="s">
        <v>1944</v>
      </c>
      <c r="J2112" s="1">
        <v>2147.9699999999998</v>
      </c>
    </row>
    <row r="2113" spans="1:10" x14ac:dyDescent="0.25">
      <c r="A2113" s="1" t="s">
        <v>51</v>
      </c>
      <c r="B2113" s="1" t="s">
        <v>52</v>
      </c>
      <c r="C2113" s="1" t="s">
        <v>996</v>
      </c>
      <c r="D2113" s="1">
        <v>40.301699999999997</v>
      </c>
      <c r="E2113" s="1">
        <v>-81.920100000000005</v>
      </c>
      <c r="F2113" s="1" t="s">
        <v>1925</v>
      </c>
      <c r="G2113" s="22">
        <v>1700.6843664444586</v>
      </c>
      <c r="H2113" s="20">
        <f ca="1">NOW() - TIME(5,30,0) + (VLOOKUP(MasterTable[[#This Row],[TimeZone]], $O$3:$P$8, 2, FALSE) / 24)</f>
        <v>45990.573544791667</v>
      </c>
      <c r="I2113" s="1" t="s">
        <v>1944</v>
      </c>
      <c r="J2113" s="1">
        <v>567.58000000000004</v>
      </c>
    </row>
    <row r="2114" spans="1:10" x14ac:dyDescent="0.25">
      <c r="A2114" s="1" t="s">
        <v>51</v>
      </c>
      <c r="B2114" s="1" t="s">
        <v>52</v>
      </c>
      <c r="C2114" s="1" t="s">
        <v>877</v>
      </c>
      <c r="D2114" s="1">
        <v>39.737099999999998</v>
      </c>
      <c r="E2114" s="1">
        <v>-82.236099999999993</v>
      </c>
      <c r="F2114" s="1" t="s">
        <v>1925</v>
      </c>
      <c r="G2114" s="22">
        <v>1677.7663644575027</v>
      </c>
      <c r="H2114" s="20">
        <f ca="1">NOW() - TIME(5,30,0) + (VLOOKUP(MasterTable[[#This Row],[TimeZone]], $O$3:$P$8, 2, FALSE) / 24)</f>
        <v>45990.573544791667</v>
      </c>
      <c r="I2114" s="1" t="s">
        <v>1944</v>
      </c>
      <c r="J2114" s="1">
        <v>724.08</v>
      </c>
    </row>
    <row r="2115" spans="1:10" x14ac:dyDescent="0.25">
      <c r="A2115" s="1" t="s">
        <v>51</v>
      </c>
      <c r="B2115" s="1" t="s">
        <v>52</v>
      </c>
      <c r="C2115" s="1" t="s">
        <v>1016</v>
      </c>
      <c r="D2115" s="1">
        <v>40.524099999999997</v>
      </c>
      <c r="E2115" s="1">
        <v>-82.7941</v>
      </c>
      <c r="F2115" s="1" t="s">
        <v>1925</v>
      </c>
      <c r="G2115" s="22">
        <v>1658.3153026521304</v>
      </c>
      <c r="H2115" s="20">
        <f ca="1">NOW() - TIME(5,30,0) + (VLOOKUP(MasterTable[[#This Row],[TimeZone]], $O$3:$P$8, 2, FALSE) / 24)</f>
        <v>45990.573544791667</v>
      </c>
      <c r="I2115" s="1" t="s">
        <v>1944</v>
      </c>
      <c r="J2115" s="1">
        <v>407.36</v>
      </c>
    </row>
    <row r="2116" spans="1:10" x14ac:dyDescent="0.25">
      <c r="A2116" s="1" t="s">
        <v>51</v>
      </c>
      <c r="B2116" s="1" t="s">
        <v>52</v>
      </c>
      <c r="C2116" s="1" t="s">
        <v>604</v>
      </c>
      <c r="D2116" s="1">
        <v>41.022100000000002</v>
      </c>
      <c r="E2116" s="1">
        <v>-84.131699999999995</v>
      </c>
      <c r="F2116" s="1" t="s">
        <v>1925</v>
      </c>
      <c r="G2116" s="22">
        <v>1597.4315366978656</v>
      </c>
      <c r="H2116" s="20">
        <f ca="1">NOW() - TIME(5,30,0) + (VLOOKUP(MasterTable[[#This Row],[TimeZone]], $O$3:$P$8, 2, FALSE) / 24)</f>
        <v>45990.573544791667</v>
      </c>
      <c r="I2116" s="1" t="s">
        <v>1944</v>
      </c>
      <c r="J2116" s="1">
        <v>827.16</v>
      </c>
    </row>
    <row r="2117" spans="1:10" x14ac:dyDescent="0.25">
      <c r="A2117" s="1" t="s">
        <v>51</v>
      </c>
      <c r="B2117" s="1" t="s">
        <v>52</v>
      </c>
      <c r="C2117" s="1" t="s">
        <v>140</v>
      </c>
      <c r="D2117" s="1">
        <v>39.0197</v>
      </c>
      <c r="E2117" s="1">
        <v>-82.618399999999994</v>
      </c>
      <c r="F2117" s="1" t="s">
        <v>1925</v>
      </c>
      <c r="G2117" s="22">
        <v>1650.3344984854282</v>
      </c>
      <c r="H2117" s="20">
        <f ca="1">NOW() - TIME(5,30,0) + (VLOOKUP(MasterTable[[#This Row],[TimeZone]], $O$3:$P$8, 2, FALSE) / 24)</f>
        <v>45990.573544791667</v>
      </c>
      <c r="I2117" s="1" t="s">
        <v>1944</v>
      </c>
      <c r="J2117" s="1">
        <v>1126.77</v>
      </c>
    </row>
    <row r="2118" spans="1:10" x14ac:dyDescent="0.25">
      <c r="A2118" s="1" t="s">
        <v>51</v>
      </c>
      <c r="B2118" s="1" t="s">
        <v>52</v>
      </c>
      <c r="C2118" s="1" t="s">
        <v>551</v>
      </c>
      <c r="D2118" s="1">
        <v>40.6616</v>
      </c>
      <c r="E2118" s="1">
        <v>-83.659499999999994</v>
      </c>
      <c r="F2118" s="1" t="s">
        <v>1925</v>
      </c>
      <c r="G2118" s="22">
        <v>1615.8277420768841</v>
      </c>
      <c r="H2118" s="20">
        <f ca="1">NOW() - TIME(5,30,0) + (VLOOKUP(MasterTable[[#This Row],[TimeZone]], $O$3:$P$8, 2, FALSE) / 24)</f>
        <v>45990.573544791667</v>
      </c>
      <c r="I2118" s="1" t="s">
        <v>1944</v>
      </c>
      <c r="J2118" s="1">
        <v>181.53</v>
      </c>
    </row>
    <row r="2119" spans="1:10" x14ac:dyDescent="0.25">
      <c r="A2119" s="1" t="s">
        <v>51</v>
      </c>
      <c r="B2119" s="1" t="s">
        <v>52</v>
      </c>
      <c r="C2119" s="1" t="s">
        <v>1086</v>
      </c>
      <c r="D2119" s="1">
        <v>38.8247</v>
      </c>
      <c r="E2119" s="1">
        <v>-82.316900000000004</v>
      </c>
      <c r="F2119" s="1" t="s">
        <v>1925</v>
      </c>
      <c r="G2119" s="22">
        <v>1664.6683807736827</v>
      </c>
      <c r="H2119" s="20">
        <f ca="1">NOW() - TIME(5,30,0) + (VLOOKUP(MasterTable[[#This Row],[TimeZone]], $O$3:$P$8, 2, FALSE) / 24)</f>
        <v>45990.573544791667</v>
      </c>
      <c r="I2119" s="1" t="s">
        <v>1944</v>
      </c>
      <c r="J2119" s="1">
        <v>471.13</v>
      </c>
    </row>
    <row r="2120" spans="1:10" x14ac:dyDescent="0.25">
      <c r="A2120" s="1" t="s">
        <v>51</v>
      </c>
      <c r="B2120" s="1" t="s">
        <v>52</v>
      </c>
      <c r="C2120" s="1" t="s">
        <v>279</v>
      </c>
      <c r="D2120" s="1">
        <v>39.559899999999999</v>
      </c>
      <c r="E2120" s="1">
        <v>-83.456100000000006</v>
      </c>
      <c r="F2120" s="1" t="s">
        <v>1925</v>
      </c>
      <c r="G2120" s="22">
        <v>1611.7313613359972</v>
      </c>
      <c r="H2120" s="20">
        <f ca="1">NOW() - TIME(5,30,0) + (VLOOKUP(MasterTable[[#This Row],[TimeZone]], $O$3:$P$8, 2, FALSE) / 24)</f>
        <v>45990.573544791667</v>
      </c>
      <c r="I2120" s="1" t="s">
        <v>1944</v>
      </c>
      <c r="J2120" s="1">
        <v>629.34</v>
      </c>
    </row>
    <row r="2121" spans="1:10" x14ac:dyDescent="0.25">
      <c r="A2121" s="1" t="s">
        <v>51</v>
      </c>
      <c r="B2121" s="1" t="s">
        <v>52</v>
      </c>
      <c r="C2121" s="1" t="s">
        <v>1093</v>
      </c>
      <c r="D2121" s="1">
        <v>40.855400000000003</v>
      </c>
      <c r="E2121" s="1">
        <v>-84.586100000000002</v>
      </c>
      <c r="F2121" s="1" t="s">
        <v>1925</v>
      </c>
      <c r="G2121" s="22">
        <v>1571.6491539870024</v>
      </c>
      <c r="H2121" s="20">
        <f ca="1">NOW() - TIME(5,30,0) + (VLOOKUP(MasterTable[[#This Row],[TimeZone]], $O$3:$P$8, 2, FALSE) / 24)</f>
        <v>45990.573544791667</v>
      </c>
      <c r="I2121" s="1" t="s">
        <v>1944</v>
      </c>
      <c r="J2121" s="1">
        <v>410.49</v>
      </c>
    </row>
    <row r="2122" spans="1:10" x14ac:dyDescent="0.25">
      <c r="A2122" s="1" t="s">
        <v>51</v>
      </c>
      <c r="B2122" s="1" t="s">
        <v>52</v>
      </c>
      <c r="C2122" s="1" t="s">
        <v>1111</v>
      </c>
      <c r="D2122" s="1">
        <v>39.497100000000003</v>
      </c>
      <c r="E2122" s="1">
        <v>-82.479299999999995</v>
      </c>
      <c r="F2122" s="1" t="s">
        <v>1925</v>
      </c>
      <c r="G2122" s="22">
        <v>1662.4228487404298</v>
      </c>
      <c r="H2122" s="20">
        <f ca="1">NOW() - TIME(5,30,0) + (VLOOKUP(MasterTable[[#This Row],[TimeZone]], $O$3:$P$8, 2, FALSE) / 24)</f>
        <v>45990.573544791667</v>
      </c>
      <c r="I2122" s="1" t="s">
        <v>1944</v>
      </c>
      <c r="J2122" s="1">
        <v>423.6</v>
      </c>
    </row>
    <row r="2123" spans="1:10" x14ac:dyDescent="0.25">
      <c r="A2123" s="1" t="s">
        <v>51</v>
      </c>
      <c r="B2123" s="1" t="s">
        <v>52</v>
      </c>
      <c r="C2123" s="1" t="s">
        <v>332</v>
      </c>
      <c r="D2123" s="1">
        <v>41.3339</v>
      </c>
      <c r="E2123" s="1">
        <v>-84.068200000000004</v>
      </c>
      <c r="F2123" s="1" t="s">
        <v>1925</v>
      </c>
      <c r="G2123" s="22">
        <v>1605.8748544197235</v>
      </c>
      <c r="H2123" s="20">
        <f ca="1">NOW() - TIME(5,30,0) + (VLOOKUP(MasterTable[[#This Row],[TimeZone]], $O$3:$P$8, 2, FALSE) / 24)</f>
        <v>45990.573544791667</v>
      </c>
      <c r="I2123" s="1" t="s">
        <v>1944</v>
      </c>
      <c r="J2123" s="1">
        <v>568.33000000000004</v>
      </c>
    </row>
    <row r="2124" spans="1:10" x14ac:dyDescent="0.25">
      <c r="A2124" s="1" t="s">
        <v>51</v>
      </c>
      <c r="B2124" s="1" t="s">
        <v>52</v>
      </c>
      <c r="C2124" s="1" t="s">
        <v>193</v>
      </c>
      <c r="D2124" s="1">
        <v>38.845500000000001</v>
      </c>
      <c r="E2124" s="1">
        <v>-83.472099999999998</v>
      </c>
      <c r="F2124" s="1" t="s">
        <v>1925</v>
      </c>
      <c r="G2124" s="22">
        <v>1603.225799650445</v>
      </c>
      <c r="H2124" s="20">
        <f ca="1">NOW() - TIME(5,30,0) + (VLOOKUP(MasterTable[[#This Row],[TimeZone]], $O$3:$P$8, 2, FALSE) / 24)</f>
        <v>45990.573544791667</v>
      </c>
      <c r="I2124" s="1" t="s">
        <v>1944</v>
      </c>
      <c r="J2124" s="1">
        <v>1197.71</v>
      </c>
    </row>
    <row r="2125" spans="1:10" x14ac:dyDescent="0.25">
      <c r="A2125" s="1" t="s">
        <v>51</v>
      </c>
      <c r="B2125" s="1" t="s">
        <v>52</v>
      </c>
      <c r="C2125" s="1" t="s">
        <v>783</v>
      </c>
      <c r="D2125" s="1">
        <v>39.077300000000001</v>
      </c>
      <c r="E2125" s="1">
        <v>-83.066800000000001</v>
      </c>
      <c r="F2125" s="1" t="s">
        <v>1925</v>
      </c>
      <c r="G2125" s="22">
        <v>1627.0632579903324</v>
      </c>
      <c r="H2125" s="20">
        <f ca="1">NOW() - TIME(5,30,0) + (VLOOKUP(MasterTable[[#This Row],[TimeZone]], $O$3:$P$8, 2, FALSE) / 24)</f>
        <v>45990.573544791667</v>
      </c>
      <c r="I2125" s="1" t="s">
        <v>1944</v>
      </c>
      <c r="J2125" s="1">
        <v>672.1</v>
      </c>
    </row>
    <row r="2126" spans="1:10" x14ac:dyDescent="0.25">
      <c r="A2126" s="1" t="s">
        <v>51</v>
      </c>
      <c r="B2126" s="1" t="s">
        <v>52</v>
      </c>
      <c r="C2126" s="1" t="s">
        <v>418</v>
      </c>
      <c r="D2126" s="1">
        <v>40.579599999999999</v>
      </c>
      <c r="E2126" s="1">
        <v>-81.089699999999993</v>
      </c>
      <c r="F2126" s="1" t="s">
        <v>1925</v>
      </c>
      <c r="G2126" s="22">
        <v>1746.9957195286281</v>
      </c>
      <c r="H2126" s="20">
        <f ca="1">NOW() - TIME(5,30,0) + (VLOOKUP(MasterTable[[#This Row],[TimeZone]], $O$3:$P$8, 2, FALSE) / 24)</f>
        <v>45990.573544791667</v>
      </c>
      <c r="I2126" s="1" t="s">
        <v>1944</v>
      </c>
      <c r="J2126" s="1">
        <v>638.80999999999995</v>
      </c>
    </row>
    <row r="2127" spans="1:10" x14ac:dyDescent="0.25">
      <c r="A2127" s="1" t="s">
        <v>51</v>
      </c>
      <c r="B2127" s="1" t="s">
        <v>52</v>
      </c>
      <c r="C2127" s="1" t="s">
        <v>1222</v>
      </c>
      <c r="D2127" s="1">
        <v>39.0822</v>
      </c>
      <c r="E2127" s="1">
        <v>-82.022900000000007</v>
      </c>
      <c r="F2127" s="1" t="s">
        <v>1925</v>
      </c>
      <c r="G2127" s="22">
        <v>1682.5795279360782</v>
      </c>
      <c r="H2127" s="20">
        <f ca="1">NOW() - TIME(5,30,0) + (VLOOKUP(MasterTable[[#This Row],[TimeZone]], $O$3:$P$8, 2, FALSE) / 24)</f>
        <v>45990.573544791667</v>
      </c>
      <c r="I2127" s="1" t="s">
        <v>1944</v>
      </c>
      <c r="J2127" s="1">
        <v>432.38</v>
      </c>
    </row>
    <row r="2128" spans="1:10" x14ac:dyDescent="0.25">
      <c r="A2128" s="1" t="s">
        <v>51</v>
      </c>
      <c r="B2128" s="1" t="s">
        <v>52</v>
      </c>
      <c r="C2128" s="1" t="s">
        <v>1234</v>
      </c>
      <c r="D2128" s="1">
        <v>40.842399999999998</v>
      </c>
      <c r="E2128" s="1">
        <v>-83.304400000000001</v>
      </c>
      <c r="F2128" s="1" t="s">
        <v>1925</v>
      </c>
      <c r="G2128" s="22">
        <v>1636.6733249057688</v>
      </c>
      <c r="H2128" s="20">
        <f ca="1">NOW() - TIME(5,30,0) + (VLOOKUP(MasterTable[[#This Row],[TimeZone]], $O$3:$P$8, 2, FALSE) / 24)</f>
        <v>45990.573544791667</v>
      </c>
      <c r="I2128" s="1" t="s">
        <v>1944</v>
      </c>
      <c r="J2128" s="1">
        <v>407.62</v>
      </c>
    </row>
    <row r="2129" spans="1:10" x14ac:dyDescent="0.25">
      <c r="A2129" s="1" t="s">
        <v>51</v>
      </c>
      <c r="B2129" s="1" t="s">
        <v>52</v>
      </c>
      <c r="C2129" s="1" t="s">
        <v>420</v>
      </c>
      <c r="D2129" s="1">
        <v>41.116599999999998</v>
      </c>
      <c r="E2129" s="1">
        <v>-84.580200000000005</v>
      </c>
      <c r="F2129" s="1" t="s">
        <v>1925</v>
      </c>
      <c r="G2129" s="22">
        <v>1576.3641195149285</v>
      </c>
      <c r="H2129" s="20">
        <f ca="1">NOW() - TIME(5,30,0) + (VLOOKUP(MasterTable[[#This Row],[TimeZone]], $O$3:$P$8, 2, FALSE) / 24)</f>
        <v>45990.573544791667</v>
      </c>
      <c r="I2129" s="1" t="s">
        <v>1944</v>
      </c>
      <c r="J2129" s="1">
        <v>315.06</v>
      </c>
    </row>
    <row r="2130" spans="1:10" x14ac:dyDescent="0.25">
      <c r="A2130" s="1" t="s">
        <v>51</v>
      </c>
      <c r="B2130" s="1" t="s">
        <v>52</v>
      </c>
      <c r="C2130" s="1" t="s">
        <v>364</v>
      </c>
      <c r="D2130" s="1">
        <v>40.293799999999997</v>
      </c>
      <c r="E2130" s="1">
        <v>-81.091099999999997</v>
      </c>
      <c r="F2130" s="1" t="s">
        <v>1925</v>
      </c>
      <c r="G2130" s="22">
        <v>1743.6762513188442</v>
      </c>
      <c r="H2130" s="20">
        <f ca="1">NOW() - TIME(5,30,0) + (VLOOKUP(MasterTable[[#This Row],[TimeZone]], $O$3:$P$8, 2, FALSE) / 24)</f>
        <v>45990.573544791667</v>
      </c>
      <c r="I2130" s="1" t="s">
        <v>1944</v>
      </c>
      <c r="J2130" s="1">
        <v>486.88</v>
      </c>
    </row>
    <row r="2131" spans="1:10" x14ac:dyDescent="0.25">
      <c r="A2131" s="1" t="s">
        <v>51</v>
      </c>
      <c r="B2131" s="1" t="s">
        <v>52</v>
      </c>
      <c r="C2131" s="1" t="s">
        <v>864</v>
      </c>
      <c r="D2131" s="1">
        <v>39.765999999999998</v>
      </c>
      <c r="E2131" s="1">
        <v>-81.455500000000001</v>
      </c>
      <c r="F2131" s="1" t="s">
        <v>1925</v>
      </c>
      <c r="G2131" s="22">
        <v>1719.0603092451524</v>
      </c>
      <c r="H2131" s="20">
        <f ca="1">NOW() - TIME(5,30,0) + (VLOOKUP(MasterTable[[#This Row],[TimeZone]], $O$3:$P$8, 2, FALSE) / 24)</f>
        <v>45990.573544791667</v>
      </c>
      <c r="I2131" s="1" t="s">
        <v>1944</v>
      </c>
      <c r="J2131" s="1">
        <v>417.61</v>
      </c>
    </row>
    <row r="2132" spans="1:10" x14ac:dyDescent="0.25">
      <c r="A2132" s="1" t="s">
        <v>51</v>
      </c>
      <c r="B2132" s="1" t="s">
        <v>52</v>
      </c>
      <c r="C2132" s="1" t="s">
        <v>521</v>
      </c>
      <c r="D2132" s="1">
        <v>39.620399999999997</v>
      </c>
      <c r="E2132" s="1">
        <v>-81.852699999999999</v>
      </c>
      <c r="F2132" s="1" t="s">
        <v>1925</v>
      </c>
      <c r="G2132" s="22">
        <v>1696.6992703663411</v>
      </c>
      <c r="H2132" s="20">
        <f ca="1">NOW() - TIME(5,30,0) + (VLOOKUP(MasterTable[[#This Row],[TimeZone]], $O$3:$P$8, 2, FALSE) / 24)</f>
        <v>45990.573544791667</v>
      </c>
      <c r="I2132" s="1" t="s">
        <v>1944</v>
      </c>
      <c r="J2132" s="1">
        <v>599.05999999999995</v>
      </c>
    </row>
    <row r="2133" spans="1:10" x14ac:dyDescent="0.25">
      <c r="A2133" s="1" t="s">
        <v>51</v>
      </c>
      <c r="B2133" s="1" t="s">
        <v>52</v>
      </c>
      <c r="C2133" s="1" t="s">
        <v>135</v>
      </c>
      <c r="D2133" s="1">
        <v>39.727400000000003</v>
      </c>
      <c r="E2133" s="1">
        <v>-81.082899999999995</v>
      </c>
      <c r="F2133" s="1" t="s">
        <v>1925</v>
      </c>
      <c r="G2133" s="22">
        <v>1738.2756697926104</v>
      </c>
      <c r="H2133" s="20">
        <f ca="1">NOW() - TIME(5,30,0) + (VLOOKUP(MasterTable[[#This Row],[TimeZone]], $O$3:$P$8, 2, FALSE) / 24)</f>
        <v>45990.573544791667</v>
      </c>
      <c r="I2133" s="1" t="s">
        <v>1944</v>
      </c>
      <c r="J2133" s="1">
        <v>1034.53</v>
      </c>
    </row>
    <row r="2134" spans="1:10" x14ac:dyDescent="0.25">
      <c r="A2134" s="1" t="s">
        <v>51</v>
      </c>
      <c r="B2134" s="1" t="s">
        <v>52</v>
      </c>
      <c r="C2134" s="1" t="s">
        <v>1477</v>
      </c>
      <c r="D2134" s="1">
        <v>39.250999999999998</v>
      </c>
      <c r="E2134" s="1">
        <v>-82.485299999999995</v>
      </c>
      <c r="F2134" s="1" t="s">
        <v>1925</v>
      </c>
      <c r="G2134" s="22">
        <v>1659.6128010820591</v>
      </c>
      <c r="H2134" s="20">
        <f ca="1">NOW() - TIME(5,30,0) + (VLOOKUP(MasterTable[[#This Row],[TimeZone]], $O$3:$P$8, 2, FALSE) / 24)</f>
        <v>45990.573544791667</v>
      </c>
      <c r="I2134" s="1" t="s">
        <v>1944</v>
      </c>
      <c r="J2134" s="1">
        <v>414.96</v>
      </c>
    </row>
    <row r="2135" spans="1:10" x14ac:dyDescent="0.25">
      <c r="A2135" s="1" t="s">
        <v>126</v>
      </c>
      <c r="B2135" s="1" t="s">
        <v>125</v>
      </c>
      <c r="C2135" s="1" t="s">
        <v>125</v>
      </c>
      <c r="D2135" s="1">
        <v>35.551499999999997</v>
      </c>
      <c r="E2135" s="1">
        <v>-97.407200000000003</v>
      </c>
      <c r="F2135" s="1" t="s">
        <v>1922</v>
      </c>
      <c r="G2135" s="22">
        <v>808.10618051636459</v>
      </c>
      <c r="H2135" s="20">
        <f ca="1">NOW() - TIME(5,30,0) + (VLOOKUP(MasterTable[[#This Row],[TimeZone]], $O$3:$P$8, 2, FALSE) / 24)</f>
        <v>45990.531878125003</v>
      </c>
      <c r="I2135" s="1" t="s">
        <v>1944</v>
      </c>
      <c r="J2135" s="1">
        <v>718.31</v>
      </c>
    </row>
    <row r="2136" spans="1:10" x14ac:dyDescent="0.25">
      <c r="A2136" s="1" t="s">
        <v>126</v>
      </c>
      <c r="B2136" s="1" t="s">
        <v>125</v>
      </c>
      <c r="C2136" s="1" t="s">
        <v>149</v>
      </c>
      <c r="D2136" s="1">
        <v>36.121099999999998</v>
      </c>
      <c r="E2136" s="1">
        <v>-95.941500000000005</v>
      </c>
      <c r="F2136" s="1" t="s">
        <v>1922</v>
      </c>
      <c r="G2136" s="22">
        <v>896.93040962785631</v>
      </c>
      <c r="H2136" s="20">
        <f ca="1">NOW() - TIME(5,30,0) + (VLOOKUP(MasterTable[[#This Row],[TimeZone]], $O$3:$P$8, 2, FALSE) / 24)</f>
        <v>45990.531878125003</v>
      </c>
      <c r="I2136" s="1" t="s">
        <v>1944</v>
      </c>
      <c r="J2136" s="1">
        <v>587.02</v>
      </c>
    </row>
    <row r="2137" spans="1:10" x14ac:dyDescent="0.25">
      <c r="A2137" s="1" t="s">
        <v>126</v>
      </c>
      <c r="B2137" s="1" t="s">
        <v>125</v>
      </c>
      <c r="C2137" s="1" t="s">
        <v>294</v>
      </c>
      <c r="D2137" s="1">
        <v>35.203099999999999</v>
      </c>
      <c r="E2137" s="1">
        <v>-97.326499999999996</v>
      </c>
      <c r="F2137" s="1" t="s">
        <v>1922</v>
      </c>
      <c r="G2137" s="22">
        <v>807.63872484989611</v>
      </c>
      <c r="H2137" s="20">
        <f ca="1">NOW() - TIME(5,30,0) + (VLOOKUP(MasterTable[[#This Row],[TimeZone]], $O$3:$P$8, 2, FALSE) / 24)</f>
        <v>45990.531878125003</v>
      </c>
      <c r="I2137" s="1" t="s">
        <v>1944</v>
      </c>
      <c r="J2137" s="1">
        <v>598.79999999999995</v>
      </c>
    </row>
    <row r="2138" spans="1:10" x14ac:dyDescent="0.25">
      <c r="A2138" s="1" t="s">
        <v>126</v>
      </c>
      <c r="B2138" s="1" t="s">
        <v>125</v>
      </c>
      <c r="C2138" s="1" t="s">
        <v>446</v>
      </c>
      <c r="D2138" s="1">
        <v>35.542400000000001</v>
      </c>
      <c r="E2138" s="1">
        <v>-97.982399999999998</v>
      </c>
      <c r="F2138" s="1" t="s">
        <v>1922</v>
      </c>
      <c r="G2138" s="22">
        <v>776.46395669968535</v>
      </c>
      <c r="H2138" s="20">
        <f ca="1">NOW() - TIME(5,30,0) + (VLOOKUP(MasterTable[[#This Row],[TimeZone]], $O$3:$P$8, 2, FALSE) / 24)</f>
        <v>45990.531878125003</v>
      </c>
      <c r="I2138" s="1" t="s">
        <v>1944</v>
      </c>
      <c r="J2138" s="1">
        <v>905.17</v>
      </c>
    </row>
    <row r="2139" spans="1:10" x14ac:dyDescent="0.25">
      <c r="A2139" s="1" t="s">
        <v>126</v>
      </c>
      <c r="B2139" s="1" t="s">
        <v>125</v>
      </c>
      <c r="C2139" s="1" t="s">
        <v>526</v>
      </c>
      <c r="D2139" s="1">
        <v>34.662100000000002</v>
      </c>
      <c r="E2139" s="1">
        <v>-98.471699999999998</v>
      </c>
      <c r="F2139" s="1" t="s">
        <v>1922</v>
      </c>
      <c r="G2139" s="22">
        <v>737.11144042472483</v>
      </c>
      <c r="H2139" s="20">
        <f ca="1">NOW() - TIME(5,30,0) + (VLOOKUP(MasterTable[[#This Row],[TimeZone]], $O$3:$P$8, 2, FALSE) / 24)</f>
        <v>45990.531878125003</v>
      </c>
      <c r="I2139" s="1" t="s">
        <v>1944</v>
      </c>
      <c r="J2139" s="1">
        <v>789.7</v>
      </c>
    </row>
    <row r="2140" spans="1:10" x14ac:dyDescent="0.25">
      <c r="A2140" s="1" t="s">
        <v>126</v>
      </c>
      <c r="B2140" s="1" t="s">
        <v>125</v>
      </c>
      <c r="C2140" s="1" t="s">
        <v>607</v>
      </c>
      <c r="D2140" s="1">
        <v>36.371499999999997</v>
      </c>
      <c r="E2140" s="1">
        <v>-95.604299999999995</v>
      </c>
      <c r="F2140" s="1" t="s">
        <v>1922</v>
      </c>
      <c r="G2140" s="22">
        <v>919.22468056407922</v>
      </c>
      <c r="H2140" s="20">
        <f ca="1">NOW() - TIME(5,30,0) + (VLOOKUP(MasterTable[[#This Row],[TimeZone]], $O$3:$P$8, 2, FALSE) / 24)</f>
        <v>45990.531878125003</v>
      </c>
      <c r="I2140" s="1" t="s">
        <v>1944</v>
      </c>
      <c r="J2140" s="1">
        <v>711.44</v>
      </c>
    </row>
    <row r="2141" spans="1:10" x14ac:dyDescent="0.25">
      <c r="A2141" s="1" t="s">
        <v>126</v>
      </c>
      <c r="B2141" s="1" t="s">
        <v>125</v>
      </c>
      <c r="C2141" s="1" t="s">
        <v>648</v>
      </c>
      <c r="D2141" s="1">
        <v>35.961100000000002</v>
      </c>
      <c r="E2141" s="1">
        <v>-95.521199999999993</v>
      </c>
      <c r="F2141" s="1" t="s">
        <v>1922</v>
      </c>
      <c r="G2141" s="22">
        <v>917.45943625499854</v>
      </c>
      <c r="H2141" s="20">
        <f ca="1">NOW() - TIME(5,30,0) + (VLOOKUP(MasterTable[[#This Row],[TimeZone]], $O$3:$P$8, 2, FALSE) / 24)</f>
        <v>45990.531878125003</v>
      </c>
      <c r="I2141" s="1" t="s">
        <v>1944</v>
      </c>
      <c r="J2141" s="1">
        <v>590.99</v>
      </c>
    </row>
    <row r="2142" spans="1:10" x14ac:dyDescent="0.25">
      <c r="A2142" s="1" t="s">
        <v>126</v>
      </c>
      <c r="B2142" s="1" t="s">
        <v>125</v>
      </c>
      <c r="C2142" s="1" t="s">
        <v>660</v>
      </c>
      <c r="D2142" s="1">
        <v>36.077300000000001</v>
      </c>
      <c r="E2142" s="1">
        <v>-96.9756</v>
      </c>
      <c r="F2142" s="1" t="s">
        <v>1922</v>
      </c>
      <c r="G2142" s="22">
        <v>840.1380229718842</v>
      </c>
      <c r="H2142" s="20">
        <f ca="1">NOW() - TIME(5,30,0) + (VLOOKUP(MasterTable[[#This Row],[TimeZone]], $O$3:$P$8, 2, FALSE) / 24)</f>
        <v>45990.531878125003</v>
      </c>
      <c r="I2142" s="1" t="s">
        <v>1944</v>
      </c>
      <c r="J2142" s="1">
        <v>697.13</v>
      </c>
    </row>
    <row r="2143" spans="1:10" x14ac:dyDescent="0.25">
      <c r="A2143" s="1" t="s">
        <v>126</v>
      </c>
      <c r="B2143" s="1" t="s">
        <v>125</v>
      </c>
      <c r="C2143" s="1" t="s">
        <v>701</v>
      </c>
      <c r="D2143" s="1">
        <v>35.206600000000002</v>
      </c>
      <c r="E2143" s="1">
        <v>-96.948400000000007</v>
      </c>
      <c r="F2143" s="1" t="s">
        <v>1922</v>
      </c>
      <c r="G2143" s="22">
        <v>828.66166517748184</v>
      </c>
      <c r="H2143" s="20">
        <f ca="1">NOW() - TIME(5,30,0) + (VLOOKUP(MasterTable[[#This Row],[TimeZone]], $O$3:$P$8, 2, FALSE) / 24)</f>
        <v>45990.531878125003</v>
      </c>
      <c r="I2143" s="1" t="s">
        <v>1944</v>
      </c>
      <c r="J2143" s="1">
        <v>862.07</v>
      </c>
    </row>
    <row r="2144" spans="1:10" x14ac:dyDescent="0.25">
      <c r="A2144" s="1" t="s">
        <v>126</v>
      </c>
      <c r="B2144" s="1" t="s">
        <v>125</v>
      </c>
      <c r="C2144" s="1" t="s">
        <v>705</v>
      </c>
      <c r="D2144" s="1">
        <v>35.9026</v>
      </c>
      <c r="E2144" s="1">
        <v>-96.370900000000006</v>
      </c>
      <c r="F2144" s="1" t="s">
        <v>1922</v>
      </c>
      <c r="G2144" s="22">
        <v>870.15442126042967</v>
      </c>
      <c r="H2144" s="20">
        <f ca="1">NOW() - TIME(5,30,0) + (VLOOKUP(MasterTable[[#This Row],[TimeZone]], $O$3:$P$8, 2, FALSE) / 24)</f>
        <v>45990.531878125003</v>
      </c>
      <c r="I2144" s="1" t="s">
        <v>1944</v>
      </c>
      <c r="J2144" s="1">
        <v>969.77</v>
      </c>
    </row>
    <row r="2145" spans="1:10" x14ac:dyDescent="0.25">
      <c r="A2145" s="1" t="s">
        <v>126</v>
      </c>
      <c r="B2145" s="1" t="s">
        <v>125</v>
      </c>
      <c r="C2145" s="1" t="s">
        <v>736</v>
      </c>
      <c r="D2145" s="1">
        <v>35.616199999999999</v>
      </c>
      <c r="E2145" s="1">
        <v>-95.379499999999993</v>
      </c>
      <c r="F2145" s="1" t="s">
        <v>1922</v>
      </c>
      <c r="G2145" s="22">
        <v>920.6660757924675</v>
      </c>
      <c r="H2145" s="20">
        <f ca="1">NOW() - TIME(5,30,0) + (VLOOKUP(MasterTable[[#This Row],[TimeZone]], $O$3:$P$8, 2, FALSE) / 24)</f>
        <v>45990.531878125003</v>
      </c>
      <c r="I2145" s="1" t="s">
        <v>1944</v>
      </c>
      <c r="J2145" s="1">
        <v>838.99</v>
      </c>
    </row>
    <row r="2146" spans="1:10" x14ac:dyDescent="0.25">
      <c r="A2146" s="1" t="s">
        <v>126</v>
      </c>
      <c r="B2146" s="1" t="s">
        <v>125</v>
      </c>
      <c r="C2146" s="1" t="s">
        <v>765</v>
      </c>
      <c r="D2146" s="1">
        <v>36.379100000000001</v>
      </c>
      <c r="E2146" s="1">
        <v>-97.782700000000006</v>
      </c>
      <c r="F2146" s="1" t="s">
        <v>1922</v>
      </c>
      <c r="G2146" s="22">
        <v>802.51962313326408</v>
      </c>
      <c r="H2146" s="20">
        <f ca="1">NOW() - TIME(5,30,0) + (VLOOKUP(MasterTable[[#This Row],[TimeZone]], $O$3:$P$8, 2, FALSE) / 24)</f>
        <v>45990.531878125003</v>
      </c>
      <c r="I2146" s="1" t="s">
        <v>1944</v>
      </c>
      <c r="J2146" s="1">
        <v>2955.76</v>
      </c>
    </row>
    <row r="2147" spans="1:10" x14ac:dyDescent="0.25">
      <c r="A2147" s="1" t="s">
        <v>126</v>
      </c>
      <c r="B2147" s="1" t="s">
        <v>125</v>
      </c>
      <c r="C2147" s="1" t="s">
        <v>806</v>
      </c>
      <c r="D2147" s="1">
        <v>35.0169</v>
      </c>
      <c r="E2147" s="1">
        <v>-97.884100000000004</v>
      </c>
      <c r="F2147" s="1" t="s">
        <v>1922</v>
      </c>
      <c r="G2147" s="22">
        <v>774.2640777325048</v>
      </c>
      <c r="H2147" s="20">
        <f ca="1">NOW() - TIME(5,30,0) + (VLOOKUP(MasterTable[[#This Row],[TimeZone]], $O$3:$P$8, 2, FALSE) / 24)</f>
        <v>45990.531878125003</v>
      </c>
      <c r="I2147" s="1" t="s">
        <v>1944</v>
      </c>
      <c r="J2147" s="1">
        <v>460.34</v>
      </c>
    </row>
    <row r="2148" spans="1:10" x14ac:dyDescent="0.25">
      <c r="A2148" s="1" t="s">
        <v>126</v>
      </c>
      <c r="B2148" s="1" t="s">
        <v>125</v>
      </c>
      <c r="C2148" s="1" t="s">
        <v>28</v>
      </c>
      <c r="D2148" s="1">
        <v>36.715200000000003</v>
      </c>
      <c r="E2148" s="1">
        <v>-95.904399999999995</v>
      </c>
      <c r="F2148" s="1" t="s">
        <v>1922</v>
      </c>
      <c r="G2148" s="22">
        <v>909.1048184766538</v>
      </c>
      <c r="H2148" s="20">
        <f ca="1">NOW() - TIME(5,30,0) + (VLOOKUP(MasterTable[[#This Row],[TimeZone]], $O$3:$P$8, 2, FALSE) / 24)</f>
        <v>45990.531878125003</v>
      </c>
      <c r="I2148" s="1" t="s">
        <v>1944</v>
      </c>
      <c r="J2148" s="1">
        <v>1088.54</v>
      </c>
    </row>
    <row r="2149" spans="1:10" x14ac:dyDescent="0.25">
      <c r="A2149" s="1" t="s">
        <v>126</v>
      </c>
      <c r="B2149" s="1" t="s">
        <v>125</v>
      </c>
      <c r="C2149" s="1" t="s">
        <v>837</v>
      </c>
      <c r="D2149" s="1">
        <v>35.9193</v>
      </c>
      <c r="E2149" s="1">
        <v>-97.443299999999994</v>
      </c>
      <c r="F2149" s="1" t="s">
        <v>1922</v>
      </c>
      <c r="G2149" s="22">
        <v>812.09553779798182</v>
      </c>
      <c r="H2149" s="20">
        <f ca="1">NOW() - TIME(5,30,0) + (VLOOKUP(MasterTable[[#This Row],[TimeZone]], $O$3:$P$8, 2, FALSE) / 24)</f>
        <v>45990.531878125003</v>
      </c>
      <c r="I2149" s="1" t="s">
        <v>1944</v>
      </c>
      <c r="J2149" s="1">
        <v>731.5</v>
      </c>
    </row>
    <row r="2150" spans="1:10" x14ac:dyDescent="0.25">
      <c r="A2150" s="1" t="s">
        <v>126</v>
      </c>
      <c r="B2150" s="1" t="s">
        <v>125</v>
      </c>
      <c r="C2150" s="1" t="s">
        <v>853</v>
      </c>
      <c r="D2150" s="1">
        <v>34.900300000000001</v>
      </c>
      <c r="E2150" s="1">
        <v>-94.703400000000002</v>
      </c>
      <c r="F2150" s="1" t="s">
        <v>1922</v>
      </c>
      <c r="G2150" s="22">
        <v>951.1330934049081</v>
      </c>
      <c r="H2150" s="20">
        <f ca="1">NOW() - TIME(5,30,0) + (VLOOKUP(MasterTable[[#This Row],[TimeZone]], $O$3:$P$8, 2, FALSE) / 24)</f>
        <v>45990.531878125003</v>
      </c>
      <c r="I2150" s="1" t="s">
        <v>1944</v>
      </c>
      <c r="J2150" s="1">
        <v>1608.03</v>
      </c>
    </row>
    <row r="2151" spans="1:10" x14ac:dyDescent="0.25">
      <c r="A2151" s="1" t="s">
        <v>126</v>
      </c>
      <c r="B2151" s="1" t="s">
        <v>125</v>
      </c>
      <c r="C2151" s="1" t="s">
        <v>803</v>
      </c>
      <c r="D2151" s="1">
        <v>34.250900000000001</v>
      </c>
      <c r="E2151" s="1">
        <v>-97.285799999999995</v>
      </c>
      <c r="F2151" s="1" t="s">
        <v>1922</v>
      </c>
      <c r="G2151" s="22">
        <v>800.08220487767176</v>
      </c>
      <c r="H2151" s="20">
        <f ca="1">NOW() - TIME(5,30,0) + (VLOOKUP(MasterTable[[#This Row],[TimeZone]], $O$3:$P$8, 2, FALSE) / 24)</f>
        <v>45990.531878125003</v>
      </c>
      <c r="I2151" s="1" t="s">
        <v>1944</v>
      </c>
      <c r="J2151" s="1">
        <v>412.15</v>
      </c>
    </row>
    <row r="2152" spans="1:10" x14ac:dyDescent="0.25">
      <c r="A2152" s="1" t="s">
        <v>126</v>
      </c>
      <c r="B2152" s="1" t="s">
        <v>125</v>
      </c>
      <c r="C2152" s="1" t="s">
        <v>313</v>
      </c>
      <c r="D2152" s="1">
        <v>35.906700000000001</v>
      </c>
      <c r="E2152" s="1">
        <v>-94.999700000000004</v>
      </c>
      <c r="F2152" s="1" t="s">
        <v>1922</v>
      </c>
      <c r="G2152" s="22">
        <v>945.30757513871231</v>
      </c>
      <c r="H2152" s="20">
        <f ca="1">NOW() - TIME(5,30,0) + (VLOOKUP(MasterTable[[#This Row],[TimeZone]], $O$3:$P$8, 2, FALSE) / 24)</f>
        <v>45990.531878125003</v>
      </c>
      <c r="I2152" s="1" t="s">
        <v>1944</v>
      </c>
      <c r="J2152" s="1">
        <v>599.95000000000005</v>
      </c>
    </row>
    <row r="2153" spans="1:10" x14ac:dyDescent="0.25">
      <c r="A2153" s="1" t="s">
        <v>126</v>
      </c>
      <c r="B2153" s="1" t="s">
        <v>125</v>
      </c>
      <c r="C2153" s="1" t="s">
        <v>865</v>
      </c>
      <c r="D2153" s="1">
        <v>33.962299999999999</v>
      </c>
      <c r="E2153" s="1">
        <v>-96.259799999999998</v>
      </c>
      <c r="F2153" s="1" t="s">
        <v>1922</v>
      </c>
      <c r="G2153" s="22">
        <v>856.76482650790081</v>
      </c>
      <c r="H2153" s="20">
        <f ca="1">NOW() - TIME(5,30,0) + (VLOOKUP(MasterTable[[#This Row],[TimeZone]], $O$3:$P$8, 2, FALSE) / 24)</f>
        <v>45990.531878125003</v>
      </c>
      <c r="I2153" s="1" t="s">
        <v>1944</v>
      </c>
      <c r="J2153" s="1">
        <v>454.49</v>
      </c>
    </row>
    <row r="2154" spans="1:10" x14ac:dyDescent="0.25">
      <c r="A2154" s="1" t="s">
        <v>126</v>
      </c>
      <c r="B2154" s="1" t="s">
        <v>125</v>
      </c>
      <c r="C2154" s="1" t="s">
        <v>878</v>
      </c>
      <c r="D2154" s="1">
        <v>36.629199999999997</v>
      </c>
      <c r="E2154" s="1">
        <v>-96.398499999999999</v>
      </c>
      <c r="F2154" s="1" t="s">
        <v>1922</v>
      </c>
      <c r="G2154" s="22">
        <v>881.13691182648211</v>
      </c>
      <c r="H2154" s="20">
        <f ca="1">NOW() - TIME(5,30,0) + (VLOOKUP(MasterTable[[#This Row],[TimeZone]], $O$3:$P$8, 2, FALSE) / 24)</f>
        <v>45990.531878125003</v>
      </c>
      <c r="I2154" s="1" t="s">
        <v>1944</v>
      </c>
      <c r="J2154" s="1">
        <v>719.23</v>
      </c>
    </row>
    <row r="2155" spans="1:10" x14ac:dyDescent="0.25">
      <c r="A2155" s="1" t="s">
        <v>126</v>
      </c>
      <c r="B2155" s="1" t="s">
        <v>125</v>
      </c>
      <c r="C2155" s="1" t="s">
        <v>905</v>
      </c>
      <c r="D2155" s="1">
        <v>35.009300000000003</v>
      </c>
      <c r="E2155" s="1">
        <v>-97.444299999999998</v>
      </c>
      <c r="F2155" s="1" t="s">
        <v>1922</v>
      </c>
      <c r="G2155" s="22">
        <v>798.64612281403322</v>
      </c>
      <c r="H2155" s="20">
        <f ca="1">NOW() - TIME(5,30,0) + (VLOOKUP(MasterTable[[#This Row],[TimeZone]], $O$3:$P$8, 2, FALSE) / 24)</f>
        <v>45990.531878125003</v>
      </c>
      <c r="I2155" s="1" t="s">
        <v>1944</v>
      </c>
      <c r="J2155" s="1">
        <v>580.13</v>
      </c>
    </row>
    <row r="2156" spans="1:10" x14ac:dyDescent="0.25">
      <c r="A2156" s="1" t="s">
        <v>126</v>
      </c>
      <c r="B2156" s="1" t="s">
        <v>125</v>
      </c>
      <c r="C2156" s="1" t="s">
        <v>907</v>
      </c>
      <c r="D2156" s="1">
        <v>36.817999999999998</v>
      </c>
      <c r="E2156" s="1">
        <v>-97.143900000000002</v>
      </c>
      <c r="F2156" s="1" t="s">
        <v>1922</v>
      </c>
      <c r="G2156" s="22">
        <v>845.46345945196106</v>
      </c>
      <c r="H2156" s="20">
        <f ca="1">NOW() - TIME(5,30,0) + (VLOOKUP(MasterTable[[#This Row],[TimeZone]], $O$3:$P$8, 2, FALSE) / 24)</f>
        <v>45990.531878125003</v>
      </c>
      <c r="I2156" s="1" t="s">
        <v>1944</v>
      </c>
      <c r="J2156" s="1">
        <v>945.12</v>
      </c>
    </row>
    <row r="2157" spans="1:10" x14ac:dyDescent="0.25">
      <c r="A2157" s="1" t="s">
        <v>126</v>
      </c>
      <c r="B2157" s="1" t="s">
        <v>125</v>
      </c>
      <c r="C2157" s="1" t="s">
        <v>909</v>
      </c>
      <c r="D2157" s="1">
        <v>34.923900000000003</v>
      </c>
      <c r="E2157" s="1">
        <v>-95.748400000000004</v>
      </c>
      <c r="F2157" s="1" t="s">
        <v>1922</v>
      </c>
      <c r="G2157" s="22">
        <v>892.59227394896357</v>
      </c>
      <c r="H2157" s="20">
        <f ca="1">NOW() - TIME(5,30,0) + (VLOOKUP(MasterTable[[#This Row],[TimeZone]], $O$3:$P$8, 2, FALSE) / 24)</f>
        <v>45990.531878125003</v>
      </c>
      <c r="I2157" s="1" t="s">
        <v>1944</v>
      </c>
      <c r="J2157" s="1">
        <v>1377.85</v>
      </c>
    </row>
    <row r="2158" spans="1:10" x14ac:dyDescent="0.25">
      <c r="A2158" s="1" t="s">
        <v>126</v>
      </c>
      <c r="B2158" s="1" t="s">
        <v>125</v>
      </c>
      <c r="C2158" s="1" t="s">
        <v>913</v>
      </c>
      <c r="D2158" s="1">
        <v>34.485599999999998</v>
      </c>
      <c r="E2158" s="1">
        <v>-97.851500000000001</v>
      </c>
      <c r="F2158" s="1" t="s">
        <v>1922</v>
      </c>
      <c r="G2158" s="22">
        <v>770.09171107812813</v>
      </c>
      <c r="H2158" s="20">
        <f ca="1">NOW() - TIME(5,30,0) + (VLOOKUP(MasterTable[[#This Row],[TimeZone]], $O$3:$P$8, 2, FALSE) / 24)</f>
        <v>45990.531878125003</v>
      </c>
      <c r="I2158" s="1" t="s">
        <v>1944</v>
      </c>
      <c r="J2158" s="1">
        <v>184.23</v>
      </c>
    </row>
    <row r="2159" spans="1:10" x14ac:dyDescent="0.25">
      <c r="A2159" s="1" t="s">
        <v>126</v>
      </c>
      <c r="B2159" s="1" t="s">
        <v>125</v>
      </c>
      <c r="C2159" s="1" t="s">
        <v>174</v>
      </c>
      <c r="D2159" s="1">
        <v>36.408200000000001</v>
      </c>
      <c r="E2159" s="1">
        <v>-94.802599999999998</v>
      </c>
      <c r="F2159" s="1" t="s">
        <v>1922</v>
      </c>
      <c r="G2159" s="22">
        <v>963.2137765304941</v>
      </c>
      <c r="H2159" s="20">
        <f ca="1">NOW() - TIME(5,30,0) + (VLOOKUP(MasterTable[[#This Row],[TimeZone]], $O$3:$P$8, 2, FALSE) / 24)</f>
        <v>45990.531878125003</v>
      </c>
      <c r="I2159" s="1" t="s">
        <v>1944</v>
      </c>
      <c r="J2159" s="1">
        <v>395.92</v>
      </c>
    </row>
    <row r="2160" spans="1:10" x14ac:dyDescent="0.25">
      <c r="A2160" s="1" t="s">
        <v>126</v>
      </c>
      <c r="B2160" s="1" t="s">
        <v>125</v>
      </c>
      <c r="C2160" s="1" t="s">
        <v>957</v>
      </c>
      <c r="D2160" s="1">
        <v>35.4953</v>
      </c>
      <c r="E2160" s="1">
        <v>-94.755200000000002</v>
      </c>
      <c r="F2160" s="1" t="s">
        <v>1922</v>
      </c>
      <c r="G2160" s="22">
        <v>953.85511428240693</v>
      </c>
      <c r="H2160" s="20">
        <f ca="1">NOW() - TIME(5,30,0) + (VLOOKUP(MasterTable[[#This Row],[TimeZone]], $O$3:$P$8, 2, FALSE) / 24)</f>
        <v>45990.531878125003</v>
      </c>
      <c r="I2160" s="1" t="s">
        <v>1944</v>
      </c>
      <c r="J2160" s="1">
        <v>714.88</v>
      </c>
    </row>
    <row r="2161" spans="1:10" x14ac:dyDescent="0.25">
      <c r="A2161" s="1" t="s">
        <v>126</v>
      </c>
      <c r="B2161" s="1" t="s">
        <v>125</v>
      </c>
      <c r="C2161" s="1" t="s">
        <v>959</v>
      </c>
      <c r="D2161" s="1">
        <v>36.301900000000003</v>
      </c>
      <c r="E2161" s="1">
        <v>-95.230699999999999</v>
      </c>
      <c r="F2161" s="1" t="s">
        <v>1922</v>
      </c>
      <c r="G2161" s="22">
        <v>938.35406549129038</v>
      </c>
      <c r="H2161" s="20">
        <f ca="1">NOW() - TIME(5,30,0) + (VLOOKUP(MasterTable[[#This Row],[TimeZone]], $O$3:$P$8, 2, FALSE) / 24)</f>
        <v>45990.531878125003</v>
      </c>
      <c r="I2161" s="1" t="s">
        <v>1944</v>
      </c>
      <c r="J2161" s="1">
        <v>683.51</v>
      </c>
    </row>
    <row r="2162" spans="1:10" x14ac:dyDescent="0.25">
      <c r="A2162" s="1" t="s">
        <v>126</v>
      </c>
      <c r="B2162" s="1" t="s">
        <v>125</v>
      </c>
      <c r="C2162" s="1" t="s">
        <v>973</v>
      </c>
      <c r="D2162" s="1">
        <v>34.728000000000002</v>
      </c>
      <c r="E2162" s="1">
        <v>-96.684399999999997</v>
      </c>
      <c r="F2162" s="1" t="s">
        <v>1922</v>
      </c>
      <c r="G2162" s="22">
        <v>838.15022291205446</v>
      </c>
      <c r="H2162" s="20">
        <f ca="1">NOW() - TIME(5,30,0) + (VLOOKUP(MasterTable[[#This Row],[TimeZone]], $O$3:$P$8, 2, FALSE) / 24)</f>
        <v>45990.531878125003</v>
      </c>
      <c r="I2162" s="1" t="s">
        <v>1944</v>
      </c>
      <c r="J2162" s="1">
        <v>500.99</v>
      </c>
    </row>
    <row r="2163" spans="1:10" x14ac:dyDescent="0.25">
      <c r="A2163" s="1" t="s">
        <v>126</v>
      </c>
      <c r="B2163" s="1" t="s">
        <v>125</v>
      </c>
      <c r="C2163" s="1" t="s">
        <v>990</v>
      </c>
      <c r="D2163" s="1">
        <v>35.646599999999999</v>
      </c>
      <c r="E2163" s="1">
        <v>-95.964299999999994</v>
      </c>
      <c r="F2163" s="1" t="s">
        <v>1922</v>
      </c>
      <c r="G2163" s="22">
        <v>888.78645336554973</v>
      </c>
      <c r="H2163" s="20">
        <f ca="1">NOW() - TIME(5,30,0) + (VLOOKUP(MasterTable[[#This Row],[TimeZone]], $O$3:$P$8, 2, FALSE) / 24)</f>
        <v>45990.531878125003</v>
      </c>
      <c r="I2163" s="1" t="s">
        <v>1944</v>
      </c>
      <c r="J2163" s="1">
        <v>702.32</v>
      </c>
    </row>
    <row r="2164" spans="1:10" x14ac:dyDescent="0.25">
      <c r="A2164" s="1" t="s">
        <v>126</v>
      </c>
      <c r="B2164" s="1" t="s">
        <v>125</v>
      </c>
      <c r="C2164" s="1" t="s">
        <v>632</v>
      </c>
      <c r="D2164" s="1">
        <v>35.703000000000003</v>
      </c>
      <c r="E2164" s="1">
        <v>-96.880899999999997</v>
      </c>
      <c r="F2164" s="1" t="s">
        <v>1922</v>
      </c>
      <c r="G2164" s="22">
        <v>839.23994831863467</v>
      </c>
      <c r="H2164" s="20">
        <f ca="1">NOW() - TIME(5,30,0) + (VLOOKUP(MasterTable[[#This Row],[TimeZone]], $O$3:$P$8, 2, FALSE) / 24)</f>
        <v>45990.531878125003</v>
      </c>
      <c r="I2164" s="1" t="s">
        <v>1944</v>
      </c>
      <c r="J2164" s="1">
        <v>572.16999999999996</v>
      </c>
    </row>
    <row r="2165" spans="1:10" x14ac:dyDescent="0.25">
      <c r="A2165" s="1" t="s">
        <v>126</v>
      </c>
      <c r="B2165" s="1" t="s">
        <v>125</v>
      </c>
      <c r="C2165" s="1" t="s">
        <v>1060</v>
      </c>
      <c r="D2165" s="1">
        <v>34.115400000000001</v>
      </c>
      <c r="E2165" s="1">
        <v>-94.771299999999997</v>
      </c>
      <c r="F2165" s="1" t="s">
        <v>1922</v>
      </c>
      <c r="G2165" s="22">
        <v>942.50176994848675</v>
      </c>
      <c r="H2165" s="20">
        <f ca="1">NOW() - TIME(5,30,0) + (VLOOKUP(MasterTable[[#This Row],[TimeZone]], $O$3:$P$8, 2, FALSE) / 24)</f>
        <v>45990.531878125003</v>
      </c>
      <c r="I2165" s="1" t="s">
        <v>1944</v>
      </c>
      <c r="J2165" s="1">
        <v>1901.32</v>
      </c>
    </row>
    <row r="2166" spans="1:10" x14ac:dyDescent="0.25">
      <c r="A2166" s="1" t="s">
        <v>126</v>
      </c>
      <c r="B2166" s="1" t="s">
        <v>125</v>
      </c>
      <c r="C2166" s="1" t="s">
        <v>292</v>
      </c>
      <c r="D2166" s="1">
        <v>36.835500000000003</v>
      </c>
      <c r="E2166" s="1">
        <v>-94.810400000000001</v>
      </c>
      <c r="F2166" s="1" t="s">
        <v>1922</v>
      </c>
      <c r="G2166" s="22">
        <v>969.74152541301112</v>
      </c>
      <c r="H2166" s="20">
        <f ca="1">NOW() - TIME(5,30,0) + (VLOOKUP(MasterTable[[#This Row],[TimeZone]], $O$3:$P$8, 2, FALSE) / 24)</f>
        <v>45990.531878125003</v>
      </c>
      <c r="I2166" s="1" t="s">
        <v>1944</v>
      </c>
      <c r="J2166" s="1">
        <v>721.9</v>
      </c>
    </row>
    <row r="2167" spans="1:10" x14ac:dyDescent="0.25">
      <c r="A2167" s="1" t="s">
        <v>126</v>
      </c>
      <c r="B2167" s="1" t="s">
        <v>125</v>
      </c>
      <c r="C2167" s="1" t="s">
        <v>1100</v>
      </c>
      <c r="D2167" s="1">
        <v>35.638800000000003</v>
      </c>
      <c r="E2167" s="1">
        <v>-99.001499999999993</v>
      </c>
      <c r="F2167" s="1" t="s">
        <v>1922</v>
      </c>
      <c r="G2167" s="22">
        <v>722.71101538687958</v>
      </c>
      <c r="H2167" s="20">
        <f ca="1">NOW() - TIME(5,30,0) + (VLOOKUP(MasterTable[[#This Row],[TimeZone]], $O$3:$P$8, 2, FALSE) / 24)</f>
        <v>45990.531878125003</v>
      </c>
      <c r="I2167" s="1" t="s">
        <v>1944</v>
      </c>
      <c r="J2167" s="1">
        <v>739.9</v>
      </c>
    </row>
    <row r="2168" spans="1:10" x14ac:dyDescent="0.25">
      <c r="A2168" s="1" t="s">
        <v>126</v>
      </c>
      <c r="B2168" s="1" t="s">
        <v>125</v>
      </c>
      <c r="C2168" s="1" t="s">
        <v>343</v>
      </c>
      <c r="D2168" s="1">
        <v>35.174399999999999</v>
      </c>
      <c r="E2168" s="1">
        <v>-98.375100000000003</v>
      </c>
      <c r="F2168" s="1" t="s">
        <v>1922</v>
      </c>
      <c r="G2168" s="22">
        <v>749.22850446944108</v>
      </c>
      <c r="H2168" s="20">
        <f ca="1">NOW() - TIME(5,30,0) + (VLOOKUP(MasterTable[[#This Row],[TimeZone]], $O$3:$P$8, 2, FALSE) / 24)</f>
        <v>45990.531878125003</v>
      </c>
      <c r="I2168" s="1" t="s">
        <v>1944</v>
      </c>
      <c r="J2168" s="1">
        <v>936.9</v>
      </c>
    </row>
    <row r="2169" spans="1:10" x14ac:dyDescent="0.25">
      <c r="A2169" s="1" t="s">
        <v>126</v>
      </c>
      <c r="B2169" s="1" t="s">
        <v>125</v>
      </c>
      <c r="C2169" s="1" t="s">
        <v>1148</v>
      </c>
      <c r="D2169" s="1">
        <v>34.704599999999999</v>
      </c>
      <c r="E2169" s="1">
        <v>-97.309299999999993</v>
      </c>
      <c r="F2169" s="1" t="s">
        <v>1922</v>
      </c>
      <c r="G2169" s="22">
        <v>802.79044737789366</v>
      </c>
      <c r="H2169" s="20">
        <f ca="1">NOW() - TIME(5,30,0) + (VLOOKUP(MasterTable[[#This Row],[TimeZone]], $O$3:$P$8, 2, FALSE) / 24)</f>
        <v>45990.531878125003</v>
      </c>
      <c r="I2169" s="1" t="s">
        <v>1944</v>
      </c>
      <c r="J2169" s="1">
        <v>813.66</v>
      </c>
    </row>
    <row r="2170" spans="1:10" x14ac:dyDescent="0.25">
      <c r="A2170" s="1" t="s">
        <v>126</v>
      </c>
      <c r="B2170" s="1" t="s">
        <v>125</v>
      </c>
      <c r="C2170" s="1" t="s">
        <v>140</v>
      </c>
      <c r="D2170" s="1">
        <v>34.588000000000001</v>
      </c>
      <c r="E2170" s="1">
        <v>-99.4148</v>
      </c>
      <c r="F2170" s="1" t="s">
        <v>1922</v>
      </c>
      <c r="G2170" s="22">
        <v>683.42527194839226</v>
      </c>
      <c r="H2170" s="20">
        <f ca="1">NOW() - TIME(5,30,0) + (VLOOKUP(MasterTable[[#This Row],[TimeZone]], $O$3:$P$8, 2, FALSE) / 24)</f>
        <v>45990.531878125003</v>
      </c>
      <c r="I2170" s="1" t="s">
        <v>1944</v>
      </c>
      <c r="J2170" s="1">
        <v>1126.77</v>
      </c>
    </row>
    <row r="2171" spans="1:10" x14ac:dyDescent="0.25">
      <c r="A2171" s="1" t="s">
        <v>126</v>
      </c>
      <c r="B2171" s="1" t="s">
        <v>125</v>
      </c>
      <c r="C2171" s="1" t="s">
        <v>209</v>
      </c>
      <c r="D2171" s="1">
        <v>35.167499999999997</v>
      </c>
      <c r="E2171" s="1">
        <v>-96.615499999999997</v>
      </c>
      <c r="F2171" s="1" t="s">
        <v>1922</v>
      </c>
      <c r="G2171" s="22">
        <v>846.69225699243827</v>
      </c>
      <c r="H2171" s="20">
        <f ca="1">NOW() - TIME(5,30,0) + (VLOOKUP(MasterTable[[#This Row],[TimeZone]], $O$3:$P$8, 2, FALSE) / 24)</f>
        <v>45990.531878125003</v>
      </c>
      <c r="I2171" s="1" t="s">
        <v>1944</v>
      </c>
      <c r="J2171" s="1">
        <v>344.87</v>
      </c>
    </row>
    <row r="2172" spans="1:10" x14ac:dyDescent="0.25">
      <c r="A2172" s="1" t="s">
        <v>126</v>
      </c>
      <c r="B2172" s="1" t="s">
        <v>125</v>
      </c>
      <c r="C2172" s="1" t="s">
        <v>1220</v>
      </c>
      <c r="D2172" s="1">
        <v>35.268700000000003</v>
      </c>
      <c r="E2172" s="1">
        <v>-99.682000000000002</v>
      </c>
      <c r="F2172" s="1" t="s">
        <v>1922</v>
      </c>
      <c r="G2172" s="22">
        <v>679.02712874284214</v>
      </c>
      <c r="H2172" s="20">
        <f ca="1">NOW() - TIME(5,30,0) + (VLOOKUP(MasterTable[[#This Row],[TimeZone]], $O$3:$P$8, 2, FALSE) / 24)</f>
        <v>45990.531878125003</v>
      </c>
      <c r="I2172" s="1" t="s">
        <v>1944</v>
      </c>
      <c r="J2172" s="1">
        <v>904.14</v>
      </c>
    </row>
    <row r="2173" spans="1:10" x14ac:dyDescent="0.25">
      <c r="A2173" s="1" t="s">
        <v>126</v>
      </c>
      <c r="B2173" s="1" t="s">
        <v>125</v>
      </c>
      <c r="C2173" s="1" t="s">
        <v>8</v>
      </c>
      <c r="D2173" s="1">
        <v>36.747900000000001</v>
      </c>
      <c r="E2173" s="1">
        <v>-101.4901</v>
      </c>
      <c r="F2173" s="1" t="s">
        <v>1922</v>
      </c>
      <c r="G2173" s="22">
        <v>621.36734364156325</v>
      </c>
      <c r="H2173" s="20">
        <f ca="1">NOW() - TIME(5,30,0) + (VLOOKUP(MasterTable[[#This Row],[TimeZone]], $O$3:$P$8, 2, FALSE) / 24)</f>
        <v>45990.531878125003</v>
      </c>
      <c r="I2173" s="1" t="s">
        <v>1944</v>
      </c>
      <c r="J2173" s="1">
        <v>1179.24</v>
      </c>
    </row>
    <row r="2174" spans="1:10" x14ac:dyDescent="0.25">
      <c r="A2174" s="1" t="s">
        <v>126</v>
      </c>
      <c r="B2174" s="1" t="s">
        <v>125</v>
      </c>
      <c r="C2174" s="1" t="s">
        <v>1270</v>
      </c>
      <c r="D2174" s="1">
        <v>36.422699999999999</v>
      </c>
      <c r="E2174" s="1">
        <v>-99.265100000000004</v>
      </c>
      <c r="F2174" s="1" t="s">
        <v>1922</v>
      </c>
      <c r="G2174" s="22">
        <v>725.36393158341514</v>
      </c>
      <c r="H2174" s="20">
        <f ca="1">NOW() - TIME(5,30,0) + (VLOOKUP(MasterTable[[#This Row],[TimeZone]], $O$3:$P$8, 2, FALSE) / 24)</f>
        <v>45990.531878125003</v>
      </c>
      <c r="I2174" s="1" t="s">
        <v>1944</v>
      </c>
      <c r="J2174" s="1">
        <v>1246.01</v>
      </c>
    </row>
    <row r="2175" spans="1:10" x14ac:dyDescent="0.25">
      <c r="A2175" s="1" t="s">
        <v>126</v>
      </c>
      <c r="B2175" s="1" t="s">
        <v>125</v>
      </c>
      <c r="C2175" s="1" t="s">
        <v>1165</v>
      </c>
      <c r="D2175" s="1">
        <v>35.883899999999997</v>
      </c>
      <c r="E2175" s="1">
        <v>-94.658699999999996</v>
      </c>
      <c r="F2175" s="1" t="s">
        <v>1922</v>
      </c>
      <c r="G2175" s="22">
        <v>963.76426915577576</v>
      </c>
      <c r="H2175" s="20">
        <f ca="1">NOW() - TIME(5,30,0) + (VLOOKUP(MasterTable[[#This Row],[TimeZone]], $O$3:$P$8, 2, FALSE) / 24)</f>
        <v>45990.531878125003</v>
      </c>
      <c r="I2175" s="1" t="s">
        <v>1944</v>
      </c>
      <c r="J2175" s="1">
        <v>570.30999999999995</v>
      </c>
    </row>
    <row r="2176" spans="1:10" x14ac:dyDescent="0.25">
      <c r="A2176" s="1" t="s">
        <v>126</v>
      </c>
      <c r="B2176" s="1" t="s">
        <v>125</v>
      </c>
      <c r="C2176" s="1" t="s">
        <v>1293</v>
      </c>
      <c r="D2176" s="1">
        <v>35.373600000000003</v>
      </c>
      <c r="E2176" s="1">
        <v>-95.666799999999995</v>
      </c>
      <c r="F2176" s="1" t="s">
        <v>1922</v>
      </c>
      <c r="G2176" s="22">
        <v>901.84854575636393</v>
      </c>
      <c r="H2176" s="20">
        <f ca="1">NOW() - TIME(5,30,0) + (VLOOKUP(MasterTable[[#This Row],[TimeZone]], $O$3:$P$8, 2, FALSE) / 24)</f>
        <v>45990.531878125003</v>
      </c>
      <c r="I2176" s="1" t="s">
        <v>1944</v>
      </c>
      <c r="J2176" s="1">
        <v>574.53</v>
      </c>
    </row>
    <row r="2177" spans="1:10" x14ac:dyDescent="0.25">
      <c r="A2177" s="1" t="s">
        <v>126</v>
      </c>
      <c r="B2177" s="1" t="s">
        <v>125</v>
      </c>
      <c r="C2177" s="1" t="s">
        <v>1386</v>
      </c>
      <c r="D2177" s="1">
        <v>36.316899999999997</v>
      </c>
      <c r="E2177" s="1">
        <v>-96.699200000000005</v>
      </c>
      <c r="F2177" s="1" t="s">
        <v>1922</v>
      </c>
      <c r="G2177" s="22">
        <v>859.26159124519813</v>
      </c>
      <c r="H2177" s="20">
        <f ca="1">NOW() - TIME(5,30,0) + (VLOOKUP(MasterTable[[#This Row],[TimeZone]], $O$3:$P$8, 2, FALSE) / 24)</f>
        <v>45990.531878125003</v>
      </c>
      <c r="I2177" s="1" t="s">
        <v>1944</v>
      </c>
      <c r="J2177" s="1">
        <v>754.56</v>
      </c>
    </row>
    <row r="2178" spans="1:10" x14ac:dyDescent="0.25">
      <c r="A2178" s="1" t="s">
        <v>126</v>
      </c>
      <c r="B2178" s="1" t="s">
        <v>125</v>
      </c>
      <c r="C2178" s="1" t="s">
        <v>600</v>
      </c>
      <c r="D2178" s="1">
        <v>34.024500000000003</v>
      </c>
      <c r="E2178" s="1">
        <v>-96.769099999999995</v>
      </c>
      <c r="F2178" s="1" t="s">
        <v>1922</v>
      </c>
      <c r="G2178" s="22">
        <v>827.99845647010261</v>
      </c>
      <c r="H2178" s="20">
        <f ca="1">NOW() - TIME(5,30,0) + (VLOOKUP(MasterTable[[#This Row],[TimeZone]], $O$3:$P$8, 2, FALSE) / 24)</f>
        <v>45990.531878125003</v>
      </c>
      <c r="I2178" s="1" t="s">
        <v>1944</v>
      </c>
      <c r="J2178" s="1">
        <v>623.16</v>
      </c>
    </row>
    <row r="2179" spans="1:10" x14ac:dyDescent="0.25">
      <c r="A2179" s="1" t="s">
        <v>126</v>
      </c>
      <c r="B2179" s="1" t="s">
        <v>125</v>
      </c>
      <c r="C2179" s="1" t="s">
        <v>1395</v>
      </c>
      <c r="D2179" s="1">
        <v>35.945399999999999</v>
      </c>
      <c r="E2179" s="1">
        <v>-97.942099999999996</v>
      </c>
      <c r="F2179" s="1" t="s">
        <v>1922</v>
      </c>
      <c r="G2179" s="22">
        <v>785.59097806539717</v>
      </c>
      <c r="H2179" s="20">
        <f ca="1">NOW() - TIME(5,30,0) + (VLOOKUP(MasterTable[[#This Row],[TimeZone]], $O$3:$P$8, 2, FALSE) / 24)</f>
        <v>45990.531878125003</v>
      </c>
      <c r="I2179" s="1" t="s">
        <v>1944</v>
      </c>
      <c r="J2179" s="1">
        <v>905.96</v>
      </c>
    </row>
    <row r="2180" spans="1:10" x14ac:dyDescent="0.25">
      <c r="A2180" s="1" t="s">
        <v>126</v>
      </c>
      <c r="B2180" s="1" t="s">
        <v>125</v>
      </c>
      <c r="C2180" s="1" t="s">
        <v>1421</v>
      </c>
      <c r="D2180" s="1">
        <v>34.026600000000002</v>
      </c>
      <c r="E2180" s="1">
        <v>-95.552199999999999</v>
      </c>
      <c r="F2180" s="1" t="s">
        <v>1922</v>
      </c>
      <c r="G2180" s="22">
        <v>897.50893767543835</v>
      </c>
      <c r="H2180" s="20">
        <f ca="1">NOW() - TIME(5,30,0) + (VLOOKUP(MasterTable[[#This Row],[TimeZone]], $O$3:$P$8, 2, FALSE) / 24)</f>
        <v>45990.531878125003</v>
      </c>
      <c r="I2180" s="1" t="s">
        <v>1944</v>
      </c>
      <c r="J2180" s="1">
        <v>920.85</v>
      </c>
    </row>
    <row r="2181" spans="1:10" x14ac:dyDescent="0.25">
      <c r="A2181" s="1" t="s">
        <v>126</v>
      </c>
      <c r="B2181" s="1" t="s">
        <v>125</v>
      </c>
      <c r="C2181" s="1" t="s">
        <v>1424</v>
      </c>
      <c r="D2181" s="1">
        <v>34.373699999999999</v>
      </c>
      <c r="E2181" s="1">
        <v>-96.037800000000004</v>
      </c>
      <c r="F2181" s="1" t="s">
        <v>1922</v>
      </c>
      <c r="G2181" s="22">
        <v>871.80511158483398</v>
      </c>
      <c r="H2181" s="20">
        <f ca="1">NOW() - TIME(5,30,0) + (VLOOKUP(MasterTable[[#This Row],[TimeZone]], $O$3:$P$8, 2, FALSE) / 24)</f>
        <v>45990.531878125003</v>
      </c>
      <c r="I2181" s="1" t="s">
        <v>1944</v>
      </c>
      <c r="J2181" s="1">
        <v>990</v>
      </c>
    </row>
    <row r="2182" spans="1:10" x14ac:dyDescent="0.25">
      <c r="A2182" s="1" t="s">
        <v>126</v>
      </c>
      <c r="B2182" s="1" t="s">
        <v>125</v>
      </c>
      <c r="C2182" s="1" t="s">
        <v>1427</v>
      </c>
      <c r="D2182" s="1">
        <v>36.761800000000001</v>
      </c>
      <c r="E2182" s="1">
        <v>-95.208500000000001</v>
      </c>
      <c r="F2182" s="1" t="s">
        <v>1922</v>
      </c>
      <c r="G2182" s="22">
        <v>947.14228478228972</v>
      </c>
      <c r="H2182" s="20">
        <f ca="1">NOW() - TIME(5,30,0) + (VLOOKUP(MasterTable[[#This Row],[TimeZone]], $O$3:$P$8, 2, FALSE) / 24)</f>
        <v>45990.531878125003</v>
      </c>
      <c r="I2182" s="1" t="s">
        <v>1944</v>
      </c>
      <c r="J2182" s="1">
        <v>762.71</v>
      </c>
    </row>
    <row r="2183" spans="1:10" x14ac:dyDescent="0.25">
      <c r="A2183" s="1" t="s">
        <v>126</v>
      </c>
      <c r="B2183" s="1" t="s">
        <v>125</v>
      </c>
      <c r="C2183" s="1" t="s">
        <v>948</v>
      </c>
      <c r="D2183" s="1">
        <v>34.482300000000002</v>
      </c>
      <c r="E2183" s="1">
        <v>-97.067899999999995</v>
      </c>
      <c r="F2183" s="1" t="s">
        <v>1922</v>
      </c>
      <c r="G2183" s="22">
        <v>814.29902393126258</v>
      </c>
      <c r="H2183" s="20">
        <f ca="1">NOW() - TIME(5,30,0) + (VLOOKUP(MasterTable[[#This Row],[TimeZone]], $O$3:$P$8, 2, FALSE) / 24)</f>
        <v>45990.531878125003</v>
      </c>
      <c r="I2183" s="1" t="s">
        <v>1944</v>
      </c>
      <c r="J2183" s="1">
        <v>346.88</v>
      </c>
    </row>
    <row r="2184" spans="1:10" x14ac:dyDescent="0.25">
      <c r="A2184" s="1" t="s">
        <v>126</v>
      </c>
      <c r="B2184" s="1" t="s">
        <v>125</v>
      </c>
      <c r="C2184" s="1" t="s">
        <v>1331</v>
      </c>
      <c r="D2184" s="1">
        <v>35.048400000000001</v>
      </c>
      <c r="E2184" s="1">
        <v>-96.250200000000007</v>
      </c>
      <c r="F2184" s="1" t="s">
        <v>1922</v>
      </c>
      <c r="G2184" s="22">
        <v>865.72915443749594</v>
      </c>
      <c r="H2184" s="20">
        <f ca="1">NOW() - TIME(5,30,0) + (VLOOKUP(MasterTable[[#This Row],[TimeZone]], $O$3:$P$8, 2, FALSE) / 24)</f>
        <v>45990.531878125003</v>
      </c>
      <c r="I2184" s="1" t="s">
        <v>1944</v>
      </c>
      <c r="J2184" s="1">
        <v>814.64</v>
      </c>
    </row>
    <row r="2185" spans="1:10" x14ac:dyDescent="0.25">
      <c r="A2185" s="1" t="s">
        <v>126</v>
      </c>
      <c r="B2185" s="1" t="s">
        <v>125</v>
      </c>
      <c r="C2185" s="1" t="s">
        <v>1508</v>
      </c>
      <c r="D2185" s="1">
        <v>35.224800000000002</v>
      </c>
      <c r="E2185" s="1">
        <v>-95.116600000000005</v>
      </c>
      <c r="F2185" s="1" t="s">
        <v>1922</v>
      </c>
      <c r="G2185" s="22">
        <v>930.88838650979358</v>
      </c>
      <c r="H2185" s="20">
        <f ca="1">NOW() - TIME(5,30,0) + (VLOOKUP(MasterTable[[#This Row],[TimeZone]], $O$3:$P$8, 2, FALSE) / 24)</f>
        <v>45990.531878125003</v>
      </c>
      <c r="I2185" s="1" t="s">
        <v>1944</v>
      </c>
      <c r="J2185" s="1">
        <v>577.73</v>
      </c>
    </row>
    <row r="2186" spans="1:10" x14ac:dyDescent="0.25">
      <c r="A2186" s="1" t="s">
        <v>126</v>
      </c>
      <c r="B2186" s="1" t="s">
        <v>125</v>
      </c>
      <c r="C2186" s="1" t="s">
        <v>1518</v>
      </c>
      <c r="D2186" s="1">
        <v>35.465499999999999</v>
      </c>
      <c r="E2186" s="1">
        <v>-96.322800000000001</v>
      </c>
      <c r="F2186" s="1" t="s">
        <v>1922</v>
      </c>
      <c r="G2186" s="22">
        <v>866.61944859723474</v>
      </c>
      <c r="H2186" s="20">
        <f ca="1">NOW() - TIME(5,30,0) + (VLOOKUP(MasterTable[[#This Row],[TimeZone]], $O$3:$P$8, 2, FALSE) / 24)</f>
        <v>45990.531878125003</v>
      </c>
      <c r="I2186" s="1" t="s">
        <v>1944</v>
      </c>
      <c r="J2186" s="1">
        <v>628.91</v>
      </c>
    </row>
    <row r="2187" spans="1:10" x14ac:dyDescent="0.25">
      <c r="A2187" s="1" t="s">
        <v>126</v>
      </c>
      <c r="B2187" s="1" t="s">
        <v>125</v>
      </c>
      <c r="C2187" s="1" t="s">
        <v>864</v>
      </c>
      <c r="D2187" s="1">
        <v>36.388599999999997</v>
      </c>
      <c r="E2187" s="1">
        <v>-97.230500000000006</v>
      </c>
      <c r="F2187" s="1" t="s">
        <v>1922</v>
      </c>
      <c r="G2187" s="22">
        <v>832.13079708410362</v>
      </c>
      <c r="H2187" s="20">
        <f ca="1">NOW() - TIME(5,30,0) + (VLOOKUP(MasterTable[[#This Row],[TimeZone]], $O$3:$P$8, 2, FALSE) / 24)</f>
        <v>45990.531878125003</v>
      </c>
      <c r="I2187" s="1" t="s">
        <v>1944</v>
      </c>
      <c r="J2187" s="1">
        <v>417.61</v>
      </c>
    </row>
    <row r="2188" spans="1:10" x14ac:dyDescent="0.25">
      <c r="A2188" s="1" t="s">
        <v>126</v>
      </c>
      <c r="B2188" s="1" t="s">
        <v>125</v>
      </c>
      <c r="C2188" s="1" t="s">
        <v>1527</v>
      </c>
      <c r="D2188" s="1">
        <v>35.290399999999998</v>
      </c>
      <c r="E2188" s="1">
        <v>-98.992199999999997</v>
      </c>
      <c r="F2188" s="1" t="s">
        <v>1922</v>
      </c>
      <c r="G2188" s="22">
        <v>717.09784039492661</v>
      </c>
      <c r="H2188" s="20">
        <f ca="1">NOW() - TIME(5,30,0) + (VLOOKUP(MasterTable[[#This Row],[TimeZone]], $O$3:$P$8, 2, FALSE) / 24)</f>
        <v>45990.531878125003</v>
      </c>
      <c r="I2188" s="1" t="s">
        <v>1944</v>
      </c>
      <c r="J2188" s="1">
        <v>1009.07</v>
      </c>
    </row>
    <row r="2189" spans="1:10" x14ac:dyDescent="0.25">
      <c r="A2189" s="1" t="s">
        <v>126</v>
      </c>
      <c r="B2189" s="1" t="s">
        <v>125</v>
      </c>
      <c r="C2189" s="1" t="s">
        <v>1530</v>
      </c>
      <c r="D2189" s="1">
        <v>34.416200000000003</v>
      </c>
      <c r="E2189" s="1">
        <v>-95.375900000000001</v>
      </c>
      <c r="F2189" s="1" t="s">
        <v>1922</v>
      </c>
      <c r="G2189" s="22">
        <v>909.65282952117707</v>
      </c>
      <c r="H2189" s="20">
        <f ca="1">NOW() - TIME(5,30,0) + (VLOOKUP(MasterTable[[#This Row],[TimeZone]], $O$3:$P$8, 2, FALSE) / 24)</f>
        <v>45990.531878125003</v>
      </c>
      <c r="I2189" s="1" t="s">
        <v>1944</v>
      </c>
      <c r="J2189" s="1">
        <v>1422.78</v>
      </c>
    </row>
    <row r="2190" spans="1:10" x14ac:dyDescent="0.25">
      <c r="A2190" s="1" t="s">
        <v>126</v>
      </c>
      <c r="B2190" s="1" t="s">
        <v>125</v>
      </c>
      <c r="C2190" s="1" t="s">
        <v>352</v>
      </c>
      <c r="D2190" s="1">
        <v>34.316499999999998</v>
      </c>
      <c r="E2190" s="1">
        <v>-96.660600000000002</v>
      </c>
      <c r="F2190" s="1" t="s">
        <v>1922</v>
      </c>
      <c r="G2190" s="22">
        <v>836.05635473430755</v>
      </c>
      <c r="H2190" s="20">
        <f ca="1">NOW() - TIME(5,30,0) + (VLOOKUP(MasterTable[[#This Row],[TimeZone]], $O$3:$P$8, 2, FALSE) / 24)</f>
        <v>45990.531878125003</v>
      </c>
      <c r="I2190" s="1" t="s">
        <v>1944</v>
      </c>
      <c r="J2190" s="1">
        <v>795.79</v>
      </c>
    </row>
    <row r="2191" spans="1:10" x14ac:dyDescent="0.25">
      <c r="A2191" s="1" t="s">
        <v>126</v>
      </c>
      <c r="B2191" s="1" t="s">
        <v>125</v>
      </c>
      <c r="C2191" s="1" t="s">
        <v>1547</v>
      </c>
      <c r="D2191" s="1">
        <v>33.9499</v>
      </c>
      <c r="E2191" s="1">
        <v>-97.244100000000003</v>
      </c>
      <c r="F2191" s="1" t="s">
        <v>1922</v>
      </c>
      <c r="G2191" s="22">
        <v>800.4507145577503</v>
      </c>
      <c r="H2191" s="20">
        <f ca="1">NOW() - TIME(5,30,0) + (VLOOKUP(MasterTable[[#This Row],[TimeZone]], $O$3:$P$8, 2, FALSE) / 24)</f>
        <v>45990.531878125003</v>
      </c>
      <c r="I2191" s="1" t="s">
        <v>1944</v>
      </c>
      <c r="J2191" s="1">
        <v>531.94000000000005</v>
      </c>
    </row>
    <row r="2192" spans="1:10" x14ac:dyDescent="0.25">
      <c r="A2192" s="1" t="s">
        <v>126</v>
      </c>
      <c r="B2192" s="1" t="s">
        <v>125</v>
      </c>
      <c r="C2192" s="1" t="s">
        <v>1572</v>
      </c>
      <c r="D2192" s="1">
        <v>34.875999999999998</v>
      </c>
      <c r="E2192" s="1">
        <v>-95.250399999999999</v>
      </c>
      <c r="F2192" s="1" t="s">
        <v>1922</v>
      </c>
      <c r="G2192" s="22">
        <v>920.15071576086063</v>
      </c>
      <c r="H2192" s="20">
        <f ca="1">NOW() - TIME(5,30,0) + (VLOOKUP(MasterTable[[#This Row],[TimeZone]], $O$3:$P$8, 2, FALSE) / 24)</f>
        <v>45990.531878125003</v>
      </c>
      <c r="I2192" s="1" t="s">
        <v>1944</v>
      </c>
      <c r="J2192" s="1">
        <v>729.12</v>
      </c>
    </row>
    <row r="2193" spans="1:10" x14ac:dyDescent="0.25">
      <c r="A2193" s="1" t="s">
        <v>126</v>
      </c>
      <c r="B2193" s="1" t="s">
        <v>125</v>
      </c>
      <c r="C2193" s="1" t="s">
        <v>1576</v>
      </c>
      <c r="D2193" s="1">
        <v>36.798499999999997</v>
      </c>
      <c r="E2193" s="1">
        <v>-95.617400000000004</v>
      </c>
      <c r="F2193" s="1" t="s">
        <v>1922</v>
      </c>
      <c r="G2193" s="22">
        <v>925.9537348680758</v>
      </c>
      <c r="H2193" s="20">
        <f ca="1">NOW() - TIME(5,30,0) + (VLOOKUP(MasterTable[[#This Row],[TimeZone]], $O$3:$P$8, 2, FALSE) / 24)</f>
        <v>45990.531878125003</v>
      </c>
      <c r="I2193" s="1" t="s">
        <v>1944</v>
      </c>
      <c r="J2193" s="1">
        <v>580.87</v>
      </c>
    </row>
    <row r="2194" spans="1:10" x14ac:dyDescent="0.25">
      <c r="A2194" s="1" t="s">
        <v>126</v>
      </c>
      <c r="B2194" s="1" t="s">
        <v>125</v>
      </c>
      <c r="C2194" s="1" t="s">
        <v>1604</v>
      </c>
      <c r="D2194" s="1">
        <v>36.7669</v>
      </c>
      <c r="E2194" s="1">
        <v>-98.865099999999998</v>
      </c>
      <c r="F2194" s="1" t="s">
        <v>1922</v>
      </c>
      <c r="G2194" s="22">
        <v>754.51139446589298</v>
      </c>
      <c r="H2194" s="20">
        <f ca="1">NOW() - TIME(5,30,0) + (VLOOKUP(MasterTable[[#This Row],[TimeZone]], $O$3:$P$8, 2, FALSE) / 24)</f>
        <v>45990.531878125003</v>
      </c>
      <c r="I2194" s="1" t="s">
        <v>1944</v>
      </c>
      <c r="J2194" s="1">
        <v>1290.07</v>
      </c>
    </row>
    <row r="2195" spans="1:10" x14ac:dyDescent="0.25">
      <c r="A2195" s="1" t="s">
        <v>126</v>
      </c>
      <c r="B2195" s="1" t="s">
        <v>125</v>
      </c>
      <c r="C2195" s="1" t="s">
        <v>1182</v>
      </c>
      <c r="D2195" s="1">
        <v>35.8752</v>
      </c>
      <c r="E2195" s="1">
        <v>-98.433400000000006</v>
      </c>
      <c r="F2195" s="1" t="s">
        <v>1922</v>
      </c>
      <c r="G2195" s="22">
        <v>757.80460102027928</v>
      </c>
      <c r="H2195" s="20">
        <f ca="1">NOW() - TIME(5,30,0) + (VLOOKUP(MasterTable[[#This Row],[TimeZone]], $O$3:$P$8, 2, FALSE) / 24)</f>
        <v>45990.531878125003</v>
      </c>
      <c r="I2195" s="1" t="s">
        <v>1944</v>
      </c>
      <c r="J2195" s="1">
        <v>2661.02</v>
      </c>
    </row>
    <row r="2196" spans="1:10" x14ac:dyDescent="0.25">
      <c r="A2196" s="1" t="s">
        <v>126</v>
      </c>
      <c r="B2196" s="1" t="s">
        <v>125</v>
      </c>
      <c r="C2196" s="1" t="s">
        <v>1610</v>
      </c>
      <c r="D2196" s="1">
        <v>34.916400000000003</v>
      </c>
      <c r="E2196" s="1">
        <v>-98.980900000000005</v>
      </c>
      <c r="F2196" s="1" t="s">
        <v>1922</v>
      </c>
      <c r="G2196" s="22">
        <v>711.99835662895714</v>
      </c>
      <c r="H2196" s="20">
        <f ca="1">NOW() - TIME(5,30,0) + (VLOOKUP(MasterTable[[#This Row],[TimeZone]], $O$3:$P$8, 2, FALSE) / 24)</f>
        <v>45990.531878125003</v>
      </c>
      <c r="I2196" s="1" t="s">
        <v>1944</v>
      </c>
      <c r="J2196" s="1">
        <v>1785.76</v>
      </c>
    </row>
    <row r="2197" spans="1:10" x14ac:dyDescent="0.25">
      <c r="A2197" s="1" t="s">
        <v>126</v>
      </c>
      <c r="B2197" s="1" t="s">
        <v>125</v>
      </c>
      <c r="C2197" s="1" t="s">
        <v>1640</v>
      </c>
      <c r="D2197" s="1">
        <v>36.311599999999999</v>
      </c>
      <c r="E2197" s="1">
        <v>-98.535899999999998</v>
      </c>
      <c r="F2197" s="1" t="s">
        <v>1922</v>
      </c>
      <c r="G2197" s="22">
        <v>761.16141989753044</v>
      </c>
      <c r="H2197" s="20">
        <f ca="1">NOW() - TIME(5,30,0) + (VLOOKUP(MasterTable[[#This Row],[TimeZone]], $O$3:$P$8, 2, FALSE) / 24)</f>
        <v>45990.531878125003</v>
      </c>
      <c r="I2197" s="1" t="s">
        <v>1944</v>
      </c>
      <c r="J2197" s="1">
        <v>957.87</v>
      </c>
    </row>
    <row r="2198" spans="1:10" x14ac:dyDescent="0.25">
      <c r="A2198" s="1" t="s">
        <v>126</v>
      </c>
      <c r="B2198" s="1" t="s">
        <v>125</v>
      </c>
      <c r="C2198" s="1" t="s">
        <v>1670</v>
      </c>
      <c r="D2198" s="1">
        <v>34.372799999999998</v>
      </c>
      <c r="E2198" s="1">
        <v>-98.924199999999999</v>
      </c>
      <c r="F2198" s="1" t="s">
        <v>1922</v>
      </c>
      <c r="G2198" s="22">
        <v>708.47249060012985</v>
      </c>
      <c r="H2198" s="20">
        <f ca="1">NOW() - TIME(5,30,0) + (VLOOKUP(MasterTable[[#This Row],[TimeZone]], $O$3:$P$8, 2, FALSE) / 24)</f>
        <v>45990.531878125003</v>
      </c>
      <c r="I2198" s="1" t="s">
        <v>1944</v>
      </c>
      <c r="J2198" s="1">
        <v>879.21</v>
      </c>
    </row>
    <row r="2199" spans="1:10" x14ac:dyDescent="0.25">
      <c r="A2199" s="1" t="s">
        <v>126</v>
      </c>
      <c r="B2199" s="1" t="s">
        <v>125</v>
      </c>
      <c r="C2199" s="1" t="s">
        <v>1725</v>
      </c>
      <c r="D2199" s="1">
        <v>36.731000000000002</v>
      </c>
      <c r="E2199" s="1">
        <v>-98.323999999999998</v>
      </c>
      <c r="F2199" s="1" t="s">
        <v>1922</v>
      </c>
      <c r="G2199" s="22">
        <v>781.7211204508726</v>
      </c>
      <c r="H2199" s="20">
        <f ca="1">NOW() - TIME(5,30,0) + (VLOOKUP(MasterTable[[#This Row],[TimeZone]], $O$3:$P$8, 2, FALSE) / 24)</f>
        <v>45990.531878125003</v>
      </c>
      <c r="I2199" s="1" t="s">
        <v>1944</v>
      </c>
      <c r="J2199" s="1">
        <v>881.44</v>
      </c>
    </row>
    <row r="2200" spans="1:10" x14ac:dyDescent="0.25">
      <c r="A2200" s="1" t="s">
        <v>126</v>
      </c>
      <c r="B2200" s="1" t="s">
        <v>125</v>
      </c>
      <c r="C2200" s="1" t="s">
        <v>1733</v>
      </c>
      <c r="D2200" s="1">
        <v>34.935699999999997</v>
      </c>
      <c r="E2200" s="1">
        <v>-99.5608</v>
      </c>
      <c r="F2200" s="1" t="s">
        <v>1922</v>
      </c>
      <c r="G2200" s="22">
        <v>680.18136152263469</v>
      </c>
      <c r="H2200" s="20">
        <f ca="1">NOW() - TIME(5,30,0) + (VLOOKUP(MasterTable[[#This Row],[TimeZone]], $O$3:$P$8, 2, FALSE) / 24)</f>
        <v>45990.531878125003</v>
      </c>
      <c r="I2200" s="1" t="s">
        <v>1944</v>
      </c>
      <c r="J2200" s="1">
        <v>643.66</v>
      </c>
    </row>
    <row r="2201" spans="1:10" x14ac:dyDescent="0.25">
      <c r="A2201" s="1" t="s">
        <v>126</v>
      </c>
      <c r="B2201" s="1" t="s">
        <v>125</v>
      </c>
      <c r="C2201" s="1" t="s">
        <v>1734</v>
      </c>
      <c r="D2201" s="1">
        <v>34.290199999999999</v>
      </c>
      <c r="E2201" s="1">
        <v>-98.372200000000007</v>
      </c>
      <c r="F2201" s="1" t="s">
        <v>1922</v>
      </c>
      <c r="G2201" s="22">
        <v>738.83381145575731</v>
      </c>
      <c r="H2201" s="20">
        <f ca="1">NOW() - TIME(5,30,0) + (VLOOKUP(MasterTable[[#This Row],[TimeZone]], $O$3:$P$8, 2, FALSE) / 24)</f>
        <v>45990.531878125003</v>
      </c>
      <c r="I2201" s="1" t="s">
        <v>1944</v>
      </c>
      <c r="J2201" s="1">
        <v>641.94000000000005</v>
      </c>
    </row>
    <row r="2202" spans="1:10" x14ac:dyDescent="0.25">
      <c r="A2202" s="1" t="s">
        <v>126</v>
      </c>
      <c r="B2202" s="1" t="s">
        <v>125</v>
      </c>
      <c r="C2202" s="1" t="s">
        <v>129</v>
      </c>
      <c r="D2202" s="1">
        <v>34.110999999999997</v>
      </c>
      <c r="E2202" s="1">
        <v>-97.835800000000006</v>
      </c>
      <c r="F2202" s="1" t="s">
        <v>1922</v>
      </c>
      <c r="G2202" s="22">
        <v>767.78081457526866</v>
      </c>
      <c r="H2202" s="20">
        <f ca="1">NOW() - TIME(5,30,0) + (VLOOKUP(MasterTable[[#This Row],[TimeZone]], $O$3:$P$8, 2, FALSE) / 24)</f>
        <v>45990.531878125003</v>
      </c>
      <c r="I2202" s="1" t="s">
        <v>1944</v>
      </c>
      <c r="J2202" s="1">
        <v>1123.8</v>
      </c>
    </row>
    <row r="2203" spans="1:10" x14ac:dyDescent="0.25">
      <c r="A2203" s="1" t="s">
        <v>126</v>
      </c>
      <c r="B2203" s="1" t="s">
        <v>125</v>
      </c>
      <c r="C2203" s="1" t="s">
        <v>1742</v>
      </c>
      <c r="D2203" s="1">
        <v>34.588200000000001</v>
      </c>
      <c r="E2203" s="1">
        <v>-96.297799999999995</v>
      </c>
      <c r="F2203" s="1" t="s">
        <v>1922</v>
      </c>
      <c r="G2203" s="22">
        <v>858.69949847225917</v>
      </c>
      <c r="H2203" s="20">
        <f ca="1">NOW() - TIME(5,30,0) + (VLOOKUP(MasterTable[[#This Row],[TimeZone]], $O$3:$P$8, 2, FALSE) / 24)</f>
        <v>45990.531878125003</v>
      </c>
      <c r="I2203" s="1" t="s">
        <v>1944</v>
      </c>
      <c r="J2203" s="1">
        <v>521.29999999999995</v>
      </c>
    </row>
    <row r="2204" spans="1:10" x14ac:dyDescent="0.25">
      <c r="A2204" s="1" t="s">
        <v>126</v>
      </c>
      <c r="B2204" s="1" t="s">
        <v>125</v>
      </c>
      <c r="C2204" s="1" t="s">
        <v>438</v>
      </c>
      <c r="D2204" s="1">
        <v>36.749699999999997</v>
      </c>
      <c r="E2204" s="1">
        <v>-100.4768</v>
      </c>
      <c r="F2204" s="1" t="s">
        <v>1922</v>
      </c>
      <c r="G2204" s="22">
        <v>671.82315021535476</v>
      </c>
      <c r="H2204" s="20">
        <f ca="1">NOW() - TIME(5,30,0) + (VLOOKUP(MasterTable[[#This Row],[TimeZone]], $O$3:$P$8, 2, FALSE) / 24)</f>
        <v>45990.531878125003</v>
      </c>
      <c r="I2204" s="1" t="s">
        <v>1944</v>
      </c>
      <c r="J2204" s="1">
        <v>1817.58</v>
      </c>
    </row>
    <row r="2205" spans="1:10" x14ac:dyDescent="0.25">
      <c r="A2205" s="1" t="s">
        <v>126</v>
      </c>
      <c r="B2205" s="1" t="s">
        <v>125</v>
      </c>
      <c r="C2205" s="1" t="s">
        <v>1745</v>
      </c>
      <c r="D2205" s="1">
        <v>35.9876</v>
      </c>
      <c r="E2205" s="1">
        <v>-99.007900000000006</v>
      </c>
      <c r="F2205" s="1" t="s">
        <v>1922</v>
      </c>
      <c r="G2205" s="22">
        <v>729.23564417216562</v>
      </c>
      <c r="H2205" s="20">
        <f ca="1">NOW() - TIME(5,30,0) + (VLOOKUP(MasterTable[[#This Row],[TimeZone]], $O$3:$P$8, 2, FALSE) / 24)</f>
        <v>45990.531878125003</v>
      </c>
      <c r="I2205" s="1" t="s">
        <v>1944</v>
      </c>
      <c r="J2205" s="1">
        <v>1008.26</v>
      </c>
    </row>
    <row r="2206" spans="1:10" x14ac:dyDescent="0.25">
      <c r="A2206" s="1" t="s">
        <v>126</v>
      </c>
      <c r="B2206" s="1" t="s">
        <v>125</v>
      </c>
      <c r="C2206" s="1" t="s">
        <v>590</v>
      </c>
      <c r="D2206" s="1">
        <v>36.796100000000003</v>
      </c>
      <c r="E2206" s="1">
        <v>-97.786100000000005</v>
      </c>
      <c r="F2206" s="1" t="s">
        <v>1922</v>
      </c>
      <c r="G2206" s="22">
        <v>811.29711345351529</v>
      </c>
      <c r="H2206" s="20">
        <f ca="1">NOW() - TIME(5,30,0) + (VLOOKUP(MasterTable[[#This Row],[TimeZone]], $O$3:$P$8, 2, FALSE) / 24)</f>
        <v>45990.531878125003</v>
      </c>
      <c r="I2206" s="1" t="s">
        <v>1944</v>
      </c>
      <c r="J2206" s="1">
        <v>633.01</v>
      </c>
    </row>
    <row r="2207" spans="1:10" x14ac:dyDescent="0.25">
      <c r="A2207" s="1" t="s">
        <v>126</v>
      </c>
      <c r="B2207" s="1" t="s">
        <v>125</v>
      </c>
      <c r="C2207" s="1" t="s">
        <v>373</v>
      </c>
      <c r="D2207" s="1">
        <v>36.218400000000003</v>
      </c>
      <c r="E2207" s="1">
        <v>-99.754599999999996</v>
      </c>
      <c r="F2207" s="1" t="s">
        <v>1922</v>
      </c>
      <c r="G2207" s="22">
        <v>694.91477336331207</v>
      </c>
      <c r="H2207" s="20">
        <f ca="1">NOW() - TIME(5,30,0) + (VLOOKUP(MasterTable[[#This Row],[TimeZone]], $O$3:$P$8, 2, FALSE) / 24)</f>
        <v>45990.531878125003</v>
      </c>
      <c r="I2207" s="1" t="s">
        <v>1944</v>
      </c>
      <c r="J2207" s="1">
        <v>900.47</v>
      </c>
    </row>
    <row r="2208" spans="1:10" x14ac:dyDescent="0.25">
      <c r="A2208" s="1" t="s">
        <v>126</v>
      </c>
      <c r="B2208" s="1" t="s">
        <v>125</v>
      </c>
      <c r="C2208" s="1" t="s">
        <v>1803</v>
      </c>
      <c r="D2208" s="1">
        <v>35.688299999999998</v>
      </c>
      <c r="E2208" s="1">
        <v>-99.695800000000006</v>
      </c>
      <c r="F2208" s="1" t="s">
        <v>1922</v>
      </c>
      <c r="G2208" s="22">
        <v>686.29018627699611</v>
      </c>
      <c r="H2208" s="20">
        <f ca="1">NOW() - TIME(5,30,0) + (VLOOKUP(MasterTable[[#This Row],[TimeZone]], $O$3:$P$8, 2, FALSE) / 24)</f>
        <v>45990.531878125003</v>
      </c>
      <c r="I2208" s="1" t="s">
        <v>1944</v>
      </c>
      <c r="J2208" s="1">
        <v>1146.46</v>
      </c>
    </row>
    <row r="2209" spans="1:12" x14ac:dyDescent="0.25">
      <c r="A2209" s="1" t="s">
        <v>126</v>
      </c>
      <c r="B2209" s="1" t="s">
        <v>125</v>
      </c>
      <c r="C2209" s="1" t="s">
        <v>1737</v>
      </c>
      <c r="D2209" s="1">
        <v>36.788800000000002</v>
      </c>
      <c r="E2209" s="1">
        <v>-99.667299999999997</v>
      </c>
      <c r="F2209" s="1" t="s">
        <v>1922</v>
      </c>
      <c r="G2209" s="22">
        <v>713.90895146603043</v>
      </c>
      <c r="H2209" s="20">
        <f ca="1">NOW() - TIME(5,30,0) + (VLOOKUP(MasterTable[[#This Row],[TimeZone]], $O$3:$P$8, 2, FALSE) / 24)</f>
        <v>45990.531878125003</v>
      </c>
      <c r="I2209" s="1" t="s">
        <v>1944</v>
      </c>
      <c r="J2209" s="1">
        <v>802.95</v>
      </c>
    </row>
    <row r="2210" spans="1:12" x14ac:dyDescent="0.25">
      <c r="A2210" s="1" t="s">
        <v>126</v>
      </c>
      <c r="B2210" s="1" t="s">
        <v>125</v>
      </c>
      <c r="C2210" s="1" t="s">
        <v>1843</v>
      </c>
      <c r="D2210" s="1">
        <v>34.744100000000003</v>
      </c>
      <c r="E2210" s="1">
        <v>-99.846199999999996</v>
      </c>
      <c r="F2210" s="1" t="s">
        <v>1922</v>
      </c>
      <c r="G2210" s="22">
        <v>661.51786869564671</v>
      </c>
      <c r="H2210" s="20">
        <f ca="1">NOW() - TIME(5,30,0) + (VLOOKUP(MasterTable[[#This Row],[TimeZone]], $O$3:$P$8, 2, FALSE) / 24)</f>
        <v>45990.531878125003</v>
      </c>
      <c r="I2210" s="1" t="s">
        <v>1944</v>
      </c>
      <c r="J2210" s="1">
        <v>538.55999999999995</v>
      </c>
    </row>
    <row r="2211" spans="1:12" x14ac:dyDescent="0.25">
      <c r="A2211" s="1" t="s">
        <v>126</v>
      </c>
      <c r="B2211" s="1" t="s">
        <v>125</v>
      </c>
      <c r="C2211" s="1" t="s">
        <v>1853</v>
      </c>
      <c r="D2211" s="1">
        <v>36.7483</v>
      </c>
      <c r="E2211" s="1">
        <v>-102.51779999999999</v>
      </c>
      <c r="F2211" s="1" t="s">
        <v>1922</v>
      </c>
      <c r="G2211" s="22">
        <v>571.64153750649393</v>
      </c>
      <c r="H2211" s="20">
        <f ca="1">NOW() - TIME(5,30,0) + (VLOOKUP(MasterTable[[#This Row],[TimeZone]], $O$3:$P$8, 2, FALSE) / 24)</f>
        <v>45990.531878125003</v>
      </c>
      <c r="I2211" s="1" t="s">
        <v>1944</v>
      </c>
      <c r="J2211" s="1">
        <v>1841.17</v>
      </c>
    </row>
    <row r="2212" spans="1:12" x14ac:dyDescent="0.25">
      <c r="A2212" s="1" t="s">
        <v>123</v>
      </c>
      <c r="B2212" s="1" t="s">
        <v>124</v>
      </c>
      <c r="C2212" s="1" t="s">
        <v>122</v>
      </c>
      <c r="D2212" s="1">
        <v>45.546799999999998</v>
      </c>
      <c r="E2212" s="1">
        <v>-122.4149</v>
      </c>
      <c r="F2212" s="1" t="s">
        <v>1924</v>
      </c>
      <c r="G2212" s="22">
        <v>1106.3339087019579</v>
      </c>
      <c r="H2212" s="20">
        <f ca="1">NOW() - TIME(5,30,0) + (VLOOKUP(MasterTable[[#This Row],[TimeZone]], $O$3:$P$8, 2, FALSE) / 24)</f>
        <v>45990.448544791667</v>
      </c>
      <c r="I2212" s="1" t="s">
        <v>1944</v>
      </c>
      <c r="J2212" s="1">
        <v>465.65</v>
      </c>
    </row>
    <row r="2213" spans="1:12" x14ac:dyDescent="0.25">
      <c r="A2213" s="1" t="s">
        <v>123</v>
      </c>
      <c r="B2213" s="1" t="s">
        <v>124</v>
      </c>
      <c r="C2213" s="1" t="s">
        <v>28</v>
      </c>
      <c r="D2213" s="1">
        <v>45.56</v>
      </c>
      <c r="E2213" s="1">
        <v>-123.0984</v>
      </c>
      <c r="F2213" s="1" t="s">
        <v>1924</v>
      </c>
      <c r="G2213" s="22">
        <v>1127.6490590473263</v>
      </c>
      <c r="H2213" s="20">
        <f ca="1">NOW() - TIME(5,30,0) + (VLOOKUP(MasterTable[[#This Row],[TimeZone]], $O$3:$P$8, 2, FALSE) / 24)</f>
        <v>45990.448544791667</v>
      </c>
      <c r="I2213" s="1" t="s">
        <v>1944</v>
      </c>
      <c r="J2213" s="1">
        <v>1088.54</v>
      </c>
      <c r="K2213" s="10"/>
      <c r="L2213" s="10"/>
    </row>
    <row r="2214" spans="1:12" x14ac:dyDescent="0.25">
      <c r="A2214" s="1" t="s">
        <v>123</v>
      </c>
      <c r="B2214" s="1" t="s">
        <v>124</v>
      </c>
      <c r="C2214" s="1" t="s">
        <v>231</v>
      </c>
      <c r="D2214" s="1">
        <v>45.188000000000002</v>
      </c>
      <c r="E2214" s="1">
        <v>-122.2208</v>
      </c>
      <c r="F2214" s="1" t="s">
        <v>1924</v>
      </c>
      <c r="G2214" s="22">
        <v>1080.9664156793494</v>
      </c>
      <c r="H2214" s="20">
        <f ca="1">NOW() - TIME(5,30,0) + (VLOOKUP(MasterTable[[#This Row],[TimeZone]], $O$3:$P$8, 2, FALSE) / 24)</f>
        <v>45990.448544791667</v>
      </c>
      <c r="I2214" s="1" t="s">
        <v>1944</v>
      </c>
      <c r="J2214" s="1">
        <v>1879.01</v>
      </c>
      <c r="K2214" s="11"/>
      <c r="L2214" s="11"/>
    </row>
    <row r="2215" spans="1:12" x14ac:dyDescent="0.25">
      <c r="A2215" s="1" t="s">
        <v>123</v>
      </c>
      <c r="B2215" s="1" t="s">
        <v>124</v>
      </c>
      <c r="C2215" s="1" t="s">
        <v>250</v>
      </c>
      <c r="D2215" s="1">
        <v>43.938699999999997</v>
      </c>
      <c r="E2215" s="1">
        <v>-122.8479</v>
      </c>
      <c r="F2215" s="1" t="s">
        <v>1924</v>
      </c>
      <c r="G2215" s="22">
        <v>1034.9661203680257</v>
      </c>
      <c r="H2215" s="20">
        <f ca="1">NOW() - TIME(5,30,0) + (VLOOKUP(MasterTable[[#This Row],[TimeZone]], $O$3:$P$8, 2, FALSE) / 24)</f>
        <v>45990.448544791667</v>
      </c>
      <c r="I2215" s="1" t="s">
        <v>1944</v>
      </c>
      <c r="J2215" s="1">
        <v>717.43</v>
      </c>
      <c r="K2215" s="11"/>
      <c r="L2215" s="11"/>
    </row>
    <row r="2216" spans="1:12" x14ac:dyDescent="0.25">
      <c r="A2216" s="1" t="s">
        <v>123</v>
      </c>
      <c r="B2216" s="1" t="s">
        <v>124</v>
      </c>
      <c r="C2216" s="1" t="s">
        <v>88</v>
      </c>
      <c r="D2216" s="1">
        <v>44.903300000000002</v>
      </c>
      <c r="E2216" s="1">
        <v>-122.58459999999999</v>
      </c>
      <c r="F2216" s="1" t="s">
        <v>1924</v>
      </c>
      <c r="G2216" s="22">
        <v>1076.7258080091719</v>
      </c>
      <c r="H2216" s="20">
        <f ca="1">NOW() - TIME(5,30,0) + (VLOOKUP(MasterTable[[#This Row],[TimeZone]], $O$3:$P$8, 2, FALSE) / 24)</f>
        <v>45990.448544791667</v>
      </c>
      <c r="I2216" s="1" t="s">
        <v>1944</v>
      </c>
      <c r="J2216" s="1">
        <v>743.57</v>
      </c>
      <c r="K2216" s="11"/>
      <c r="L2216" s="11"/>
    </row>
    <row r="2217" spans="1:12" x14ac:dyDescent="0.25">
      <c r="A2217" s="1" t="s">
        <v>123</v>
      </c>
      <c r="B2217" s="1" t="s">
        <v>124</v>
      </c>
      <c r="C2217" s="1" t="s">
        <v>140</v>
      </c>
      <c r="D2217" s="1">
        <v>42.432200000000002</v>
      </c>
      <c r="E2217" s="1">
        <v>-122.7285</v>
      </c>
      <c r="F2217" s="1" t="s">
        <v>1924</v>
      </c>
      <c r="G2217" s="22">
        <v>956.3795111086763</v>
      </c>
      <c r="H2217" s="20">
        <f ca="1">NOW() - TIME(5,30,0) + (VLOOKUP(MasterTable[[#This Row],[TimeZone]], $O$3:$P$8, 2, FALSE) / 24)</f>
        <v>45990.448544791667</v>
      </c>
      <c r="I2217" s="1" t="s">
        <v>1944</v>
      </c>
      <c r="J2217" s="1">
        <v>1126.77</v>
      </c>
      <c r="K2217" s="11"/>
      <c r="L2217" s="11"/>
    </row>
    <row r="2218" spans="1:12" x14ac:dyDescent="0.25">
      <c r="A2218" s="1" t="s">
        <v>123</v>
      </c>
      <c r="B2218" s="1" t="s">
        <v>124</v>
      </c>
      <c r="C2218" s="1" t="s">
        <v>374</v>
      </c>
      <c r="D2218" s="1">
        <v>43.914999999999999</v>
      </c>
      <c r="E2218" s="1">
        <v>-121.2281</v>
      </c>
      <c r="F2218" s="1" t="s">
        <v>1924</v>
      </c>
      <c r="G2218" s="22">
        <v>981.55293964663201</v>
      </c>
      <c r="H2218" s="20">
        <f ca="1">NOW() - TIME(5,30,0) + (VLOOKUP(MasterTable[[#This Row],[TimeZone]], $O$3:$P$8, 2, FALSE) / 24)</f>
        <v>45990.448544791667</v>
      </c>
      <c r="I2218" s="1" t="s">
        <v>1944</v>
      </c>
      <c r="J2218" s="1">
        <v>3054.77</v>
      </c>
      <c r="K2218" s="11"/>
      <c r="L2218" s="11"/>
    </row>
    <row r="2219" spans="1:12" x14ac:dyDescent="0.25">
      <c r="A2219" s="1" t="s">
        <v>123</v>
      </c>
      <c r="B2219" s="1" t="s">
        <v>124</v>
      </c>
      <c r="C2219" s="1" t="s">
        <v>349</v>
      </c>
      <c r="D2219" s="1">
        <v>44.488700000000001</v>
      </c>
      <c r="E2219" s="1">
        <v>-122.5343</v>
      </c>
      <c r="F2219" s="1" t="s">
        <v>1924</v>
      </c>
      <c r="G2219" s="22">
        <v>1053.1735734700935</v>
      </c>
      <c r="H2219" s="20">
        <f ca="1">NOW() - TIME(5,30,0) + (VLOOKUP(MasterTable[[#This Row],[TimeZone]], $O$3:$P$8, 2, FALSE) / 24)</f>
        <v>45990.448544791667</v>
      </c>
      <c r="I2219" s="1" t="s">
        <v>1944</v>
      </c>
      <c r="J2219" s="1">
        <v>724.55</v>
      </c>
      <c r="K2219" s="11"/>
      <c r="L2219" s="11"/>
    </row>
    <row r="2220" spans="1:12" x14ac:dyDescent="0.25">
      <c r="A2220" s="1" t="s">
        <v>123</v>
      </c>
      <c r="B2220" s="1" t="s">
        <v>124</v>
      </c>
      <c r="C2220" s="1" t="s">
        <v>170</v>
      </c>
      <c r="D2220" s="1">
        <v>43.279699999999998</v>
      </c>
      <c r="E2220" s="1">
        <v>-123.1665</v>
      </c>
      <c r="F2220" s="1" t="s">
        <v>1924</v>
      </c>
      <c r="G2220" s="22">
        <v>1013.1519603706754</v>
      </c>
      <c r="H2220" s="20">
        <f ca="1">NOW() - TIME(5,30,0) + (VLOOKUP(MasterTable[[#This Row],[TimeZone]], $O$3:$P$8, 2, FALSE) / 24)</f>
        <v>45990.448544791667</v>
      </c>
      <c r="I2220" s="1" t="s">
        <v>1944</v>
      </c>
      <c r="J2220" s="1">
        <v>842.75</v>
      </c>
      <c r="K2220" s="11"/>
      <c r="L2220" s="11"/>
    </row>
    <row r="2221" spans="1:12" x14ac:dyDescent="0.25">
      <c r="A2221" s="1" t="s">
        <v>123</v>
      </c>
      <c r="B2221" s="1" t="s">
        <v>124</v>
      </c>
      <c r="C2221" s="1" t="s">
        <v>561</v>
      </c>
      <c r="D2221" s="1">
        <v>45.232599999999998</v>
      </c>
      <c r="E2221" s="1">
        <v>-123.3081</v>
      </c>
      <c r="F2221" s="1" t="s">
        <v>1924</v>
      </c>
      <c r="G2221" s="22">
        <v>1116.8721111283569</v>
      </c>
      <c r="H2221" s="20">
        <f ca="1">NOW() - TIME(5,30,0) + (VLOOKUP(MasterTable[[#This Row],[TimeZone]], $O$3:$P$8, 2, FALSE) / 24)</f>
        <v>45990.448544791667</v>
      </c>
      <c r="I2221" s="1" t="s">
        <v>1944</v>
      </c>
      <c r="J2221" s="1">
        <v>718.36</v>
      </c>
      <c r="K2221" s="11"/>
      <c r="L2221" s="11"/>
    </row>
    <row r="2222" spans="1:12" x14ac:dyDescent="0.25">
      <c r="A2222" s="1" t="s">
        <v>123</v>
      </c>
      <c r="B2222" s="1" t="s">
        <v>124</v>
      </c>
      <c r="C2222" s="1" t="s">
        <v>298</v>
      </c>
      <c r="D2222" s="1">
        <v>44.491799999999998</v>
      </c>
      <c r="E2222" s="1">
        <v>-123.4293</v>
      </c>
      <c r="F2222" s="1" t="s">
        <v>1924</v>
      </c>
      <c r="G2222" s="22">
        <v>1082.5855978741413</v>
      </c>
      <c r="H2222" s="20">
        <f ca="1">NOW() - TIME(5,30,0) + (VLOOKUP(MasterTable[[#This Row],[TimeZone]], $O$3:$P$8, 2, FALSE) / 24)</f>
        <v>45990.448544791667</v>
      </c>
      <c r="I2222" s="1" t="s">
        <v>1944</v>
      </c>
      <c r="J2222" s="1">
        <v>880.24</v>
      </c>
      <c r="K2222" s="11"/>
      <c r="L2222" s="11"/>
    </row>
    <row r="2223" spans="1:12" x14ac:dyDescent="0.25">
      <c r="A2223" s="1" t="s">
        <v>123</v>
      </c>
      <c r="B2223" s="1" t="s">
        <v>124</v>
      </c>
      <c r="C2223" s="1" t="s">
        <v>134</v>
      </c>
      <c r="D2223" s="1">
        <v>44.903500000000001</v>
      </c>
      <c r="E2223" s="1">
        <v>-123.4132</v>
      </c>
      <c r="F2223" s="1" t="s">
        <v>1924</v>
      </c>
      <c r="G2223" s="22">
        <v>1103.131608316118</v>
      </c>
      <c r="H2223" s="20">
        <f ca="1">NOW() - TIME(5,30,0) + (VLOOKUP(MasterTable[[#This Row],[TimeZone]], $O$3:$P$8, 2, FALSE) / 24)</f>
        <v>45990.448544791667</v>
      </c>
      <c r="I2223" s="1" t="s">
        <v>1944</v>
      </c>
      <c r="J2223" s="1">
        <v>862.42</v>
      </c>
      <c r="K2223" s="11"/>
      <c r="L2223" s="11"/>
    </row>
    <row r="2224" spans="1:12" x14ac:dyDescent="0.25">
      <c r="A2224" s="1" t="s">
        <v>123</v>
      </c>
      <c r="B2224" s="1" t="s">
        <v>124</v>
      </c>
      <c r="C2224" s="1" t="s">
        <v>638</v>
      </c>
      <c r="D2224" s="1">
        <v>42.365499999999997</v>
      </c>
      <c r="E2224" s="1">
        <v>-123.55549999999999</v>
      </c>
      <c r="F2224" s="1" t="s">
        <v>1924</v>
      </c>
      <c r="G2224" s="22">
        <v>984.39744441454889</v>
      </c>
      <c r="H2224" s="20">
        <f ca="1">NOW() - TIME(5,30,0) + (VLOOKUP(MasterTable[[#This Row],[TimeZone]], $O$3:$P$8, 2, FALSE) / 24)</f>
        <v>45990.448544791667</v>
      </c>
      <c r="I2224" s="1" t="s">
        <v>1944</v>
      </c>
      <c r="J2224" s="1">
        <v>1641.63</v>
      </c>
      <c r="K2224" s="11"/>
      <c r="L2224" s="11"/>
    </row>
    <row r="2225" spans="1:12" x14ac:dyDescent="0.25">
      <c r="A2225" s="1" t="s">
        <v>123</v>
      </c>
      <c r="B2225" s="1" t="s">
        <v>124</v>
      </c>
      <c r="C2225" s="1" t="s">
        <v>670</v>
      </c>
      <c r="D2225" s="1">
        <v>45.591900000000003</v>
      </c>
      <c r="E2225" s="1">
        <v>-118.73690000000001</v>
      </c>
      <c r="F2225" s="1" t="s">
        <v>1924</v>
      </c>
      <c r="G2225" s="22">
        <v>1013.599475750204</v>
      </c>
      <c r="H2225" s="20">
        <f ca="1">NOW() - TIME(5,30,0) + (VLOOKUP(MasterTable[[#This Row],[TimeZone]], $O$3:$P$8, 2, FALSE) / 24)</f>
        <v>45990.448544791667</v>
      </c>
      <c r="I2225" s="1" t="s">
        <v>1944</v>
      </c>
      <c r="J2225" s="1">
        <v>3231.25</v>
      </c>
      <c r="K2225" s="11"/>
      <c r="L2225" s="11"/>
    </row>
    <row r="2226" spans="1:12" x14ac:dyDescent="0.25">
      <c r="A2226" s="1" t="s">
        <v>123</v>
      </c>
      <c r="B2226" s="1" t="s">
        <v>124</v>
      </c>
      <c r="C2226" s="1" t="s">
        <v>710</v>
      </c>
      <c r="D2226" s="1">
        <v>42.686399999999999</v>
      </c>
      <c r="E2226" s="1">
        <v>-121.65009999999999</v>
      </c>
      <c r="F2226" s="1" t="s">
        <v>1924</v>
      </c>
      <c r="G2226" s="22">
        <v>930.49236448204147</v>
      </c>
      <c r="H2226" s="20">
        <f ca="1">NOW() - TIME(5,30,0) + (VLOOKUP(MasterTable[[#This Row],[TimeZone]], $O$3:$P$8, 2, FALSE) / 24)</f>
        <v>45990.448544791667</v>
      </c>
      <c r="I2226" s="1" t="s">
        <v>1944</v>
      </c>
      <c r="J2226" s="1">
        <v>6135.75</v>
      </c>
      <c r="K2226" s="11"/>
      <c r="L2226" s="11"/>
    </row>
    <row r="2227" spans="1:12" x14ac:dyDescent="0.25">
      <c r="A2227" s="1" t="s">
        <v>123</v>
      </c>
      <c r="B2227" s="1" t="s">
        <v>124</v>
      </c>
      <c r="C2227" s="1" t="s">
        <v>751</v>
      </c>
      <c r="D2227" s="1">
        <v>43.174199999999999</v>
      </c>
      <c r="E2227" s="1">
        <v>-124.0594</v>
      </c>
      <c r="F2227" s="1" t="s">
        <v>1924</v>
      </c>
      <c r="G2227" s="22">
        <v>1040.6927933995848</v>
      </c>
      <c r="H2227" s="20">
        <f ca="1">NOW() - TIME(5,30,0) + (VLOOKUP(MasterTable[[#This Row],[TimeZone]], $O$3:$P$8, 2, FALSE) / 24)</f>
        <v>45990.448544791667</v>
      </c>
      <c r="I2227" s="1" t="s">
        <v>1944</v>
      </c>
      <c r="J2227" s="1">
        <v>1831.44</v>
      </c>
      <c r="K2227" s="11"/>
      <c r="L2227" s="11"/>
    </row>
    <row r="2228" spans="1:12" x14ac:dyDescent="0.25">
      <c r="A2228" s="1" t="s">
        <v>123</v>
      </c>
      <c r="B2228" s="1" t="s">
        <v>124</v>
      </c>
      <c r="C2228" s="1" t="s">
        <v>455</v>
      </c>
      <c r="D2228" s="1">
        <v>45.943800000000003</v>
      </c>
      <c r="E2228" s="1">
        <v>-123.0883</v>
      </c>
      <c r="F2228" s="1" t="s">
        <v>1924</v>
      </c>
      <c r="G2228" s="22">
        <v>1147.9578578247038</v>
      </c>
      <c r="H2228" s="20">
        <f ca="1">NOW() - TIME(5,30,0) + (VLOOKUP(MasterTable[[#This Row],[TimeZone]], $O$3:$P$8, 2, FALSE) / 24)</f>
        <v>45990.448544791667</v>
      </c>
      <c r="I2228" s="1" t="s">
        <v>1944</v>
      </c>
      <c r="J2228" s="1">
        <v>766.86</v>
      </c>
      <c r="K2228" s="11"/>
      <c r="L2228" s="11"/>
    </row>
    <row r="2229" spans="1:12" x14ac:dyDescent="0.25">
      <c r="A2229" s="1" t="s">
        <v>123</v>
      </c>
      <c r="B2229" s="1" t="s">
        <v>124</v>
      </c>
      <c r="C2229" s="1" t="s">
        <v>632</v>
      </c>
      <c r="D2229" s="1">
        <v>44.642000000000003</v>
      </c>
      <c r="E2229" s="1">
        <v>-123.8682</v>
      </c>
      <c r="F2229" s="1" t="s">
        <v>1924</v>
      </c>
      <c r="G2229" s="22">
        <v>1104.9230198098564</v>
      </c>
      <c r="H2229" s="20">
        <f ca="1">NOW() - TIME(5,30,0) + (VLOOKUP(MasterTable[[#This Row],[TimeZone]], $O$3:$P$8, 2, FALSE) / 24)</f>
        <v>45990.448544791667</v>
      </c>
      <c r="I2229" s="1" t="s">
        <v>1944</v>
      </c>
      <c r="J2229" s="1">
        <v>572.16999999999996</v>
      </c>
      <c r="K2229" s="11"/>
      <c r="L2229" s="11"/>
    </row>
    <row r="2230" spans="1:12" x14ac:dyDescent="0.25">
      <c r="A2230" s="1" t="s">
        <v>123</v>
      </c>
      <c r="B2230" s="1" t="s">
        <v>124</v>
      </c>
      <c r="C2230" s="1" t="s">
        <v>935</v>
      </c>
      <c r="D2230" s="1">
        <v>45.994999999999997</v>
      </c>
      <c r="E2230" s="1">
        <v>-123.6557</v>
      </c>
      <c r="F2230" s="1" t="s">
        <v>1924</v>
      </c>
      <c r="G2230" s="22">
        <v>1167.9290929192234</v>
      </c>
      <c r="H2230" s="20">
        <f ca="1">NOW() - TIME(5,30,0) + (VLOOKUP(MasterTable[[#This Row],[TimeZone]], $O$3:$P$8, 2, FALSE) / 24)</f>
        <v>45990.448544791667</v>
      </c>
      <c r="I2230" s="1" t="s">
        <v>1944</v>
      </c>
      <c r="J2230" s="1">
        <v>1084.75</v>
      </c>
      <c r="K2230" s="11"/>
      <c r="L2230" s="11"/>
    </row>
    <row r="2231" spans="1:12" x14ac:dyDescent="0.25">
      <c r="A2231" s="1" t="s">
        <v>123</v>
      </c>
      <c r="B2231" s="1" t="s">
        <v>124</v>
      </c>
      <c r="C2231" s="1" t="s">
        <v>1049</v>
      </c>
      <c r="D2231" s="1">
        <v>43.193399999999997</v>
      </c>
      <c r="E2231" s="1">
        <v>-117.62309999999999</v>
      </c>
      <c r="F2231" s="1" t="s">
        <v>1923</v>
      </c>
      <c r="G2231" s="22">
        <v>841.16085840100243</v>
      </c>
      <c r="H2231" s="20">
        <f ca="1">NOW() - TIME(5,30,0) + (VLOOKUP(MasterTable[[#This Row],[TimeZone]], $O$3:$P$8, 2, FALSE) / 24)</f>
        <v>45990.490211458338</v>
      </c>
      <c r="I2231" s="1" t="s">
        <v>1944</v>
      </c>
      <c r="J2231" s="1">
        <v>9929.99</v>
      </c>
      <c r="K2231" s="11"/>
      <c r="L2231" s="11"/>
    </row>
    <row r="2232" spans="1:12" x14ac:dyDescent="0.25">
      <c r="A2232" s="1" t="s">
        <v>123</v>
      </c>
      <c r="B2232" s="1" t="s">
        <v>124</v>
      </c>
      <c r="C2232" s="1" t="s">
        <v>1117</v>
      </c>
      <c r="D2232" s="1">
        <v>45.463700000000003</v>
      </c>
      <c r="E2232" s="1">
        <v>-123.71259999999999</v>
      </c>
      <c r="F2232" s="1" t="s">
        <v>1924</v>
      </c>
      <c r="G2232" s="22">
        <v>1141.8042846962619</v>
      </c>
      <c r="H2232" s="20">
        <f ca="1">NOW() - TIME(5,30,0) + (VLOOKUP(MasterTable[[#This Row],[TimeZone]], $O$3:$P$8, 2, FALSE) / 24)</f>
        <v>45990.448544791667</v>
      </c>
      <c r="I2232" s="1" t="s">
        <v>1944</v>
      </c>
      <c r="J2232" s="1">
        <v>1332.78</v>
      </c>
      <c r="K2232" s="11"/>
      <c r="L2232" s="11"/>
    </row>
    <row r="2233" spans="1:12" x14ac:dyDescent="0.25">
      <c r="A2233" s="1" t="s">
        <v>123</v>
      </c>
      <c r="B2233" s="1" t="s">
        <v>124</v>
      </c>
      <c r="C2233" s="1" t="s">
        <v>1135</v>
      </c>
      <c r="D2233" s="1">
        <v>45.16</v>
      </c>
      <c r="E2233" s="1">
        <v>-121.1678</v>
      </c>
      <c r="F2233" s="1" t="s">
        <v>1924</v>
      </c>
      <c r="G2233" s="22">
        <v>1048.9067716009436</v>
      </c>
      <c r="H2233" s="20">
        <f ca="1">NOW() - TIME(5,30,0) + (VLOOKUP(MasterTable[[#This Row],[TimeZone]], $O$3:$P$8, 2, FALSE) / 24)</f>
        <v>45990.448544791667</v>
      </c>
      <c r="I2233" s="1" t="s">
        <v>1944</v>
      </c>
      <c r="J2233" s="1">
        <v>2395.3200000000002</v>
      </c>
      <c r="K2233" s="11"/>
      <c r="L2233" s="11"/>
    </row>
    <row r="2234" spans="1:12" x14ac:dyDescent="0.25">
      <c r="A2234" s="1" t="s">
        <v>123</v>
      </c>
      <c r="B2234" s="1" t="s">
        <v>124</v>
      </c>
      <c r="C2234" s="1" t="s">
        <v>177</v>
      </c>
      <c r="D2234" s="1">
        <v>45.310200000000002</v>
      </c>
      <c r="E2234" s="1">
        <v>-118.00879999999999</v>
      </c>
      <c r="F2234" s="1" t="s">
        <v>1924</v>
      </c>
      <c r="G2234" s="22">
        <v>980.59487365573386</v>
      </c>
      <c r="H2234" s="20">
        <f ca="1">NOW() - TIME(5,30,0) + (VLOOKUP(MasterTable[[#This Row],[TimeZone]], $O$3:$P$8, 2, FALSE) / 24)</f>
        <v>45990.448544791667</v>
      </c>
      <c r="I2234" s="1" t="s">
        <v>1944</v>
      </c>
      <c r="J2234" s="1">
        <v>1055.27</v>
      </c>
      <c r="K2234" s="11"/>
      <c r="L2234" s="11"/>
    </row>
    <row r="2235" spans="1:12" x14ac:dyDescent="0.25">
      <c r="A2235" s="1" t="s">
        <v>123</v>
      </c>
      <c r="B2235" s="1" t="s">
        <v>124</v>
      </c>
      <c r="C2235" s="1" t="s">
        <v>1151</v>
      </c>
      <c r="D2235" s="1">
        <v>44.142200000000003</v>
      </c>
      <c r="E2235" s="1">
        <v>-120.3566</v>
      </c>
      <c r="F2235" s="1" t="s">
        <v>1924</v>
      </c>
      <c r="G2235" s="22">
        <v>968.42484786036277</v>
      </c>
      <c r="H2235" s="20">
        <f ca="1">NOW() - TIME(5,30,0) + (VLOOKUP(MasterTable[[#This Row],[TimeZone]], $O$3:$P$8, 2, FALSE) / 24)</f>
        <v>45990.448544791667</v>
      </c>
      <c r="I2235" s="1" t="s">
        <v>1944</v>
      </c>
      <c r="J2235" s="1">
        <v>2987.41</v>
      </c>
      <c r="K2235" s="11"/>
      <c r="L2235" s="11"/>
    </row>
    <row r="2236" spans="1:12" x14ac:dyDescent="0.25">
      <c r="A2236" s="1" t="s">
        <v>123</v>
      </c>
      <c r="B2236" s="1" t="s">
        <v>124</v>
      </c>
      <c r="C2236" s="1" t="s">
        <v>129</v>
      </c>
      <c r="D2236" s="1">
        <v>44.629399999999997</v>
      </c>
      <c r="E2236" s="1">
        <v>-121.17610000000001</v>
      </c>
      <c r="F2236" s="1" t="s">
        <v>1924</v>
      </c>
      <c r="G2236" s="22">
        <v>1019.3492881321278</v>
      </c>
      <c r="H2236" s="20">
        <f ca="1">NOW() - TIME(5,30,0) + (VLOOKUP(MasterTable[[#This Row],[TimeZone]], $O$3:$P$8, 2, FALSE) / 24)</f>
        <v>45990.448544791667</v>
      </c>
      <c r="I2236" s="1" t="s">
        <v>1944</v>
      </c>
      <c r="J2236" s="1">
        <v>1123.8</v>
      </c>
      <c r="K2236" s="11"/>
      <c r="L2236" s="15"/>
    </row>
    <row r="2237" spans="1:12" x14ac:dyDescent="0.25">
      <c r="A2237" s="1" t="s">
        <v>123</v>
      </c>
      <c r="B2237" s="1" t="s">
        <v>124</v>
      </c>
      <c r="C2237" s="1" t="s">
        <v>1188</v>
      </c>
      <c r="D2237" s="1">
        <v>45.518999999999998</v>
      </c>
      <c r="E2237" s="1">
        <v>-121.6511</v>
      </c>
      <c r="F2237" s="1" t="s">
        <v>1924</v>
      </c>
      <c r="G2237" s="22">
        <v>1082.7208327674296</v>
      </c>
      <c r="H2237" s="20">
        <f ca="1">NOW() - TIME(5,30,0) + (VLOOKUP(MasterTable[[#This Row],[TimeZone]], $O$3:$P$8, 2, FALSE) / 24)</f>
        <v>45990.448544791667</v>
      </c>
      <c r="I2237" s="1" t="s">
        <v>1944</v>
      </c>
      <c r="J2237" s="1">
        <v>533.55999999999995</v>
      </c>
      <c r="K2237" s="11"/>
      <c r="L2237" s="11"/>
    </row>
    <row r="2238" spans="1:12" x14ac:dyDescent="0.25">
      <c r="A2238" s="1" t="s">
        <v>123</v>
      </c>
      <c r="B2238" s="1" t="s">
        <v>124</v>
      </c>
      <c r="C2238" s="1" t="s">
        <v>858</v>
      </c>
      <c r="D2238" s="1">
        <v>42.457599999999999</v>
      </c>
      <c r="E2238" s="1">
        <v>-124.1568</v>
      </c>
      <c r="F2238" s="1" t="s">
        <v>1924</v>
      </c>
      <c r="G2238" s="22">
        <v>1011.8198687604348</v>
      </c>
      <c r="H2238" s="20">
        <f ca="1">NOW() - TIME(5,30,0) + (VLOOKUP(MasterTable[[#This Row],[TimeZone]], $O$3:$P$8, 2, FALSE) / 24)</f>
        <v>45990.448544791667</v>
      </c>
      <c r="I2238" s="1" t="s">
        <v>1944</v>
      </c>
      <c r="J2238" s="1">
        <v>1407.67</v>
      </c>
      <c r="K2238" s="11"/>
      <c r="L2238" s="11"/>
    </row>
    <row r="2239" spans="1:12" x14ac:dyDescent="0.25">
      <c r="A2239" s="1" t="s">
        <v>123</v>
      </c>
      <c r="B2239" s="1" t="s">
        <v>124</v>
      </c>
      <c r="C2239" s="1" t="s">
        <v>1104</v>
      </c>
      <c r="D2239" s="1">
        <v>44.709200000000003</v>
      </c>
      <c r="E2239" s="1">
        <v>-117.67529999999999</v>
      </c>
      <c r="F2239" s="1" t="s">
        <v>1924</v>
      </c>
      <c r="G2239" s="22">
        <v>936.08014287469246</v>
      </c>
      <c r="H2239" s="20">
        <f ca="1">NOW() - TIME(5,30,0) + (VLOOKUP(MasterTable[[#This Row],[TimeZone]], $O$3:$P$8, 2, FALSE) / 24)</f>
        <v>45990.448544791667</v>
      </c>
      <c r="I2239" s="1" t="s">
        <v>1944</v>
      </c>
      <c r="J2239" s="1">
        <v>588.89</v>
      </c>
      <c r="K2239" s="11"/>
      <c r="L2239" s="11"/>
    </row>
    <row r="2240" spans="1:12" x14ac:dyDescent="0.25">
      <c r="A2240" s="1" t="s">
        <v>123</v>
      </c>
      <c r="B2240" s="1" t="s">
        <v>124</v>
      </c>
      <c r="C2240" s="1" t="s">
        <v>1016</v>
      </c>
      <c r="D2240" s="1">
        <v>45.418999999999997</v>
      </c>
      <c r="E2240" s="1">
        <v>-119.5844</v>
      </c>
      <c r="F2240" s="1" t="s">
        <v>1924</v>
      </c>
      <c r="G2240" s="22">
        <v>1022.6503770432078</v>
      </c>
      <c r="H2240" s="20">
        <f ca="1">NOW() - TIME(5,30,0) + (VLOOKUP(MasterTable[[#This Row],[TimeZone]], $O$3:$P$8, 2, FALSE) / 24)</f>
        <v>45990.448544791667</v>
      </c>
      <c r="I2240" s="1" t="s">
        <v>1944</v>
      </c>
      <c r="J2240" s="1">
        <v>407.36</v>
      </c>
      <c r="K2240" s="11"/>
      <c r="L2240" s="11"/>
    </row>
    <row r="2241" spans="1:12" x14ac:dyDescent="0.25">
      <c r="A2241" s="1" t="s">
        <v>123</v>
      </c>
      <c r="B2241" s="1" t="s">
        <v>124</v>
      </c>
      <c r="C2241" s="1" t="s">
        <v>142</v>
      </c>
      <c r="D2241" s="1">
        <v>42.793500000000002</v>
      </c>
      <c r="E2241" s="1">
        <v>-120.3874</v>
      </c>
      <c r="F2241" s="1" t="s">
        <v>1924</v>
      </c>
      <c r="G2241" s="22">
        <v>894.53586422538865</v>
      </c>
      <c r="H2241" s="20">
        <f ca="1">NOW() - TIME(5,30,0) + (VLOOKUP(MasterTable[[#This Row],[TimeZone]], $O$3:$P$8, 2, FALSE) / 24)</f>
        <v>45990.448544791667</v>
      </c>
      <c r="I2241" s="1" t="s">
        <v>1944</v>
      </c>
      <c r="J2241" s="1">
        <v>1329.48</v>
      </c>
      <c r="K2241" s="11"/>
      <c r="L2241" s="11"/>
    </row>
    <row r="2242" spans="1:12" x14ac:dyDescent="0.25">
      <c r="A2242" s="1" t="s">
        <v>123</v>
      </c>
      <c r="B2242" s="1" t="s">
        <v>124</v>
      </c>
      <c r="C2242" s="1" t="s">
        <v>1647</v>
      </c>
      <c r="D2242" s="1">
        <v>45.579900000000002</v>
      </c>
      <c r="E2242" s="1">
        <v>-117.181</v>
      </c>
      <c r="F2242" s="1" t="s">
        <v>1924</v>
      </c>
      <c r="G2242" s="22">
        <v>981.59057888902362</v>
      </c>
      <c r="H2242" s="20">
        <f ca="1">NOW() - TIME(5,30,0) + (VLOOKUP(MasterTable[[#This Row],[TimeZone]], $O$3:$P$8, 2, FALSE) / 24)</f>
        <v>45990.448544791667</v>
      </c>
      <c r="I2242" s="1" t="s">
        <v>1944</v>
      </c>
      <c r="J2242" s="1">
        <v>3151.69</v>
      </c>
      <c r="K2242" s="11"/>
      <c r="L2242" s="11"/>
    </row>
    <row r="2243" spans="1:12" x14ac:dyDescent="0.25">
      <c r="A2243" s="1" t="s">
        <v>123</v>
      </c>
      <c r="B2243" s="1" t="s">
        <v>124</v>
      </c>
      <c r="C2243" s="1" t="s">
        <v>1648</v>
      </c>
      <c r="D2243" s="1">
        <v>43.064100000000003</v>
      </c>
      <c r="E2243" s="1">
        <v>-118.968</v>
      </c>
      <c r="F2243" s="1" t="s">
        <v>1924</v>
      </c>
      <c r="G2243" s="22">
        <v>867.82943767811491</v>
      </c>
      <c r="H2243" s="20">
        <f ca="1">NOW() - TIME(5,30,0) + (VLOOKUP(MasterTable[[#This Row],[TimeZone]], $O$3:$P$8, 2, FALSE) / 24)</f>
        <v>45990.448544791667</v>
      </c>
      <c r="I2243" s="1" t="s">
        <v>1944</v>
      </c>
      <c r="J2243" s="1">
        <v>10226.49</v>
      </c>
      <c r="K2243" s="11"/>
      <c r="L2243" s="11"/>
    </row>
    <row r="2244" spans="1:12" x14ac:dyDescent="0.25">
      <c r="A2244" s="1" t="s">
        <v>123</v>
      </c>
      <c r="B2244" s="1" t="s">
        <v>124</v>
      </c>
      <c r="C2244" s="1" t="s">
        <v>590</v>
      </c>
      <c r="D2244" s="1">
        <v>44.491599999999998</v>
      </c>
      <c r="E2244" s="1">
        <v>-119.0073</v>
      </c>
      <c r="F2244" s="1" t="s">
        <v>1924</v>
      </c>
      <c r="G2244" s="22">
        <v>953.03357763814529</v>
      </c>
      <c r="H2244" s="20">
        <f ca="1">NOW() - TIME(5,30,0) + (VLOOKUP(MasterTable[[#This Row],[TimeZone]], $O$3:$P$8, 2, FALSE) / 24)</f>
        <v>45990.448544791667</v>
      </c>
      <c r="I2244" s="1" t="s">
        <v>1944</v>
      </c>
      <c r="J2244" s="1">
        <v>633.01</v>
      </c>
      <c r="K2244" s="11"/>
      <c r="L2244" s="11"/>
    </row>
    <row r="2245" spans="1:12" x14ac:dyDescent="0.25">
      <c r="A2245" s="1" t="s">
        <v>123</v>
      </c>
      <c r="B2245" s="1" t="s">
        <v>124</v>
      </c>
      <c r="C2245" s="1" t="s">
        <v>1866</v>
      </c>
      <c r="D2245" s="1">
        <v>45.378300000000003</v>
      </c>
      <c r="E2245" s="1">
        <v>-120.21080000000001</v>
      </c>
      <c r="F2245" s="1" t="s">
        <v>1924</v>
      </c>
      <c r="G2245" s="22">
        <v>1035.834071288326</v>
      </c>
      <c r="H2245" s="20">
        <f ca="1">NOW() - TIME(5,30,0) + (VLOOKUP(MasterTable[[#This Row],[TimeZone]], $O$3:$P$8, 2, FALSE) / 24)</f>
        <v>45990.448544791667</v>
      </c>
      <c r="I2245" s="1" t="s">
        <v>1944</v>
      </c>
      <c r="J2245" s="1">
        <v>1222.8399999999999</v>
      </c>
      <c r="K2245" s="11"/>
      <c r="L2245" s="11"/>
    </row>
    <row r="2246" spans="1:12" x14ac:dyDescent="0.25">
      <c r="A2246" s="1" t="s">
        <v>123</v>
      </c>
      <c r="B2246" s="1" t="s">
        <v>124</v>
      </c>
      <c r="C2246" s="1" t="s">
        <v>1712</v>
      </c>
      <c r="D2246" s="1">
        <v>45.405200000000001</v>
      </c>
      <c r="E2246" s="1">
        <v>-120.68940000000001</v>
      </c>
      <c r="F2246" s="1" t="s">
        <v>1924</v>
      </c>
      <c r="G2246" s="22">
        <v>1049.8855902145797</v>
      </c>
      <c r="H2246" s="20">
        <f ca="1">NOW() - TIME(5,30,0) + (VLOOKUP(MasterTable[[#This Row],[TimeZone]], $O$3:$P$8, 2, FALSE) / 24)</f>
        <v>45990.448544791667</v>
      </c>
      <c r="I2246" s="1" t="s">
        <v>1944</v>
      </c>
      <c r="J2246" s="1">
        <v>1056.01</v>
      </c>
      <c r="K2246" s="11"/>
      <c r="L2246" s="11"/>
    </row>
    <row r="2247" spans="1:12" x14ac:dyDescent="0.25">
      <c r="A2247" s="1" t="s">
        <v>123</v>
      </c>
      <c r="B2247" s="1" t="s">
        <v>124</v>
      </c>
      <c r="C2247" s="1" t="s">
        <v>1650</v>
      </c>
      <c r="D2247" s="1">
        <v>44.725999999999999</v>
      </c>
      <c r="E2247" s="1">
        <v>-120.0275</v>
      </c>
      <c r="F2247" s="1" t="s">
        <v>1924</v>
      </c>
      <c r="G2247" s="22">
        <v>992.93546748559243</v>
      </c>
      <c r="H2247" s="20">
        <f ca="1">NOW() - TIME(5,30,0) + (VLOOKUP(MasterTable[[#This Row],[TimeZone]], $O$3:$P$8, 2, FALSE) / 24)</f>
        <v>45990.448544791667</v>
      </c>
      <c r="I2247" s="1" t="s">
        <v>1944</v>
      </c>
      <c r="J2247" s="1">
        <v>300.14</v>
      </c>
      <c r="K2247" s="11"/>
      <c r="L2247" s="11"/>
    </row>
    <row r="2248" spans="1:12" x14ac:dyDescent="0.25">
      <c r="A2248" s="1" t="s">
        <v>43</v>
      </c>
      <c r="B2248" s="1" t="s">
        <v>44</v>
      </c>
      <c r="C2248" s="1" t="s">
        <v>42</v>
      </c>
      <c r="D2248" s="1">
        <v>40.007599999999996</v>
      </c>
      <c r="E2248" s="1">
        <v>-75.134</v>
      </c>
      <c r="F2248" s="1" t="s">
        <v>1925</v>
      </c>
      <c r="G2248" s="22">
        <v>2054.0381790916481</v>
      </c>
      <c r="H2248" s="20">
        <f ca="1">NOW() - TIME(5,30,0) + (VLOOKUP(MasterTable[[#This Row],[TimeZone]], $O$3:$P$8, 2, FALSE) / 24)</f>
        <v>45990.573544791667</v>
      </c>
      <c r="I2248" s="1" t="s">
        <v>1944</v>
      </c>
      <c r="J2248" s="1">
        <v>142.63999999999999</v>
      </c>
      <c r="K2248" s="11" t="s">
        <v>1650</v>
      </c>
      <c r="L2248" s="11" t="s">
        <v>1924</v>
      </c>
    </row>
    <row r="2249" spans="1:12" x14ac:dyDescent="0.25">
      <c r="A2249" s="1" t="s">
        <v>43</v>
      </c>
      <c r="B2249" s="1" t="s">
        <v>44</v>
      </c>
      <c r="C2249" s="1" t="s">
        <v>59</v>
      </c>
      <c r="D2249" s="1">
        <v>40.468800000000002</v>
      </c>
      <c r="E2249" s="1">
        <v>-79.981200000000001</v>
      </c>
      <c r="F2249" s="1" t="s">
        <v>1925</v>
      </c>
      <c r="G2249" s="22">
        <v>1803.2603348204934</v>
      </c>
      <c r="H2249" s="20">
        <f ca="1">NOW() - TIME(5,30,0) + (VLOOKUP(MasterTable[[#This Row],[TimeZone]], $O$3:$P$8, 2, FALSE) / 24)</f>
        <v>45990.573544791667</v>
      </c>
      <c r="I2249" s="1" t="s">
        <v>1944</v>
      </c>
      <c r="J2249" s="1">
        <v>744.71</v>
      </c>
      <c r="K2249" s="11" t="s">
        <v>561</v>
      </c>
      <c r="L2249" s="11" t="s">
        <v>1924</v>
      </c>
    </row>
    <row r="2250" spans="1:12" x14ac:dyDescent="0.25">
      <c r="A2250" s="1" t="s">
        <v>43</v>
      </c>
      <c r="B2250" s="1" t="s">
        <v>44</v>
      </c>
      <c r="C2250" s="1" t="s">
        <v>75</v>
      </c>
      <c r="D2250" s="1">
        <v>40.210799999999999</v>
      </c>
      <c r="E2250" s="1">
        <v>-75.3673</v>
      </c>
      <c r="F2250" s="1" t="s">
        <v>1925</v>
      </c>
      <c r="G2250" s="22">
        <v>2042.7317893692955</v>
      </c>
      <c r="H2250" s="20">
        <f ca="1">NOW() - TIME(5,30,0) + (VLOOKUP(MasterTable[[#This Row],[TimeZone]], $O$3:$P$8, 2, FALSE) / 24)</f>
        <v>45990.573544791667</v>
      </c>
      <c r="I2250" s="1" t="s">
        <v>1944</v>
      </c>
      <c r="J2250" s="1">
        <v>799.76</v>
      </c>
    </row>
    <row r="2251" spans="1:12" x14ac:dyDescent="0.25">
      <c r="A2251" s="1" t="s">
        <v>43</v>
      </c>
      <c r="B2251" s="1" t="s">
        <v>44</v>
      </c>
      <c r="C2251" s="1" t="s">
        <v>160</v>
      </c>
      <c r="D2251" s="1">
        <v>40.3369</v>
      </c>
      <c r="E2251" s="1">
        <v>-75.106899999999996</v>
      </c>
      <c r="F2251" s="1" t="s">
        <v>1925</v>
      </c>
      <c r="G2251" s="22">
        <v>2057.0783823167703</v>
      </c>
      <c r="H2251" s="20">
        <f ca="1">NOW() - TIME(5,30,0) + (VLOOKUP(MasterTable[[#This Row],[TimeZone]], $O$3:$P$8, 2, FALSE) / 24)</f>
        <v>45990.573544791667</v>
      </c>
      <c r="I2251" s="1" t="s">
        <v>1944</v>
      </c>
      <c r="J2251" s="1">
        <v>622.11</v>
      </c>
    </row>
    <row r="2252" spans="1:12" x14ac:dyDescent="0.25">
      <c r="A2252" s="1" t="s">
        <v>43</v>
      </c>
      <c r="B2252" s="1" t="s">
        <v>44</v>
      </c>
      <c r="C2252" s="1" t="s">
        <v>174</v>
      </c>
      <c r="D2252" s="1">
        <v>39.916699999999999</v>
      </c>
      <c r="E2252" s="1">
        <v>-75.399100000000004</v>
      </c>
      <c r="F2252" s="1" t="s">
        <v>1925</v>
      </c>
      <c r="G2252" s="22">
        <v>2039.6123298500968</v>
      </c>
      <c r="H2252" s="20">
        <f ca="1">NOW() - TIME(5,30,0) + (VLOOKUP(MasterTable[[#This Row],[TimeZone]], $O$3:$P$8, 2, FALSE) / 24)</f>
        <v>45990.573544791667</v>
      </c>
      <c r="I2252" s="1" t="s">
        <v>1944</v>
      </c>
      <c r="J2252" s="1">
        <v>395.92</v>
      </c>
    </row>
    <row r="2253" spans="1:12" x14ac:dyDescent="0.25">
      <c r="A2253" s="1" t="s">
        <v>43</v>
      </c>
      <c r="B2253" s="1" t="s">
        <v>44</v>
      </c>
      <c r="C2253" s="1" t="s">
        <v>181</v>
      </c>
      <c r="D2253" s="1">
        <v>40.042400000000001</v>
      </c>
      <c r="E2253" s="1">
        <v>-76.247699999999995</v>
      </c>
      <c r="F2253" s="1" t="s">
        <v>1925</v>
      </c>
      <c r="G2253" s="22">
        <v>1995.4480902426928</v>
      </c>
      <c r="H2253" s="20">
        <f ca="1">NOW() - TIME(5,30,0) + (VLOOKUP(MasterTable[[#This Row],[TimeZone]], $O$3:$P$8, 2, FALSE) / 24)</f>
        <v>45990.573544791667</v>
      </c>
      <c r="I2253" s="1" t="s">
        <v>1944</v>
      </c>
      <c r="J2253" s="1">
        <v>846.71</v>
      </c>
    </row>
    <row r="2254" spans="1:12" x14ac:dyDescent="0.25">
      <c r="A2254" s="1" t="s">
        <v>43</v>
      </c>
      <c r="B2254" s="1" t="s">
        <v>44</v>
      </c>
      <c r="C2254" s="1" t="s">
        <v>186</v>
      </c>
      <c r="D2254" s="1">
        <v>39.973100000000002</v>
      </c>
      <c r="E2254" s="1">
        <v>-75.748400000000004</v>
      </c>
      <c r="F2254" s="1" t="s">
        <v>1925</v>
      </c>
      <c r="G2254" s="22">
        <v>2021.4253124873701</v>
      </c>
      <c r="H2254" s="20">
        <f ca="1">NOW() - TIME(5,30,0) + (VLOOKUP(MasterTable[[#This Row],[TimeZone]], $O$3:$P$8, 2, FALSE) / 24)</f>
        <v>45990.573544791667</v>
      </c>
      <c r="I2254" s="1" t="s">
        <v>1944</v>
      </c>
      <c r="J2254" s="1">
        <v>759.81</v>
      </c>
    </row>
    <row r="2255" spans="1:12" x14ac:dyDescent="0.25">
      <c r="A2255" s="1" t="s">
        <v>43</v>
      </c>
      <c r="B2255" s="1" t="s">
        <v>44</v>
      </c>
      <c r="C2255" s="1" t="s">
        <v>213</v>
      </c>
      <c r="D2255" s="1">
        <v>39.92</v>
      </c>
      <c r="E2255" s="1">
        <v>-76.726500000000001</v>
      </c>
      <c r="F2255" s="1" t="s">
        <v>1925</v>
      </c>
      <c r="G2255" s="22">
        <v>1969.4842996317168</v>
      </c>
      <c r="H2255" s="20">
        <f ca="1">NOW() - TIME(5,30,0) + (VLOOKUP(MasterTable[[#This Row],[TimeZone]], $O$3:$P$8, 2, FALSE) / 24)</f>
        <v>45990.573544791667</v>
      </c>
      <c r="I2255" s="1" t="s">
        <v>1944</v>
      </c>
      <c r="J2255" s="1">
        <v>1271.3399999999999</v>
      </c>
    </row>
    <row r="2256" spans="1:12" x14ac:dyDescent="0.25">
      <c r="A2256" s="1" t="s">
        <v>43</v>
      </c>
      <c r="B2256" s="1" t="s">
        <v>44</v>
      </c>
      <c r="C2256" s="1" t="s">
        <v>225</v>
      </c>
      <c r="D2256" s="1">
        <v>40.4163</v>
      </c>
      <c r="E2256" s="1">
        <v>-75.926000000000002</v>
      </c>
      <c r="F2256" s="1" t="s">
        <v>1925</v>
      </c>
      <c r="G2256" s="22">
        <v>2014.5601740949389</v>
      </c>
      <c r="H2256" s="20">
        <f ca="1">NOW() - TIME(5,30,0) + (VLOOKUP(MasterTable[[#This Row],[TimeZone]], $O$3:$P$8, 2, FALSE) / 24)</f>
        <v>45990.573544791667</v>
      </c>
      <c r="I2256" s="1" t="s">
        <v>1944</v>
      </c>
      <c r="J2256" s="1">
        <v>865.67</v>
      </c>
    </row>
    <row r="2257" spans="1:10" x14ac:dyDescent="0.25">
      <c r="A2257" s="1" t="s">
        <v>43</v>
      </c>
      <c r="B2257" s="1" t="s">
        <v>44</v>
      </c>
      <c r="C2257" s="1" t="s">
        <v>254</v>
      </c>
      <c r="D2257" s="1">
        <v>40.612699999999997</v>
      </c>
      <c r="E2257" s="1">
        <v>-75.592299999999994</v>
      </c>
      <c r="F2257" s="1" t="s">
        <v>1925</v>
      </c>
      <c r="G2257" s="22">
        <v>2033.2370935885497</v>
      </c>
      <c r="H2257" s="20">
        <f ca="1">NOW() - TIME(5,30,0) + (VLOOKUP(MasterTable[[#This Row],[TimeZone]], $O$3:$P$8, 2, FALSE) / 24)</f>
        <v>45990.573544791667</v>
      </c>
      <c r="I2257" s="1" t="s">
        <v>1944</v>
      </c>
      <c r="J2257" s="1">
        <v>348.34</v>
      </c>
    </row>
    <row r="2258" spans="1:10" x14ac:dyDescent="0.25">
      <c r="A2258" s="1" t="s">
        <v>43</v>
      </c>
      <c r="B2258" s="1" t="s">
        <v>44</v>
      </c>
      <c r="C2258" s="1" t="s">
        <v>263</v>
      </c>
      <c r="D2258" s="1">
        <v>40.310899999999997</v>
      </c>
      <c r="E2258" s="1">
        <v>-79.466800000000006</v>
      </c>
      <c r="F2258" s="1" t="s">
        <v>1925</v>
      </c>
      <c r="G2258" s="22">
        <v>1828.5114641117962</v>
      </c>
      <c r="H2258" s="20">
        <f ca="1">NOW() - TIME(5,30,0) + (VLOOKUP(MasterTable[[#This Row],[TimeZone]], $O$3:$P$8, 2, FALSE) / 24)</f>
        <v>45990.573544791667</v>
      </c>
      <c r="I2258" s="1" t="s">
        <v>1944</v>
      </c>
      <c r="J2258" s="1">
        <v>1036.3399999999999</v>
      </c>
    </row>
    <row r="2259" spans="1:10" x14ac:dyDescent="0.25">
      <c r="A2259" s="1" t="s">
        <v>43</v>
      </c>
      <c r="B2259" s="1" t="s">
        <v>44</v>
      </c>
      <c r="C2259" s="1" t="s">
        <v>277</v>
      </c>
      <c r="D2259" s="1">
        <v>41.177</v>
      </c>
      <c r="E2259" s="1">
        <v>-75.989199999999997</v>
      </c>
      <c r="F2259" s="1" t="s">
        <v>1925</v>
      </c>
      <c r="G2259" s="22">
        <v>2016.5893065221708</v>
      </c>
      <c r="H2259" s="20">
        <f ca="1">NOW() - TIME(5,30,0) + (VLOOKUP(MasterTable[[#This Row],[TimeZone]], $O$3:$P$8, 2, FALSE) / 24)</f>
        <v>45990.573544791667</v>
      </c>
      <c r="I2259" s="1" t="s">
        <v>1944</v>
      </c>
      <c r="J2259" s="1">
        <v>907.13</v>
      </c>
    </row>
    <row r="2260" spans="1:10" x14ac:dyDescent="0.25">
      <c r="A2260" s="1" t="s">
        <v>43</v>
      </c>
      <c r="B2260" s="1" t="s">
        <v>44</v>
      </c>
      <c r="C2260" s="1" t="s">
        <v>281</v>
      </c>
      <c r="D2260" s="1">
        <v>40.754199999999997</v>
      </c>
      <c r="E2260" s="1">
        <v>-75.307599999999994</v>
      </c>
      <c r="F2260" s="1" t="s">
        <v>1925</v>
      </c>
      <c r="G2260" s="22">
        <v>2048.9810360182196</v>
      </c>
      <c r="H2260" s="20">
        <f ca="1">NOW() - TIME(5,30,0) + (VLOOKUP(MasterTable[[#This Row],[TimeZone]], $O$3:$P$8, 2, FALSE) / 24)</f>
        <v>45990.573544791667</v>
      </c>
      <c r="I2260" s="1" t="s">
        <v>1944</v>
      </c>
      <c r="J2260" s="1">
        <v>550.61</v>
      </c>
    </row>
    <row r="2261" spans="1:10" x14ac:dyDescent="0.25">
      <c r="A2261" s="1" t="s">
        <v>43</v>
      </c>
      <c r="B2261" s="1" t="s">
        <v>44</v>
      </c>
      <c r="C2261" s="1" t="s">
        <v>303</v>
      </c>
      <c r="D2261" s="1">
        <v>40.415500000000002</v>
      </c>
      <c r="E2261" s="1">
        <v>-76.779399999999995</v>
      </c>
      <c r="F2261" s="1" t="s">
        <v>1925</v>
      </c>
      <c r="G2261" s="22">
        <v>1969.8612849289727</v>
      </c>
      <c r="H2261" s="20">
        <f ca="1">NOW() - TIME(5,30,0) + (VLOOKUP(MasterTable[[#This Row],[TimeZone]], $O$3:$P$8, 2, FALSE) / 24)</f>
        <v>45990.573544791667</v>
      </c>
      <c r="I2261" s="1" t="s">
        <v>1944</v>
      </c>
      <c r="J2261" s="1">
        <v>557.53</v>
      </c>
    </row>
    <row r="2262" spans="1:10" x14ac:dyDescent="0.25">
      <c r="A2262" s="1" t="s">
        <v>43</v>
      </c>
      <c r="B2262" s="1" t="s">
        <v>44</v>
      </c>
      <c r="C2262" s="1" t="s">
        <v>100</v>
      </c>
      <c r="D2262" s="1">
        <v>41.9925</v>
      </c>
      <c r="E2262" s="1">
        <v>-80.032700000000006</v>
      </c>
      <c r="F2262" s="1" t="s">
        <v>1925</v>
      </c>
      <c r="G2262" s="22">
        <v>1819.06383589652</v>
      </c>
      <c r="H2262" s="20">
        <f ca="1">NOW() - TIME(5,30,0) + (VLOOKUP(MasterTable[[#This Row],[TimeZone]], $O$3:$P$8, 2, FALSE) / 24)</f>
        <v>45990.573544791667</v>
      </c>
      <c r="I2262" s="1" t="s">
        <v>1944</v>
      </c>
      <c r="J2262" s="1">
        <v>1226.8900000000001</v>
      </c>
    </row>
    <row r="2263" spans="1:10" x14ac:dyDescent="0.25">
      <c r="A2263" s="1" t="s">
        <v>43</v>
      </c>
      <c r="B2263" s="1" t="s">
        <v>44</v>
      </c>
      <c r="C2263" s="1" t="s">
        <v>271</v>
      </c>
      <c r="D2263" s="1">
        <v>40.163600000000002</v>
      </c>
      <c r="E2263" s="1">
        <v>-77.265500000000003</v>
      </c>
      <c r="F2263" s="1" t="s">
        <v>1925</v>
      </c>
      <c r="G2263" s="22">
        <v>1942.6315400828119</v>
      </c>
      <c r="H2263" s="20">
        <f ca="1">NOW() - TIME(5,30,0) + (VLOOKUP(MasterTable[[#This Row],[TimeZone]], $O$3:$P$8, 2, FALSE) / 24)</f>
        <v>45990.573544791667</v>
      </c>
      <c r="I2263" s="1" t="s">
        <v>1944</v>
      </c>
      <c r="J2263" s="1">
        <v>347</v>
      </c>
    </row>
    <row r="2264" spans="1:10" x14ac:dyDescent="0.25">
      <c r="A2264" s="1" t="s">
        <v>43</v>
      </c>
      <c r="B2264" s="1" t="s">
        <v>44</v>
      </c>
      <c r="C2264" s="1" t="s">
        <v>359</v>
      </c>
      <c r="D2264" s="1">
        <v>41.436700000000002</v>
      </c>
      <c r="E2264" s="1">
        <v>-75.609200000000001</v>
      </c>
      <c r="F2264" s="1" t="s">
        <v>1925</v>
      </c>
      <c r="G2264" s="22">
        <v>2038.2410062869342</v>
      </c>
      <c r="H2264" s="20">
        <f ca="1">NOW() - TIME(5,30,0) + (VLOOKUP(MasterTable[[#This Row],[TimeZone]], $O$3:$P$8, 2, FALSE) / 24)</f>
        <v>45990.573544791667</v>
      </c>
      <c r="I2264" s="1" t="s">
        <v>1944</v>
      </c>
      <c r="J2264" s="1">
        <v>464.51</v>
      </c>
    </row>
    <row r="2265" spans="1:10" x14ac:dyDescent="0.25">
      <c r="A2265" s="1" t="s">
        <v>43</v>
      </c>
      <c r="B2265" s="1" t="s">
        <v>44</v>
      </c>
      <c r="C2265" s="1" t="s">
        <v>28</v>
      </c>
      <c r="D2265" s="1">
        <v>40.189399999999999</v>
      </c>
      <c r="E2265" s="1">
        <v>-80.2483</v>
      </c>
      <c r="F2265" s="1" t="s">
        <v>1925</v>
      </c>
      <c r="G2265" s="22">
        <v>1786.5305957686776</v>
      </c>
      <c r="H2265" s="20">
        <f ca="1">NOW() - TIME(5,30,0) + (VLOOKUP(MasterTable[[#This Row],[TimeZone]], $O$3:$P$8, 2, FALSE) / 24)</f>
        <v>45990.573544791667</v>
      </c>
      <c r="I2265" s="1" t="s">
        <v>1944</v>
      </c>
      <c r="J2265" s="1">
        <v>1088.54</v>
      </c>
    </row>
    <row r="2266" spans="1:10" x14ac:dyDescent="0.25">
      <c r="A2266" s="1" t="s">
        <v>43</v>
      </c>
      <c r="B2266" s="1" t="s">
        <v>44</v>
      </c>
      <c r="C2266" s="1" t="s">
        <v>245</v>
      </c>
      <c r="D2266" s="1">
        <v>40.911999999999999</v>
      </c>
      <c r="E2266" s="1">
        <v>-79.913300000000007</v>
      </c>
      <c r="F2266" s="1" t="s">
        <v>1925</v>
      </c>
      <c r="G2266" s="22">
        <v>1811.5392256634925</v>
      </c>
      <c r="H2266" s="20">
        <f ca="1">NOW() - TIME(5,30,0) + (VLOOKUP(MasterTable[[#This Row],[TimeZone]], $O$3:$P$8, 2, FALSE) / 24)</f>
        <v>45990.573544791667</v>
      </c>
      <c r="I2266" s="1" t="s">
        <v>1944</v>
      </c>
      <c r="J2266" s="1">
        <v>777.92</v>
      </c>
    </row>
    <row r="2267" spans="1:10" x14ac:dyDescent="0.25">
      <c r="A2267" s="1" t="s">
        <v>43</v>
      </c>
      <c r="B2267" s="1" t="s">
        <v>44</v>
      </c>
      <c r="C2267" s="1" t="s">
        <v>135</v>
      </c>
      <c r="D2267" s="1">
        <v>41.058100000000003</v>
      </c>
      <c r="E2267" s="1">
        <v>-75.339500000000001</v>
      </c>
      <c r="F2267" s="1" t="s">
        <v>1925</v>
      </c>
      <c r="G2267" s="22">
        <v>2049.3361042192546</v>
      </c>
      <c r="H2267" s="20">
        <f ca="1">NOW() - TIME(5,30,0) + (VLOOKUP(MasterTable[[#This Row],[TimeZone]], $O$3:$P$8, 2, FALSE) / 24)</f>
        <v>45990.573544791667</v>
      </c>
      <c r="I2267" s="1" t="s">
        <v>1944</v>
      </c>
      <c r="J2267" s="1">
        <v>1034.53</v>
      </c>
    </row>
    <row r="2268" spans="1:10" x14ac:dyDescent="0.25">
      <c r="A2268" s="1" t="s">
        <v>43</v>
      </c>
      <c r="B2268" s="1" t="s">
        <v>44</v>
      </c>
      <c r="C2268" s="1" t="s">
        <v>438</v>
      </c>
      <c r="D2268" s="1">
        <v>40.682299999999998</v>
      </c>
      <c r="E2268" s="1">
        <v>-80.349299999999999</v>
      </c>
      <c r="F2268" s="1" t="s">
        <v>1925</v>
      </c>
      <c r="G2268" s="22">
        <v>1786.4608532439659</v>
      </c>
      <c r="H2268" s="20">
        <f ca="1">NOW() - TIME(5,30,0) + (VLOOKUP(MasterTable[[#This Row],[TimeZone]], $O$3:$P$8, 2, FALSE) / 24)</f>
        <v>45990.573544791667</v>
      </c>
      <c r="I2268" s="1" t="s">
        <v>1944</v>
      </c>
      <c r="J2268" s="1">
        <v>1817.58</v>
      </c>
    </row>
    <row r="2269" spans="1:10" x14ac:dyDescent="0.25">
      <c r="A2269" s="1" t="s">
        <v>43</v>
      </c>
      <c r="B2269" s="1" t="s">
        <v>44</v>
      </c>
      <c r="C2269" s="1" t="s">
        <v>463</v>
      </c>
      <c r="D2269" s="1">
        <v>40.918900000000001</v>
      </c>
      <c r="E2269" s="1">
        <v>-77.819900000000004</v>
      </c>
      <c r="F2269" s="1" t="s">
        <v>1925</v>
      </c>
      <c r="G2269" s="22">
        <v>1919.7265427288989</v>
      </c>
      <c r="H2269" s="20">
        <f ca="1">NOW() - TIME(5,30,0) + (VLOOKUP(MasterTable[[#This Row],[TimeZone]], $O$3:$P$8, 2, FALSE) / 24)</f>
        <v>45990.573544791667</v>
      </c>
      <c r="I2269" s="1" t="s">
        <v>1944</v>
      </c>
      <c r="J2269" s="1">
        <v>1111.8499999999999</v>
      </c>
    </row>
    <row r="2270" spans="1:10" x14ac:dyDescent="0.25">
      <c r="A2270" s="1" t="s">
        <v>43</v>
      </c>
      <c r="B2270" s="1" t="s">
        <v>44</v>
      </c>
      <c r="C2270" s="1" t="s">
        <v>50</v>
      </c>
      <c r="D2270" s="1">
        <v>39.927399999999999</v>
      </c>
      <c r="E2270" s="1">
        <v>-77.721299999999999</v>
      </c>
      <c r="F2270" s="1" t="s">
        <v>1925</v>
      </c>
      <c r="G2270" s="22">
        <v>1917.0332759601283</v>
      </c>
      <c r="H2270" s="20">
        <f ca="1">NOW() - TIME(5,30,0) + (VLOOKUP(MasterTable[[#This Row],[TimeZone]], $O$3:$P$8, 2, FALSE) / 24)</f>
        <v>45990.573544791667</v>
      </c>
      <c r="I2270" s="1" t="s">
        <v>1944</v>
      </c>
      <c r="J2270" s="1">
        <v>646.51</v>
      </c>
    </row>
    <row r="2271" spans="1:10" x14ac:dyDescent="0.25">
      <c r="A2271" s="1" t="s">
        <v>43</v>
      </c>
      <c r="B2271" s="1" t="s">
        <v>44</v>
      </c>
      <c r="C2271" s="1" t="s">
        <v>483</v>
      </c>
      <c r="D2271" s="1">
        <v>40.367199999999997</v>
      </c>
      <c r="E2271" s="1">
        <v>-76.457700000000003</v>
      </c>
      <c r="F2271" s="1" t="s">
        <v>1925</v>
      </c>
      <c r="G2271" s="22">
        <v>1986.3852192525667</v>
      </c>
      <c r="H2271" s="20">
        <f ca="1">NOW() - TIME(5,30,0) + (VLOOKUP(MasterTable[[#This Row],[TimeZone]], $O$3:$P$8, 2, FALSE) / 24)</f>
        <v>45990.573544791667</v>
      </c>
      <c r="I2271" s="1" t="s">
        <v>1944</v>
      </c>
      <c r="J2271" s="1">
        <v>362.6</v>
      </c>
    </row>
    <row r="2272" spans="1:10" x14ac:dyDescent="0.25">
      <c r="A2272" s="1" t="s">
        <v>43</v>
      </c>
      <c r="B2272" s="1" t="s">
        <v>44</v>
      </c>
      <c r="C2272" s="1" t="s">
        <v>484</v>
      </c>
      <c r="D2272" s="1">
        <v>40.705800000000004</v>
      </c>
      <c r="E2272" s="1">
        <v>-76.215999999999994</v>
      </c>
      <c r="F2272" s="1" t="s">
        <v>1925</v>
      </c>
      <c r="G2272" s="22">
        <v>2001.3151576822427</v>
      </c>
      <c r="H2272" s="20">
        <f ca="1">NOW() - TIME(5,30,0) + (VLOOKUP(MasterTable[[#This Row],[TimeZone]], $O$3:$P$8, 2, FALSE) / 24)</f>
        <v>45990.573544791667</v>
      </c>
      <c r="I2272" s="1" t="s">
        <v>1944</v>
      </c>
      <c r="J2272" s="1">
        <v>782.61</v>
      </c>
    </row>
    <row r="2273" spans="1:10" x14ac:dyDescent="0.25">
      <c r="A2273" s="1" t="s">
        <v>43</v>
      </c>
      <c r="B2273" s="1" t="s">
        <v>44</v>
      </c>
      <c r="C2273" s="1" t="s">
        <v>500</v>
      </c>
      <c r="D2273" s="1">
        <v>40.495100000000001</v>
      </c>
      <c r="E2273" s="1">
        <v>-78.713399999999993</v>
      </c>
      <c r="F2273" s="1" t="s">
        <v>1925</v>
      </c>
      <c r="G2273" s="22">
        <v>1869.4933388115053</v>
      </c>
      <c r="H2273" s="20">
        <f ca="1">NOW() - TIME(5,30,0) + (VLOOKUP(MasterTable[[#This Row],[TimeZone]], $O$3:$P$8, 2, FALSE) / 24)</f>
        <v>45990.573544791667</v>
      </c>
      <c r="I2273" s="1" t="s">
        <v>1944</v>
      </c>
      <c r="J2273" s="1">
        <v>693.43</v>
      </c>
    </row>
    <row r="2274" spans="1:10" x14ac:dyDescent="0.25">
      <c r="A2274" s="1" t="s">
        <v>43</v>
      </c>
      <c r="B2274" s="1" t="s">
        <v>44</v>
      </c>
      <c r="C2274" s="1" t="s">
        <v>279</v>
      </c>
      <c r="D2274" s="1">
        <v>39.920099999999998</v>
      </c>
      <c r="E2274" s="1">
        <v>-79.647400000000005</v>
      </c>
      <c r="F2274" s="1" t="s">
        <v>1925</v>
      </c>
      <c r="G2274" s="22">
        <v>1815.543564299255</v>
      </c>
      <c r="H2274" s="20">
        <f ca="1">NOW() - TIME(5,30,0) + (VLOOKUP(MasterTable[[#This Row],[TimeZone]], $O$3:$P$8, 2, FALSE) / 24)</f>
        <v>45990.573544791667</v>
      </c>
      <c r="I2274" s="1" t="s">
        <v>1944</v>
      </c>
      <c r="J2274" s="1">
        <v>629.34</v>
      </c>
    </row>
    <row r="2275" spans="1:10" x14ac:dyDescent="0.25">
      <c r="A2275" s="1" t="s">
        <v>43</v>
      </c>
      <c r="B2275" s="1" t="s">
        <v>44</v>
      </c>
      <c r="C2275" s="1" t="s">
        <v>524</v>
      </c>
      <c r="D2275" s="1">
        <v>40.481099999999998</v>
      </c>
      <c r="E2275" s="1">
        <v>-78.348299999999995</v>
      </c>
      <c r="F2275" s="1" t="s">
        <v>1925</v>
      </c>
      <c r="G2275" s="22">
        <v>1888.399764111326</v>
      </c>
      <c r="H2275" s="20">
        <f ca="1">NOW() - TIME(5,30,0) + (VLOOKUP(MasterTable[[#This Row],[TimeZone]], $O$3:$P$8, 2, FALSE) / 24)</f>
        <v>45990.573544791667</v>
      </c>
      <c r="I2275" s="1" t="s">
        <v>1944</v>
      </c>
      <c r="J2275" s="1">
        <v>527.11</v>
      </c>
    </row>
    <row r="2276" spans="1:10" x14ac:dyDescent="0.25">
      <c r="A2276" s="1" t="s">
        <v>43</v>
      </c>
      <c r="B2276" s="1" t="s">
        <v>44</v>
      </c>
      <c r="C2276" s="1" t="s">
        <v>542</v>
      </c>
      <c r="D2276" s="1">
        <v>41.343400000000003</v>
      </c>
      <c r="E2276" s="1">
        <v>-77.064499999999995</v>
      </c>
      <c r="F2276" s="1" t="s">
        <v>1925</v>
      </c>
      <c r="G2276" s="22">
        <v>1962.586738326451</v>
      </c>
      <c r="H2276" s="20">
        <f ca="1">NOW() - TIME(5,30,0) + (VLOOKUP(MasterTable[[#This Row],[TimeZone]], $O$3:$P$8, 2, FALSE) / 24)</f>
        <v>45990.573544791667</v>
      </c>
      <c r="I2276" s="1" t="s">
        <v>1944</v>
      </c>
      <c r="J2276" s="1">
        <v>1243.77</v>
      </c>
    </row>
    <row r="2277" spans="1:10" x14ac:dyDescent="0.25">
      <c r="A2277" s="1" t="s">
        <v>43</v>
      </c>
      <c r="B2277" s="1" t="s">
        <v>44</v>
      </c>
      <c r="C2277" s="1" t="s">
        <v>249</v>
      </c>
      <c r="D2277" s="1">
        <v>41.302199999999999</v>
      </c>
      <c r="E2277" s="1">
        <v>-80.2577</v>
      </c>
      <c r="F2277" s="1" t="s">
        <v>1925</v>
      </c>
      <c r="G2277" s="22">
        <v>1798.5190347075461</v>
      </c>
      <c r="H2277" s="20">
        <f ca="1">NOW() - TIME(5,30,0) + (VLOOKUP(MasterTable[[#This Row],[TimeZone]], $O$3:$P$8, 2, FALSE) / 24)</f>
        <v>45990.573544791667</v>
      </c>
      <c r="I2277" s="1" t="s">
        <v>1944</v>
      </c>
      <c r="J2277" s="1">
        <v>568.88</v>
      </c>
    </row>
    <row r="2278" spans="1:10" x14ac:dyDescent="0.25">
      <c r="A2278" s="1" t="s">
        <v>43</v>
      </c>
      <c r="B2278" s="1" t="s">
        <v>44</v>
      </c>
      <c r="C2278" s="1" t="s">
        <v>193</v>
      </c>
      <c r="D2278" s="1">
        <v>39.871499999999997</v>
      </c>
      <c r="E2278" s="1">
        <v>-77.2179</v>
      </c>
      <c r="F2278" s="1" t="s">
        <v>1925</v>
      </c>
      <c r="G2278" s="22">
        <v>1943.2417498876982</v>
      </c>
      <c r="H2278" s="20">
        <f ca="1">NOW() - TIME(5,30,0) + (VLOOKUP(MasterTable[[#This Row],[TimeZone]], $O$3:$P$8, 2, FALSE) / 24)</f>
        <v>45990.573544791667</v>
      </c>
      <c r="I2278" s="1" t="s">
        <v>1944</v>
      </c>
      <c r="J2278" s="1">
        <v>1197.71</v>
      </c>
    </row>
    <row r="2279" spans="1:10" x14ac:dyDescent="0.25">
      <c r="A2279" s="1" t="s">
        <v>43</v>
      </c>
      <c r="B2279" s="1" t="s">
        <v>44</v>
      </c>
      <c r="C2279" s="1" t="s">
        <v>630</v>
      </c>
      <c r="D2279" s="1">
        <v>40.851999999999997</v>
      </c>
      <c r="E2279" s="1">
        <v>-76.709500000000006</v>
      </c>
      <c r="F2279" s="1" t="s">
        <v>1925</v>
      </c>
      <c r="G2279" s="22">
        <v>1976.7309056909501</v>
      </c>
      <c r="H2279" s="20">
        <f ca="1">NOW() - TIME(5,30,0) + (VLOOKUP(MasterTable[[#This Row],[TimeZone]], $O$3:$P$8, 2, FALSE) / 24)</f>
        <v>45990.573544791667</v>
      </c>
      <c r="I2279" s="1" t="s">
        <v>1944</v>
      </c>
      <c r="J2279" s="1">
        <v>477.38</v>
      </c>
    </row>
    <row r="2280" spans="1:10" x14ac:dyDescent="0.25">
      <c r="A2280" s="1" t="s">
        <v>43</v>
      </c>
      <c r="B2280" s="1" t="s">
        <v>44</v>
      </c>
      <c r="C2280" s="1" t="s">
        <v>644</v>
      </c>
      <c r="D2280" s="1">
        <v>40.991199999999999</v>
      </c>
      <c r="E2280" s="1">
        <v>-80.334699999999998</v>
      </c>
      <c r="F2280" s="1" t="s">
        <v>1925</v>
      </c>
      <c r="G2280" s="22">
        <v>1790.7742764986403</v>
      </c>
      <c r="H2280" s="20">
        <f ca="1">NOW() - TIME(5,30,0) + (VLOOKUP(MasterTable[[#This Row],[TimeZone]], $O$3:$P$8, 2, FALSE) / 24)</f>
        <v>45990.573544791667</v>
      </c>
      <c r="I2280" s="1" t="s">
        <v>1944</v>
      </c>
      <c r="J2280" s="1">
        <v>718.07</v>
      </c>
    </row>
    <row r="2281" spans="1:10" x14ac:dyDescent="0.25">
      <c r="A2281" s="1" t="s">
        <v>43</v>
      </c>
      <c r="B2281" s="1" t="s">
        <v>44</v>
      </c>
      <c r="C2281" s="1" t="s">
        <v>90</v>
      </c>
      <c r="D2281" s="1">
        <v>40.652000000000001</v>
      </c>
      <c r="E2281" s="1">
        <v>-79.087599999999995</v>
      </c>
      <c r="F2281" s="1" t="s">
        <v>1925</v>
      </c>
      <c r="G2281" s="22">
        <v>1851.5083976946157</v>
      </c>
      <c r="H2281" s="20">
        <f ca="1">NOW() - TIME(5,30,0) + (VLOOKUP(MasterTable[[#This Row],[TimeZone]], $O$3:$P$8, 2, FALSE) / 24)</f>
        <v>45990.573544791667</v>
      </c>
      <c r="I2281" s="1" t="s">
        <v>1944</v>
      </c>
      <c r="J2281" s="1">
        <v>834.29</v>
      </c>
    </row>
    <row r="2282" spans="1:10" x14ac:dyDescent="0.25">
      <c r="A2282" s="1" t="s">
        <v>43</v>
      </c>
      <c r="B2282" s="1" t="s">
        <v>44</v>
      </c>
      <c r="C2282" s="1" t="s">
        <v>655</v>
      </c>
      <c r="D2282" s="1">
        <v>41.684699999999999</v>
      </c>
      <c r="E2282" s="1">
        <v>-80.106200000000001</v>
      </c>
      <c r="F2282" s="1" t="s">
        <v>1925</v>
      </c>
      <c r="G2282" s="22">
        <v>1811.1647869964445</v>
      </c>
      <c r="H2282" s="20">
        <f ca="1">NOW() - TIME(5,30,0) + (VLOOKUP(MasterTable[[#This Row],[TimeZone]], $O$3:$P$8, 2, FALSE) / 24)</f>
        <v>45990.573544791667</v>
      </c>
      <c r="I2282" s="1" t="s">
        <v>1944</v>
      </c>
      <c r="J2282" s="1">
        <v>604.20000000000005</v>
      </c>
    </row>
    <row r="2283" spans="1:10" x14ac:dyDescent="0.25">
      <c r="A2283" s="1" t="s">
        <v>43</v>
      </c>
      <c r="B2283" s="1" t="s">
        <v>44</v>
      </c>
      <c r="C2283" s="1" t="s">
        <v>677</v>
      </c>
      <c r="D2283" s="1">
        <v>41</v>
      </c>
      <c r="E2283" s="1">
        <v>-78.474199999999996</v>
      </c>
      <c r="F2283" s="1" t="s">
        <v>1925</v>
      </c>
      <c r="G2283" s="22">
        <v>1886.6803321264936</v>
      </c>
      <c r="H2283" s="20">
        <f ca="1">NOW() - TIME(5,30,0) + (VLOOKUP(MasterTable[[#This Row],[TimeZone]], $O$3:$P$8, 2, FALSE) / 24)</f>
        <v>45990.573544791667</v>
      </c>
      <c r="I2283" s="1" t="s">
        <v>1944</v>
      </c>
      <c r="J2283" s="1">
        <v>1153.8</v>
      </c>
    </row>
    <row r="2284" spans="1:10" x14ac:dyDescent="0.25">
      <c r="A2284" s="1" t="s">
        <v>43</v>
      </c>
      <c r="B2284" s="1" t="s">
        <v>44</v>
      </c>
      <c r="C2284" s="1" t="s">
        <v>267</v>
      </c>
      <c r="D2284" s="1">
        <v>39.972499999999997</v>
      </c>
      <c r="E2284" s="1">
        <v>-79.028300000000002</v>
      </c>
      <c r="F2284" s="1" t="s">
        <v>1925</v>
      </c>
      <c r="G2284" s="22">
        <v>1848.5365500877044</v>
      </c>
      <c r="H2284" s="20">
        <f ca="1">NOW() - TIME(5,30,0) + (VLOOKUP(MasterTable[[#This Row],[TimeZone]], $O$3:$P$8, 2, FALSE) / 24)</f>
        <v>45990.573544791667</v>
      </c>
      <c r="I2284" s="1" t="s">
        <v>1944</v>
      </c>
      <c r="J2284" s="1">
        <v>4095.37</v>
      </c>
    </row>
    <row r="2285" spans="1:10" x14ac:dyDescent="0.25">
      <c r="A2285" s="1" t="s">
        <v>43</v>
      </c>
      <c r="B2285" s="1" t="s">
        <v>44</v>
      </c>
      <c r="C2285" s="1" t="s">
        <v>745</v>
      </c>
      <c r="D2285" s="1">
        <v>40.918199999999999</v>
      </c>
      <c r="E2285" s="1">
        <v>-75.7089</v>
      </c>
      <c r="F2285" s="1" t="s">
        <v>1925</v>
      </c>
      <c r="G2285" s="22">
        <v>2029.1902653941227</v>
      </c>
      <c r="H2285" s="20">
        <f ca="1">NOW() - TIME(5,30,0) + (VLOOKUP(MasterTable[[#This Row],[TimeZone]], $O$3:$P$8, 2, FALSE) / 24)</f>
        <v>45990.573544791667</v>
      </c>
      <c r="I2285" s="1" t="s">
        <v>1944</v>
      </c>
      <c r="J2285" s="1">
        <v>2062.19</v>
      </c>
    </row>
    <row r="2286" spans="1:10" x14ac:dyDescent="0.25">
      <c r="A2286" s="1" t="s">
        <v>43</v>
      </c>
      <c r="B2286" s="1" t="s">
        <v>44</v>
      </c>
      <c r="C2286" s="1" t="s">
        <v>747</v>
      </c>
      <c r="D2286" s="1">
        <v>40.812100000000001</v>
      </c>
      <c r="E2286" s="1">
        <v>-79.464600000000004</v>
      </c>
      <c r="F2286" s="1" t="s">
        <v>1925</v>
      </c>
      <c r="G2286" s="22">
        <v>1833.6067369101577</v>
      </c>
      <c r="H2286" s="20">
        <f ca="1">NOW() - TIME(5,30,0) + (VLOOKUP(MasterTable[[#This Row],[TimeZone]], $O$3:$P$8, 2, FALSE) / 24)</f>
        <v>45990.573544791667</v>
      </c>
      <c r="I2286" s="1" t="s">
        <v>1944</v>
      </c>
      <c r="J2286" s="1">
        <v>664.44</v>
      </c>
    </row>
    <row r="2287" spans="1:10" x14ac:dyDescent="0.25">
      <c r="A2287" s="1" t="s">
        <v>43</v>
      </c>
      <c r="B2287" s="1" t="s">
        <v>44</v>
      </c>
      <c r="C2287" s="1" t="s">
        <v>455</v>
      </c>
      <c r="D2287" s="1">
        <v>41.0486</v>
      </c>
      <c r="E2287" s="1">
        <v>-76.405199999999994</v>
      </c>
      <c r="F2287" s="1" t="s">
        <v>1925</v>
      </c>
      <c r="G2287" s="22">
        <v>1994.0604351842869</v>
      </c>
      <c r="H2287" s="20">
        <f ca="1">NOW() - TIME(5,30,0) + (VLOOKUP(MasterTable[[#This Row],[TimeZone]], $O$3:$P$8, 2, FALSE) / 24)</f>
        <v>45990.573544791667</v>
      </c>
      <c r="I2287" s="1" t="s">
        <v>1944</v>
      </c>
      <c r="J2287" s="1">
        <v>766.86</v>
      </c>
    </row>
    <row r="2288" spans="1:10" x14ac:dyDescent="0.25">
      <c r="A2288" s="1" t="s">
        <v>43</v>
      </c>
      <c r="B2288" s="1" t="s">
        <v>44</v>
      </c>
      <c r="C2288" s="1" t="s">
        <v>778</v>
      </c>
      <c r="D2288" s="1">
        <v>41.788699999999999</v>
      </c>
      <c r="E2288" s="1">
        <v>-76.5154</v>
      </c>
      <c r="F2288" s="1" t="s">
        <v>1925</v>
      </c>
      <c r="G2288" s="22">
        <v>1994.9213193181781</v>
      </c>
      <c r="H2288" s="20">
        <f ca="1">NOW() - TIME(5,30,0) + (VLOOKUP(MasterTable[[#This Row],[TimeZone]], $O$3:$P$8, 2, FALSE) / 24)</f>
        <v>45990.573544791667</v>
      </c>
      <c r="I2288" s="1" t="s">
        <v>1944</v>
      </c>
      <c r="J2288" s="1">
        <v>300.04000000000002</v>
      </c>
    </row>
    <row r="2289" spans="1:10" x14ac:dyDescent="0.25">
      <c r="A2289" s="1" t="s">
        <v>43</v>
      </c>
      <c r="B2289" s="1" t="s">
        <v>44</v>
      </c>
      <c r="C2289" s="1" t="s">
        <v>783</v>
      </c>
      <c r="D2289" s="1">
        <v>41.332000000000001</v>
      </c>
      <c r="E2289" s="1">
        <v>-75.033799999999999</v>
      </c>
      <c r="F2289" s="1" t="s">
        <v>1925</v>
      </c>
      <c r="G2289" s="22">
        <v>2067.0910376562301</v>
      </c>
      <c r="H2289" s="20">
        <f ca="1">NOW() - TIME(5,30,0) + (VLOOKUP(MasterTable[[#This Row],[TimeZone]], $O$3:$P$8, 2, FALSE) / 24)</f>
        <v>45990.573544791667</v>
      </c>
      <c r="I2289" s="1" t="s">
        <v>1944</v>
      </c>
      <c r="J2289" s="1">
        <v>672.1</v>
      </c>
    </row>
    <row r="2290" spans="1:10" x14ac:dyDescent="0.25">
      <c r="A2290" s="1" t="s">
        <v>43</v>
      </c>
      <c r="B2290" s="1" t="s">
        <v>44</v>
      </c>
      <c r="C2290" s="1" t="s">
        <v>34</v>
      </c>
      <c r="D2290" s="1">
        <v>41.648699999999998</v>
      </c>
      <c r="E2290" s="1">
        <v>-75.303299999999993</v>
      </c>
      <c r="F2290" s="1" t="s">
        <v>1925</v>
      </c>
      <c r="G2290" s="22">
        <v>2055.6666846895218</v>
      </c>
      <c r="H2290" s="20">
        <f ca="1">NOW() - TIME(5,30,0) + (VLOOKUP(MasterTable[[#This Row],[TimeZone]], $O$3:$P$8, 2, FALSE) / 24)</f>
        <v>45990.573544791667</v>
      </c>
      <c r="I2290" s="1" t="s">
        <v>1944</v>
      </c>
      <c r="J2290" s="1">
        <v>648.79999999999995</v>
      </c>
    </row>
    <row r="2291" spans="1:10" x14ac:dyDescent="0.25">
      <c r="A2291" s="1" t="s">
        <v>43</v>
      </c>
      <c r="B2291" s="1" t="s">
        <v>44</v>
      </c>
      <c r="C2291" s="1" t="s">
        <v>843</v>
      </c>
      <c r="D2291" s="1">
        <v>41.401000000000003</v>
      </c>
      <c r="E2291" s="1">
        <v>-79.757999999999996</v>
      </c>
      <c r="F2291" s="1" t="s">
        <v>1925</v>
      </c>
      <c r="G2291" s="22">
        <v>1825.2423029286176</v>
      </c>
      <c r="H2291" s="20">
        <f ca="1">NOW() - TIME(5,30,0) + (VLOOKUP(MasterTable[[#This Row],[TimeZone]], $O$3:$P$8, 2, FALSE) / 24)</f>
        <v>45990.573544791667</v>
      </c>
      <c r="I2291" s="1" t="s">
        <v>1944</v>
      </c>
      <c r="J2291" s="1">
        <v>683.02</v>
      </c>
    </row>
    <row r="2292" spans="1:10" x14ac:dyDescent="0.25">
      <c r="A2292" s="1" t="s">
        <v>43</v>
      </c>
      <c r="B2292" s="1" t="s">
        <v>44</v>
      </c>
      <c r="C2292" s="1" t="s">
        <v>669</v>
      </c>
      <c r="D2292" s="1">
        <v>40.006500000000003</v>
      </c>
      <c r="E2292" s="1">
        <v>-78.490300000000005</v>
      </c>
      <c r="F2292" s="1" t="s">
        <v>1925</v>
      </c>
      <c r="G2292" s="22">
        <v>1877.1002934592188</v>
      </c>
      <c r="H2292" s="20">
        <f ca="1">NOW() - TIME(5,30,0) + (VLOOKUP(MasterTable[[#This Row],[TimeZone]], $O$3:$P$8, 2, FALSE) / 24)</f>
        <v>45990.573544791667</v>
      </c>
      <c r="I2292" s="1" t="s">
        <v>1944</v>
      </c>
      <c r="J2292" s="1">
        <v>1017.4</v>
      </c>
    </row>
    <row r="2293" spans="1:10" x14ac:dyDescent="0.25">
      <c r="A2293" s="1" t="s">
        <v>43</v>
      </c>
      <c r="B2293" s="1" t="s">
        <v>44</v>
      </c>
      <c r="C2293" s="1" t="s">
        <v>875</v>
      </c>
      <c r="D2293" s="1">
        <v>40.610399999999998</v>
      </c>
      <c r="E2293" s="1">
        <v>-77.617000000000004</v>
      </c>
      <c r="F2293" s="1" t="s">
        <v>1925</v>
      </c>
      <c r="G2293" s="22">
        <v>1927.5989018611583</v>
      </c>
      <c r="H2293" s="20">
        <f ca="1">NOW() - TIME(5,30,0) + (VLOOKUP(MasterTable[[#This Row],[TimeZone]], $O$3:$P$8, 2, FALSE) / 24)</f>
        <v>45990.573544791667</v>
      </c>
      <c r="I2293" s="1" t="s">
        <v>1944</v>
      </c>
      <c r="J2293" s="1">
        <v>414.6</v>
      </c>
    </row>
    <row r="2294" spans="1:10" x14ac:dyDescent="0.25">
      <c r="A2294" s="1" t="s">
        <v>43</v>
      </c>
      <c r="B2294" s="1" t="s">
        <v>44</v>
      </c>
      <c r="C2294" s="1" t="s">
        <v>877</v>
      </c>
      <c r="D2294" s="1">
        <v>40.398400000000002</v>
      </c>
      <c r="E2294" s="1">
        <v>-77.262299999999996</v>
      </c>
      <c r="F2294" s="1" t="s">
        <v>1925</v>
      </c>
      <c r="G2294" s="22">
        <v>1944.4677528376199</v>
      </c>
      <c r="H2294" s="20">
        <f ca="1">NOW() - TIME(5,30,0) + (VLOOKUP(MasterTable[[#This Row],[TimeZone]], $O$3:$P$8, 2, FALSE) / 24)</f>
        <v>45990.573544791667</v>
      </c>
      <c r="I2294" s="1" t="s">
        <v>1944</v>
      </c>
      <c r="J2294" s="1">
        <v>724.08</v>
      </c>
    </row>
    <row r="2295" spans="1:10" x14ac:dyDescent="0.25">
      <c r="A2295" s="1" t="s">
        <v>43</v>
      </c>
      <c r="B2295" s="1" t="s">
        <v>44</v>
      </c>
      <c r="C2295" s="1" t="s">
        <v>129</v>
      </c>
      <c r="D2295" s="1">
        <v>41.1282</v>
      </c>
      <c r="E2295" s="1">
        <v>-78.999399999999994</v>
      </c>
      <c r="F2295" s="1" t="s">
        <v>1925</v>
      </c>
      <c r="G2295" s="22">
        <v>1860.9549004158921</v>
      </c>
      <c r="H2295" s="20">
        <f ca="1">NOW() - TIME(5,30,0) + (VLOOKUP(MasterTable[[#This Row],[TimeZone]], $O$3:$P$8, 2, FALSE) / 24)</f>
        <v>45990.573544791667</v>
      </c>
      <c r="I2295" s="1" t="s">
        <v>1944</v>
      </c>
      <c r="J2295" s="1">
        <v>1123.8</v>
      </c>
    </row>
    <row r="2296" spans="1:10" x14ac:dyDescent="0.25">
      <c r="A2296" s="1" t="s">
        <v>43</v>
      </c>
      <c r="B2296" s="1" t="s">
        <v>44</v>
      </c>
      <c r="C2296" s="1" t="s">
        <v>903</v>
      </c>
      <c r="D2296" s="1">
        <v>40.416899999999998</v>
      </c>
      <c r="E2296" s="1">
        <v>-77.981200000000001</v>
      </c>
      <c r="F2296" s="1" t="s">
        <v>1925</v>
      </c>
      <c r="G2296" s="22">
        <v>1907.0241670222224</v>
      </c>
      <c r="H2296" s="20">
        <f ca="1">NOW() - TIME(5,30,0) + (VLOOKUP(MasterTable[[#This Row],[TimeZone]], $O$3:$P$8, 2, FALSE) / 24)</f>
        <v>45990.573544791667</v>
      </c>
      <c r="I2296" s="1" t="s">
        <v>1944</v>
      </c>
      <c r="J2296" s="1">
        <v>889.03</v>
      </c>
    </row>
    <row r="2297" spans="1:10" x14ac:dyDescent="0.25">
      <c r="A2297" s="1" t="s">
        <v>43</v>
      </c>
      <c r="B2297" s="1" t="s">
        <v>44</v>
      </c>
      <c r="C2297" s="1" t="s">
        <v>177</v>
      </c>
      <c r="D2297" s="1">
        <v>40.963000000000001</v>
      </c>
      <c r="E2297" s="1">
        <v>-77.062200000000004</v>
      </c>
      <c r="F2297" s="1" t="s">
        <v>1925</v>
      </c>
      <c r="G2297" s="22">
        <v>1959.3422609159998</v>
      </c>
      <c r="H2297" s="20">
        <f ca="1">NOW() - TIME(5,30,0) + (VLOOKUP(MasterTable[[#This Row],[TimeZone]], $O$3:$P$8, 2, FALSE) / 24)</f>
        <v>45990.573544791667</v>
      </c>
      <c r="I2297" s="1" t="s">
        <v>1944</v>
      </c>
      <c r="J2297" s="1">
        <v>1055.27</v>
      </c>
    </row>
    <row r="2298" spans="1:10" x14ac:dyDescent="0.25">
      <c r="A2298" s="1" t="s">
        <v>43</v>
      </c>
      <c r="B2298" s="1" t="s">
        <v>44</v>
      </c>
      <c r="C2298" s="1" t="s">
        <v>856</v>
      </c>
      <c r="D2298" s="1">
        <v>41.772199999999998</v>
      </c>
      <c r="E2298" s="1">
        <v>-77.254300000000001</v>
      </c>
      <c r="F2298" s="1" t="s">
        <v>1925</v>
      </c>
      <c r="G2298" s="22">
        <v>1957.0863612431669</v>
      </c>
      <c r="H2298" s="20">
        <f ca="1">NOW() - TIME(5,30,0) + (VLOOKUP(MasterTable[[#This Row],[TimeZone]], $O$3:$P$8, 2, FALSE) / 24)</f>
        <v>45990.573544791667</v>
      </c>
      <c r="I2298" s="1" t="s">
        <v>1944</v>
      </c>
      <c r="J2298" s="1">
        <v>522.91</v>
      </c>
    </row>
    <row r="2299" spans="1:10" x14ac:dyDescent="0.25">
      <c r="A2299" s="1" t="s">
        <v>43</v>
      </c>
      <c r="B2299" s="1" t="s">
        <v>44</v>
      </c>
      <c r="C2299" s="1" t="s">
        <v>952</v>
      </c>
      <c r="D2299" s="1">
        <v>41.807600000000001</v>
      </c>
      <c r="E2299" s="1">
        <v>-78.569000000000003</v>
      </c>
      <c r="F2299" s="1" t="s">
        <v>1925</v>
      </c>
      <c r="G2299" s="22">
        <v>1890.6338467362398</v>
      </c>
      <c r="H2299" s="20">
        <f ca="1">NOW() - TIME(5,30,0) + (VLOOKUP(MasterTable[[#This Row],[TimeZone]], $O$3:$P$8, 2, FALSE) / 24)</f>
        <v>45990.573544791667</v>
      </c>
      <c r="I2299" s="1" t="s">
        <v>1944</v>
      </c>
      <c r="J2299" s="1">
        <v>984.17</v>
      </c>
    </row>
    <row r="2300" spans="1:10" x14ac:dyDescent="0.25">
      <c r="A2300" s="1" t="s">
        <v>43</v>
      </c>
      <c r="B2300" s="1" t="s">
        <v>44</v>
      </c>
      <c r="C2300" s="1" t="s">
        <v>956</v>
      </c>
      <c r="D2300" s="1">
        <v>40.769799999999996</v>
      </c>
      <c r="E2300" s="1">
        <v>-77.0702</v>
      </c>
      <c r="F2300" s="1" t="s">
        <v>1925</v>
      </c>
      <c r="G2300" s="22">
        <v>1957.3404272073942</v>
      </c>
      <c r="H2300" s="20">
        <f ca="1">NOW() - TIME(5,30,0) + (VLOOKUP(MasterTable[[#This Row],[TimeZone]], $O$3:$P$8, 2, FALSE) / 24)</f>
        <v>45990.573544791667</v>
      </c>
      <c r="I2300" s="1" t="s">
        <v>1944</v>
      </c>
      <c r="J2300" s="1">
        <v>332.16</v>
      </c>
    </row>
    <row r="2301" spans="1:10" x14ac:dyDescent="0.25">
      <c r="A2301" s="1" t="s">
        <v>43</v>
      </c>
      <c r="B2301" s="1" t="s">
        <v>44</v>
      </c>
      <c r="C2301" s="1" t="s">
        <v>969</v>
      </c>
      <c r="D2301" s="1">
        <v>41.821399999999997</v>
      </c>
      <c r="E2301" s="1">
        <v>-75.800700000000006</v>
      </c>
      <c r="F2301" s="1" t="s">
        <v>1925</v>
      </c>
      <c r="G2301" s="22">
        <v>2031.7005363927844</v>
      </c>
      <c r="H2301" s="20">
        <f ca="1">NOW() - TIME(5,30,0) + (VLOOKUP(MasterTable[[#This Row],[TimeZone]], $O$3:$P$8, 2, FALSE) / 24)</f>
        <v>45990.573544791667</v>
      </c>
      <c r="I2301" s="1" t="s">
        <v>1944</v>
      </c>
      <c r="J2301" s="1">
        <v>832.4</v>
      </c>
    </row>
    <row r="2302" spans="1:10" x14ac:dyDescent="0.25">
      <c r="A2302" s="1" t="s">
        <v>43</v>
      </c>
      <c r="B2302" s="1" t="s">
        <v>44</v>
      </c>
      <c r="C2302" s="1" t="s">
        <v>331</v>
      </c>
      <c r="D2302" s="1">
        <v>41.814500000000002</v>
      </c>
      <c r="E2302" s="1">
        <v>-79.274100000000004</v>
      </c>
      <c r="F2302" s="1" t="s">
        <v>1925</v>
      </c>
      <c r="G2302" s="22">
        <v>1854.9813676439569</v>
      </c>
      <c r="H2302" s="20">
        <f ca="1">NOW() - TIME(5,30,0) + (VLOOKUP(MasterTable[[#This Row],[TimeZone]], $O$3:$P$8, 2, FALSE) / 24)</f>
        <v>45990.573544791667</v>
      </c>
      <c r="I2302" s="1" t="s">
        <v>1944</v>
      </c>
      <c r="J2302" s="1">
        <v>286.74</v>
      </c>
    </row>
    <row r="2303" spans="1:10" x14ac:dyDescent="0.25">
      <c r="A2303" s="1" t="s">
        <v>43</v>
      </c>
      <c r="B2303" s="1" t="s">
        <v>44</v>
      </c>
      <c r="C2303" s="1" t="s">
        <v>675</v>
      </c>
      <c r="D2303" s="1">
        <v>41.234000000000002</v>
      </c>
      <c r="E2303" s="1">
        <v>-77.638499999999993</v>
      </c>
      <c r="F2303" s="1" t="s">
        <v>1925</v>
      </c>
      <c r="G2303" s="22">
        <v>1932.0321374505145</v>
      </c>
      <c r="H2303" s="20">
        <f ca="1">NOW() - TIME(5,30,0) + (VLOOKUP(MasterTable[[#This Row],[TimeZone]], $O$3:$P$8, 2, FALSE) / 24)</f>
        <v>45990.573544791667</v>
      </c>
      <c r="I2303" s="1" t="s">
        <v>1944</v>
      </c>
      <c r="J2303" s="1">
        <v>503.48</v>
      </c>
    </row>
    <row r="2304" spans="1:10" x14ac:dyDescent="0.25">
      <c r="A2304" s="1" t="s">
        <v>43</v>
      </c>
      <c r="B2304" s="1" t="s">
        <v>44</v>
      </c>
      <c r="C2304" s="1" t="s">
        <v>986</v>
      </c>
      <c r="D2304" s="1">
        <v>41.192399999999999</v>
      </c>
      <c r="E2304" s="1">
        <v>-79.421000000000006</v>
      </c>
      <c r="F2304" s="1" t="s">
        <v>1925</v>
      </c>
      <c r="G2304" s="22">
        <v>1840.0173774157561</v>
      </c>
      <c r="H2304" s="20">
        <f ca="1">NOW() - TIME(5,30,0) + (VLOOKUP(MasterTable[[#This Row],[TimeZone]], $O$3:$P$8, 2, FALSE) / 24)</f>
        <v>45990.573544791667</v>
      </c>
      <c r="I2304" s="1" t="s">
        <v>1944</v>
      </c>
      <c r="J2304" s="1">
        <v>608.95000000000005</v>
      </c>
    </row>
    <row r="2305" spans="1:10" x14ac:dyDescent="0.25">
      <c r="A2305" s="1" t="s">
        <v>43</v>
      </c>
      <c r="B2305" s="1" t="s">
        <v>44</v>
      </c>
      <c r="C2305" s="1" t="s">
        <v>289</v>
      </c>
      <c r="D2305" s="1">
        <v>39.8538</v>
      </c>
      <c r="E2305" s="1">
        <v>-80.222899999999996</v>
      </c>
      <c r="F2305" s="1" t="s">
        <v>1925</v>
      </c>
      <c r="G2305" s="22">
        <v>1784.6959896839294</v>
      </c>
      <c r="H2305" s="20">
        <f ca="1">NOW() - TIME(5,30,0) + (VLOOKUP(MasterTable[[#This Row],[TimeZone]], $O$3:$P$8, 2, FALSE) / 24)</f>
        <v>45990.573544791667</v>
      </c>
      <c r="I2305" s="1" t="s">
        <v>1944</v>
      </c>
      <c r="J2305" s="1">
        <v>659.93</v>
      </c>
    </row>
    <row r="2306" spans="1:10" x14ac:dyDescent="0.25">
      <c r="A2306" s="1" t="s">
        <v>43</v>
      </c>
      <c r="B2306" s="1" t="s">
        <v>44</v>
      </c>
      <c r="C2306" s="1" t="s">
        <v>1067</v>
      </c>
      <c r="D2306" s="1">
        <v>41.4251</v>
      </c>
      <c r="E2306" s="1">
        <v>-78.649100000000004</v>
      </c>
      <c r="F2306" s="1" t="s">
        <v>1925</v>
      </c>
      <c r="G2306" s="22">
        <v>1882.1625793917817</v>
      </c>
      <c r="H2306" s="20">
        <f ca="1">NOW() - TIME(5,30,0) + (VLOOKUP(MasterTable[[#This Row],[TimeZone]], $O$3:$P$8, 2, FALSE) / 24)</f>
        <v>45990.573544791667</v>
      </c>
      <c r="I2306" s="1" t="s">
        <v>1944</v>
      </c>
      <c r="J2306" s="1">
        <v>650.36</v>
      </c>
    </row>
    <row r="2307" spans="1:10" x14ac:dyDescent="0.25">
      <c r="A2307" s="1" t="s">
        <v>43</v>
      </c>
      <c r="B2307" s="1" t="s">
        <v>44</v>
      </c>
      <c r="C2307" s="1" t="s">
        <v>589</v>
      </c>
      <c r="D2307" s="1">
        <v>41.5184</v>
      </c>
      <c r="E2307" s="1">
        <v>-76.016400000000004</v>
      </c>
      <c r="F2307" s="1" t="s">
        <v>1925</v>
      </c>
      <c r="G2307" s="22">
        <v>2017.9914131033818</v>
      </c>
      <c r="H2307" s="20">
        <f ca="1">NOW() - TIME(5,30,0) + (VLOOKUP(MasterTable[[#This Row],[TimeZone]], $O$3:$P$8, 2, FALSE) / 24)</f>
        <v>45990.573544791667</v>
      </c>
      <c r="I2307" s="1" t="s">
        <v>1944</v>
      </c>
      <c r="J2307" s="1">
        <v>596.44000000000005</v>
      </c>
    </row>
    <row r="2308" spans="1:10" x14ac:dyDescent="0.25">
      <c r="A2308" s="1" t="s">
        <v>43</v>
      </c>
      <c r="B2308" s="1" t="s">
        <v>44</v>
      </c>
      <c r="C2308" s="1" t="s">
        <v>1198</v>
      </c>
      <c r="D2308" s="1">
        <v>40.531100000000002</v>
      </c>
      <c r="E2308" s="1">
        <v>-77.402199999999993</v>
      </c>
      <c r="F2308" s="1" t="s">
        <v>1925</v>
      </c>
      <c r="G2308" s="22">
        <v>1938.1637237396367</v>
      </c>
      <c r="H2308" s="20">
        <f ca="1">NOW() - TIME(5,30,0) + (VLOOKUP(MasterTable[[#This Row],[TimeZone]], $O$3:$P$8, 2, FALSE) / 24)</f>
        <v>45990.573544791667</v>
      </c>
      <c r="I2308" s="1" t="s">
        <v>1944</v>
      </c>
      <c r="J2308" s="1">
        <v>393.57</v>
      </c>
    </row>
    <row r="2309" spans="1:10" x14ac:dyDescent="0.25">
      <c r="A2309" s="1" t="s">
        <v>43</v>
      </c>
      <c r="B2309" s="1" t="s">
        <v>44</v>
      </c>
      <c r="C2309" s="1" t="s">
        <v>1324</v>
      </c>
      <c r="D2309" s="1">
        <v>41.027900000000002</v>
      </c>
      <c r="E2309" s="1">
        <v>-76.658600000000007</v>
      </c>
      <c r="F2309" s="1" t="s">
        <v>1925</v>
      </c>
      <c r="G2309" s="22">
        <v>1980.7769769346371</v>
      </c>
      <c r="H2309" s="20">
        <f ca="1">NOW() - TIME(5,30,0) + (VLOOKUP(MasterTable[[#This Row],[TimeZone]], $O$3:$P$8, 2, FALSE) / 24)</f>
        <v>45990.573544791667</v>
      </c>
      <c r="I2309" s="1" t="s">
        <v>1944</v>
      </c>
      <c r="J2309" s="1">
        <v>132.30000000000001</v>
      </c>
    </row>
    <row r="2310" spans="1:10" x14ac:dyDescent="0.25">
      <c r="A2310" s="1" t="s">
        <v>43</v>
      </c>
      <c r="B2310" s="1" t="s">
        <v>44</v>
      </c>
      <c r="C2310" s="1" t="s">
        <v>538</v>
      </c>
      <c r="D2310" s="1">
        <v>41.744900000000001</v>
      </c>
      <c r="E2310" s="1">
        <v>-77.895799999999994</v>
      </c>
      <c r="F2310" s="1" t="s">
        <v>1925</v>
      </c>
      <c r="G2310" s="22">
        <v>1924.1277733379175</v>
      </c>
      <c r="H2310" s="20">
        <f ca="1">NOW() - TIME(5,30,0) + (VLOOKUP(MasterTable[[#This Row],[TimeZone]], $O$3:$P$8, 2, FALSE) / 24)</f>
        <v>45990.573544791667</v>
      </c>
      <c r="I2310" s="1" t="s">
        <v>1944</v>
      </c>
      <c r="J2310" s="1">
        <v>1081.42</v>
      </c>
    </row>
    <row r="2311" spans="1:10" x14ac:dyDescent="0.25">
      <c r="A2311" s="1" t="s">
        <v>43</v>
      </c>
      <c r="B2311" s="1" t="s">
        <v>44</v>
      </c>
      <c r="C2311" s="1" t="s">
        <v>72</v>
      </c>
      <c r="D2311" s="1">
        <v>39.925400000000003</v>
      </c>
      <c r="E2311" s="1">
        <v>-78.112700000000004</v>
      </c>
      <c r="F2311" s="1" t="s">
        <v>1925</v>
      </c>
      <c r="G2311" s="22">
        <v>1896.3840466136278</v>
      </c>
      <c r="H2311" s="20">
        <f ca="1">NOW() - TIME(5,30,0) + (VLOOKUP(MasterTable[[#This Row],[TimeZone]], $O$3:$P$8, 2, FALSE) / 24)</f>
        <v>45990.573544791667</v>
      </c>
      <c r="I2311" s="1" t="s">
        <v>1944</v>
      </c>
      <c r="J2311" s="1">
        <v>620.30999999999995</v>
      </c>
    </row>
    <row r="2312" spans="1:10" x14ac:dyDescent="0.25">
      <c r="A2312" s="1" t="s">
        <v>43</v>
      </c>
      <c r="B2312" s="1" t="s">
        <v>44</v>
      </c>
      <c r="C2312" s="1" t="s">
        <v>1582</v>
      </c>
      <c r="D2312" s="1">
        <v>41.512999999999998</v>
      </c>
      <c r="E2312" s="1">
        <v>-79.236000000000004</v>
      </c>
      <c r="F2312" s="1" t="s">
        <v>1925</v>
      </c>
      <c r="G2312" s="22">
        <v>1853.2107982822049</v>
      </c>
      <c r="H2312" s="20">
        <f ca="1">NOW() - TIME(5,30,0) + (VLOOKUP(MasterTable[[#This Row],[TimeZone]], $O$3:$P$8, 2, FALSE) / 24)</f>
        <v>45990.573544791667</v>
      </c>
      <c r="I2312" s="1" t="s">
        <v>1944</v>
      </c>
      <c r="J2312" s="1">
        <v>431.4</v>
      </c>
    </row>
    <row r="2313" spans="1:10" x14ac:dyDescent="0.25">
      <c r="A2313" s="1" t="s">
        <v>43</v>
      </c>
      <c r="B2313" s="1" t="s">
        <v>44</v>
      </c>
      <c r="C2313" s="1" t="s">
        <v>454</v>
      </c>
      <c r="D2313" s="1">
        <v>41.446199999999997</v>
      </c>
      <c r="E2313" s="1">
        <v>-76.512200000000007</v>
      </c>
      <c r="F2313" s="1" t="s">
        <v>1925</v>
      </c>
      <c r="G2313" s="22">
        <v>1991.9009690857542</v>
      </c>
      <c r="H2313" s="20">
        <f ca="1">NOW() - TIME(5,30,0) + (VLOOKUP(MasterTable[[#This Row],[TimeZone]], $O$3:$P$8, 2, FALSE) / 24)</f>
        <v>45990.573544791667</v>
      </c>
      <c r="I2313" s="1" t="s">
        <v>1944</v>
      </c>
      <c r="J2313" s="1">
        <v>454.04</v>
      </c>
    </row>
    <row r="2314" spans="1:10" x14ac:dyDescent="0.25">
      <c r="A2314" s="1" t="s">
        <v>43</v>
      </c>
      <c r="B2314" s="1" t="s">
        <v>44</v>
      </c>
      <c r="C2314" s="1" t="s">
        <v>230</v>
      </c>
      <c r="D2314" s="1">
        <v>41.436700000000002</v>
      </c>
      <c r="E2314" s="1">
        <v>-78.203999999999994</v>
      </c>
      <c r="F2314" s="1" t="s">
        <v>1925</v>
      </c>
      <c r="G2314" s="22">
        <v>1905.0606878962237</v>
      </c>
      <c r="H2314" s="20">
        <f ca="1">NOW() - TIME(5,30,0) + (VLOOKUP(MasterTable[[#This Row],[TimeZone]], $O$3:$P$8, 2, FALSE) / 24)</f>
        <v>45990.573544791667</v>
      </c>
      <c r="I2314" s="1" t="s">
        <v>1944</v>
      </c>
      <c r="J2314" s="1">
        <v>1931.6</v>
      </c>
    </row>
    <row r="2315" spans="1:10" x14ac:dyDescent="0.25">
      <c r="A2315" s="1" t="s">
        <v>155</v>
      </c>
      <c r="B2315" s="1" t="s">
        <v>156</v>
      </c>
      <c r="C2315" s="1" t="s">
        <v>154</v>
      </c>
      <c r="D2315" s="1">
        <v>41.872100000000003</v>
      </c>
      <c r="E2315" s="1">
        <v>-71.58</v>
      </c>
      <c r="F2315" s="1" t="s">
        <v>1925</v>
      </c>
      <c r="G2315" s="22">
        <v>2248.1549976981473</v>
      </c>
      <c r="H2315" s="20">
        <f ca="1">NOW() - TIME(5,30,0) + (VLOOKUP(MasterTable[[#This Row],[TimeZone]], $O$3:$P$8, 2, FALSE) / 24)</f>
        <v>45990.573544791667</v>
      </c>
      <c r="I2315" s="1" t="s">
        <v>1944</v>
      </c>
      <c r="J2315" s="1">
        <v>435.82</v>
      </c>
    </row>
    <row r="2316" spans="1:10" x14ac:dyDescent="0.25">
      <c r="A2316" s="1" t="s">
        <v>155</v>
      </c>
      <c r="B2316" s="1" t="s">
        <v>156</v>
      </c>
      <c r="C2316" s="1" t="s">
        <v>157</v>
      </c>
      <c r="D2316" s="1">
        <v>41.672199999999997</v>
      </c>
      <c r="E2316" s="1">
        <v>-71.593199999999996</v>
      </c>
      <c r="F2316" s="1" t="s">
        <v>1925</v>
      </c>
      <c r="G2316" s="22">
        <v>2246.4948604166484</v>
      </c>
      <c r="H2316" s="20">
        <f ca="1">NOW() - TIME(5,30,0) + (VLOOKUP(MasterTable[[#This Row],[TimeZone]], $O$3:$P$8, 2, FALSE) / 24)</f>
        <v>45990.573544791667</v>
      </c>
      <c r="I2316" s="1" t="s">
        <v>1944</v>
      </c>
      <c r="J2316" s="1">
        <v>800.12</v>
      </c>
    </row>
    <row r="2317" spans="1:10" x14ac:dyDescent="0.25">
      <c r="A2317" s="1" t="s">
        <v>155</v>
      </c>
      <c r="B2317" s="1" t="s">
        <v>156</v>
      </c>
      <c r="C2317" s="1" t="s">
        <v>28</v>
      </c>
      <c r="D2317" s="1">
        <v>41.469700000000003</v>
      </c>
      <c r="E2317" s="1">
        <v>-71.622600000000006</v>
      </c>
      <c r="F2317" s="1" t="s">
        <v>1925</v>
      </c>
      <c r="G2317" s="22">
        <v>2244.0568342980505</v>
      </c>
      <c r="H2317" s="20">
        <f ca="1">NOW() - TIME(5,30,0) + (VLOOKUP(MasterTable[[#This Row],[TimeZone]], $O$3:$P$8, 2, FALSE) / 24)</f>
        <v>45990.573544791667</v>
      </c>
      <c r="I2317" s="1" t="s">
        <v>1944</v>
      </c>
      <c r="J2317" s="1">
        <v>1088.54</v>
      </c>
    </row>
    <row r="2318" spans="1:10" x14ac:dyDescent="0.25">
      <c r="A2318" s="1" t="s">
        <v>155</v>
      </c>
      <c r="B2318" s="1" t="s">
        <v>156</v>
      </c>
      <c r="C2318" s="1" t="s">
        <v>645</v>
      </c>
      <c r="D2318" s="1">
        <v>41.556800000000003</v>
      </c>
      <c r="E2318" s="1">
        <v>-71.2363</v>
      </c>
      <c r="F2318" s="1" t="s">
        <v>1925</v>
      </c>
      <c r="G2318" s="22">
        <v>2264.3788205360343</v>
      </c>
      <c r="H2318" s="20">
        <f ca="1">NOW() - TIME(5,30,0) + (VLOOKUP(MasterTable[[#This Row],[TimeZone]], $O$3:$P$8, 2, FALSE) / 24)</f>
        <v>45990.573544791667</v>
      </c>
      <c r="I2318" s="1" t="s">
        <v>1944</v>
      </c>
      <c r="J2318" s="1">
        <v>313.64</v>
      </c>
    </row>
    <row r="2319" spans="1:10" x14ac:dyDescent="0.25">
      <c r="A2319" s="1" t="s">
        <v>155</v>
      </c>
      <c r="B2319" s="1" t="s">
        <v>156</v>
      </c>
      <c r="C2319" s="1" t="s">
        <v>173</v>
      </c>
      <c r="D2319" s="1">
        <v>41.717300000000002</v>
      </c>
      <c r="E2319" s="1">
        <v>-71.284000000000006</v>
      </c>
      <c r="F2319" s="1" t="s">
        <v>1925</v>
      </c>
      <c r="G2319" s="22">
        <v>2262.6210896031357</v>
      </c>
      <c r="H2319" s="20">
        <f ca="1">NOW() - TIME(5,30,0) + (VLOOKUP(MasterTable[[#This Row],[TimeZone]], $O$3:$P$8, 2, FALSE) / 24)</f>
        <v>45990.573544791667</v>
      </c>
      <c r="I2319" s="1" t="s">
        <v>1944</v>
      </c>
      <c r="J2319" s="1">
        <v>691.19</v>
      </c>
    </row>
    <row r="2320" spans="1:10" x14ac:dyDescent="0.25">
      <c r="A2320" s="1" t="s">
        <v>189</v>
      </c>
      <c r="B2320" s="1" t="s">
        <v>190</v>
      </c>
      <c r="C2320" s="1" t="s">
        <v>188</v>
      </c>
      <c r="D2320" s="1">
        <v>34.894100000000002</v>
      </c>
      <c r="E2320" s="1">
        <v>-82.370599999999996</v>
      </c>
      <c r="F2320" s="1" t="s">
        <v>1925</v>
      </c>
      <c r="G2320" s="22">
        <v>1649.0126741272677</v>
      </c>
      <c r="H2320" s="20">
        <f ca="1">NOW() - TIME(5,30,0) + (VLOOKUP(MasterTable[[#This Row],[TimeZone]], $O$3:$P$8, 2, FALSE) / 24)</f>
        <v>45990.573544791667</v>
      </c>
      <c r="I2320" s="1" t="s">
        <v>1944</v>
      </c>
      <c r="J2320" s="1">
        <v>794.96</v>
      </c>
    </row>
    <row r="2321" spans="1:10" x14ac:dyDescent="0.25">
      <c r="A2321" s="1" t="s">
        <v>189</v>
      </c>
      <c r="B2321" s="1" t="s">
        <v>190</v>
      </c>
      <c r="C2321" s="1" t="s">
        <v>232</v>
      </c>
      <c r="D2321" s="1">
        <v>34.021799999999999</v>
      </c>
      <c r="E2321" s="1">
        <v>-80.903099999999995</v>
      </c>
      <c r="F2321" s="1" t="s">
        <v>1925</v>
      </c>
      <c r="G2321" s="22">
        <v>1735.7080882558009</v>
      </c>
      <c r="H2321" s="20">
        <f ca="1">NOW() - TIME(5,30,0) + (VLOOKUP(MasterTable[[#This Row],[TimeZone]], $O$3:$P$8, 2, FALSE) / 24)</f>
        <v>45990.573544791667</v>
      </c>
      <c r="I2321" s="1" t="s">
        <v>1944</v>
      </c>
      <c r="J2321" s="1">
        <v>362.01</v>
      </c>
    </row>
    <row r="2322" spans="1:10" x14ac:dyDescent="0.25">
      <c r="A2322" s="1" t="s">
        <v>189</v>
      </c>
      <c r="B2322" s="1" t="s">
        <v>190</v>
      </c>
      <c r="C2322" s="1" t="s">
        <v>234</v>
      </c>
      <c r="D2322" s="1">
        <v>32.834800000000001</v>
      </c>
      <c r="E2322" s="1">
        <v>-79.953100000000006</v>
      </c>
      <c r="F2322" s="1" t="s">
        <v>1925</v>
      </c>
      <c r="G2322" s="22">
        <v>1798.4478835584807</v>
      </c>
      <c r="H2322" s="20">
        <f ca="1">NOW() - TIME(5,30,0) + (VLOOKUP(MasterTable[[#This Row],[TimeZone]], $O$3:$P$8, 2, FALSE) / 24)</f>
        <v>45990.573544791667</v>
      </c>
      <c r="I2322" s="1" t="s">
        <v>1944</v>
      </c>
      <c r="J2322" s="1">
        <v>1358.11</v>
      </c>
    </row>
    <row r="2323" spans="1:10" x14ac:dyDescent="0.25">
      <c r="A2323" s="1" t="s">
        <v>189</v>
      </c>
      <c r="B2323" s="1" t="s">
        <v>190</v>
      </c>
      <c r="C2323" s="1" t="s">
        <v>257</v>
      </c>
      <c r="D2323" s="1">
        <v>33.921599999999998</v>
      </c>
      <c r="E2323" s="1">
        <v>-78.996899999999997</v>
      </c>
      <c r="F2323" s="1" t="s">
        <v>1925</v>
      </c>
      <c r="G2323" s="22">
        <v>1845.1334397468349</v>
      </c>
      <c r="H2323" s="20">
        <f ca="1">NOW() - TIME(5,30,0) + (VLOOKUP(MasterTable[[#This Row],[TimeZone]], $O$3:$P$8, 2, FALSE) / 24)</f>
        <v>45990.573544791667</v>
      </c>
      <c r="I2323" s="1" t="s">
        <v>1944</v>
      </c>
      <c r="J2323" s="1">
        <v>1254.96</v>
      </c>
    </row>
    <row r="2324" spans="1:10" x14ac:dyDescent="0.25">
      <c r="A2324" s="1" t="s">
        <v>189</v>
      </c>
      <c r="B2324" s="1" t="s">
        <v>190</v>
      </c>
      <c r="C2324" s="1" t="s">
        <v>270</v>
      </c>
      <c r="D2324" s="1">
        <v>34.930900000000001</v>
      </c>
      <c r="E2324" s="1">
        <v>-81.990799999999993</v>
      </c>
      <c r="F2324" s="1" t="s">
        <v>1925</v>
      </c>
      <c r="G2324" s="22">
        <v>1670.4428580255769</v>
      </c>
      <c r="H2324" s="20">
        <f ca="1">NOW() - TIME(5,30,0) + (VLOOKUP(MasterTable[[#This Row],[TimeZone]], $O$3:$P$8, 2, FALSE) / 24)</f>
        <v>45990.573544791667</v>
      </c>
      <c r="I2324" s="1" t="s">
        <v>1944</v>
      </c>
      <c r="J2324" s="1">
        <v>819.14</v>
      </c>
    </row>
    <row r="2325" spans="1:10" x14ac:dyDescent="0.25">
      <c r="A2325" s="1" t="s">
        <v>189</v>
      </c>
      <c r="B2325" s="1" t="s">
        <v>190</v>
      </c>
      <c r="C2325" s="1" t="s">
        <v>290</v>
      </c>
      <c r="D2325" s="1">
        <v>33.902299999999997</v>
      </c>
      <c r="E2325" s="1">
        <v>-81.272000000000006</v>
      </c>
      <c r="F2325" s="1" t="s">
        <v>1925</v>
      </c>
      <c r="G2325" s="22">
        <v>1715.2598110017741</v>
      </c>
      <c r="H2325" s="20">
        <f ca="1">NOW() - TIME(5,30,0) + (VLOOKUP(MasterTable[[#This Row],[TimeZone]], $O$3:$P$8, 2, FALSE) / 24)</f>
        <v>45990.573544791667</v>
      </c>
      <c r="I2325" s="1" t="s">
        <v>1944</v>
      </c>
      <c r="J2325" s="1">
        <v>757.88</v>
      </c>
    </row>
    <row r="2326" spans="1:10" x14ac:dyDescent="0.25">
      <c r="A2326" s="1" t="s">
        <v>189</v>
      </c>
      <c r="B2326" s="1" t="s">
        <v>190</v>
      </c>
      <c r="C2326" s="1" t="s">
        <v>213</v>
      </c>
      <c r="D2326" s="1">
        <v>34.974899999999998</v>
      </c>
      <c r="E2326" s="1">
        <v>-81.184399999999997</v>
      </c>
      <c r="F2326" s="1" t="s">
        <v>1925</v>
      </c>
      <c r="G2326" s="22">
        <v>1715.9780877493108</v>
      </c>
      <c r="H2326" s="20">
        <f ca="1">NOW() - TIME(5,30,0) + (VLOOKUP(MasterTable[[#This Row],[TimeZone]], $O$3:$P$8, 2, FALSE) / 24)</f>
        <v>45990.573544791667</v>
      </c>
      <c r="I2326" s="1" t="s">
        <v>1944</v>
      </c>
      <c r="J2326" s="1">
        <v>1271.3399999999999</v>
      </c>
    </row>
    <row r="2327" spans="1:10" x14ac:dyDescent="0.25">
      <c r="A2327" s="1" t="s">
        <v>189</v>
      </c>
      <c r="B2327" s="1" t="s">
        <v>190</v>
      </c>
      <c r="C2327" s="1" t="s">
        <v>337</v>
      </c>
      <c r="D2327" s="1">
        <v>33.197099999999999</v>
      </c>
      <c r="E2327" s="1">
        <v>-79.952200000000005</v>
      </c>
      <c r="F2327" s="1" t="s">
        <v>1925</v>
      </c>
      <c r="G2327" s="22">
        <v>1795.5382469927374</v>
      </c>
      <c r="H2327" s="20">
        <f ca="1">NOW() - TIME(5,30,0) + (VLOOKUP(MasterTable[[#This Row],[TimeZone]], $O$3:$P$8, 2, FALSE) / 24)</f>
        <v>45990.573544791667</v>
      </c>
      <c r="I2327" s="1" t="s">
        <v>1944</v>
      </c>
      <c r="J2327" s="1">
        <v>1228.07</v>
      </c>
    </row>
    <row r="2328" spans="1:10" x14ac:dyDescent="0.25">
      <c r="A2328" s="1" t="s">
        <v>189</v>
      </c>
      <c r="B2328" s="1" t="s">
        <v>190</v>
      </c>
      <c r="C2328" s="1" t="s">
        <v>369</v>
      </c>
      <c r="D2328" s="1">
        <v>34.519300000000001</v>
      </c>
      <c r="E2328" s="1">
        <v>-82.637799999999999</v>
      </c>
      <c r="F2328" s="1" t="s">
        <v>1925</v>
      </c>
      <c r="G2328" s="22">
        <v>1634.7903108932769</v>
      </c>
      <c r="H2328" s="20">
        <f ca="1">NOW() - TIME(5,30,0) + (VLOOKUP(MasterTable[[#This Row],[TimeZone]], $O$3:$P$8, 2, FALSE) / 24)</f>
        <v>45990.573544791667</v>
      </c>
      <c r="I2328" s="1" t="s">
        <v>1944</v>
      </c>
      <c r="J2328" s="1">
        <v>584.29</v>
      </c>
    </row>
    <row r="2329" spans="1:10" x14ac:dyDescent="0.25">
      <c r="A2329" s="1" t="s">
        <v>189</v>
      </c>
      <c r="B2329" s="1" t="s">
        <v>190</v>
      </c>
      <c r="C2329" s="1" t="s">
        <v>389</v>
      </c>
      <c r="D2329" s="1">
        <v>32.3857</v>
      </c>
      <c r="E2329" s="1">
        <v>-80.730599999999995</v>
      </c>
      <c r="F2329" s="1" t="s">
        <v>1925</v>
      </c>
      <c r="G2329" s="22">
        <v>1757.6311173927756</v>
      </c>
      <c r="H2329" s="20">
        <f ca="1">NOW() - TIME(5,30,0) + (VLOOKUP(MasterTable[[#This Row],[TimeZone]], $O$3:$P$8, 2, FALSE) / 24)</f>
        <v>45990.573544791667</v>
      </c>
      <c r="I2329" s="1" t="s">
        <v>1944</v>
      </c>
      <c r="J2329" s="1">
        <v>958.69</v>
      </c>
    </row>
    <row r="2330" spans="1:10" x14ac:dyDescent="0.25">
      <c r="A2330" s="1" t="s">
        <v>189</v>
      </c>
      <c r="B2330" s="1" t="s">
        <v>190</v>
      </c>
      <c r="C2330" s="1" t="s">
        <v>424</v>
      </c>
      <c r="D2330" s="1">
        <v>33.544199999999996</v>
      </c>
      <c r="E2330" s="1">
        <v>-81.634699999999995</v>
      </c>
      <c r="F2330" s="1" t="s">
        <v>1925</v>
      </c>
      <c r="G2330" s="22">
        <v>1696.5358499237082</v>
      </c>
      <c r="H2330" s="20">
        <f ca="1">NOW() - TIME(5,30,0) + (VLOOKUP(MasterTable[[#This Row],[TimeZone]], $O$3:$P$8, 2, FALSE) / 24)</f>
        <v>45990.573544791667</v>
      </c>
      <c r="I2330" s="1" t="s">
        <v>1944</v>
      </c>
      <c r="J2330" s="1">
        <v>1080.46</v>
      </c>
    </row>
    <row r="2331" spans="1:10" x14ac:dyDescent="0.25">
      <c r="A2331" s="1" t="s">
        <v>189</v>
      </c>
      <c r="B2331" s="1" t="s">
        <v>190</v>
      </c>
      <c r="C2331" s="1" t="s">
        <v>441</v>
      </c>
      <c r="D2331" s="1">
        <v>33.0794</v>
      </c>
      <c r="E2331" s="1">
        <v>-80.406800000000004</v>
      </c>
      <c r="F2331" s="1" t="s">
        <v>1925</v>
      </c>
      <c r="G2331" s="22">
        <v>1770.318561285457</v>
      </c>
      <c r="H2331" s="20">
        <f ca="1">NOW() - TIME(5,30,0) + (VLOOKUP(MasterTable[[#This Row],[TimeZone]], $O$3:$P$8, 2, FALSE) / 24)</f>
        <v>45990.573544791667</v>
      </c>
      <c r="I2331" s="1" t="s">
        <v>1944</v>
      </c>
      <c r="J2331" s="1">
        <v>982.92</v>
      </c>
    </row>
    <row r="2332" spans="1:10" x14ac:dyDescent="0.25">
      <c r="A2332" s="1" t="s">
        <v>189</v>
      </c>
      <c r="B2332" s="1" t="s">
        <v>190</v>
      </c>
      <c r="C2332" s="1" t="s">
        <v>492</v>
      </c>
      <c r="D2332" s="1">
        <v>34.024500000000003</v>
      </c>
      <c r="E2332" s="1">
        <v>-79.703000000000003</v>
      </c>
      <c r="F2332" s="1" t="s">
        <v>1925</v>
      </c>
      <c r="G2332" s="22">
        <v>1804.2011521975621</v>
      </c>
      <c r="H2332" s="20">
        <f ca="1">NOW() - TIME(5,30,0) + (VLOOKUP(MasterTable[[#This Row],[TimeZone]], $O$3:$P$8, 2, FALSE) / 24)</f>
        <v>45990.573544791667</v>
      </c>
      <c r="I2332" s="1" t="s">
        <v>1944</v>
      </c>
      <c r="J2332" s="1">
        <v>803.74</v>
      </c>
    </row>
    <row r="2333" spans="1:10" x14ac:dyDescent="0.25">
      <c r="A2333" s="1" t="s">
        <v>189</v>
      </c>
      <c r="B2333" s="1" t="s">
        <v>190</v>
      </c>
      <c r="C2333" s="1" t="s">
        <v>499</v>
      </c>
      <c r="D2333" s="1">
        <v>34.887300000000003</v>
      </c>
      <c r="E2333" s="1">
        <v>-82.725300000000004</v>
      </c>
      <c r="F2333" s="1" t="s">
        <v>1925</v>
      </c>
      <c r="G2333" s="22">
        <v>1628.9312517463786</v>
      </c>
      <c r="H2333" s="20">
        <f ca="1">NOW() - TIME(5,30,0) + (VLOOKUP(MasterTable[[#This Row],[TimeZone]], $O$3:$P$8, 2, FALSE) / 24)</f>
        <v>45990.573544791667</v>
      </c>
      <c r="I2333" s="1" t="s">
        <v>1944</v>
      </c>
      <c r="J2333" s="1">
        <v>890.05</v>
      </c>
    </row>
    <row r="2334" spans="1:10" x14ac:dyDescent="0.25">
      <c r="A2334" s="1" t="s">
        <v>189</v>
      </c>
      <c r="B2334" s="1" t="s">
        <v>190</v>
      </c>
      <c r="C2334" s="1" t="s">
        <v>489</v>
      </c>
      <c r="D2334" s="1">
        <v>33.916200000000003</v>
      </c>
      <c r="E2334" s="1">
        <v>-80.382199999999997</v>
      </c>
      <c r="F2334" s="1" t="s">
        <v>1925</v>
      </c>
      <c r="G2334" s="22">
        <v>1766.043832415316</v>
      </c>
      <c r="H2334" s="20">
        <f ca="1">NOW() - TIME(5,30,0) + (VLOOKUP(MasterTable[[#This Row],[TimeZone]], $O$3:$P$8, 2, FALSE) / 24)</f>
        <v>45990.573544791667</v>
      </c>
      <c r="I2334" s="1" t="s">
        <v>1944</v>
      </c>
      <c r="J2334" s="1">
        <v>913.3</v>
      </c>
    </row>
    <row r="2335" spans="1:10" x14ac:dyDescent="0.25">
      <c r="A2335" s="1" t="s">
        <v>189</v>
      </c>
      <c r="B2335" s="1" t="s">
        <v>190</v>
      </c>
      <c r="C2335" s="1" t="s">
        <v>181</v>
      </c>
      <c r="D2335" s="1">
        <v>34.686700000000002</v>
      </c>
      <c r="E2335" s="1">
        <v>-80.705500000000001</v>
      </c>
      <c r="F2335" s="1" t="s">
        <v>1925</v>
      </c>
      <c r="G2335" s="22">
        <v>1744.0124921886231</v>
      </c>
      <c r="H2335" s="20">
        <f ca="1">NOW() - TIME(5,30,0) + (VLOOKUP(MasterTable[[#This Row],[TimeZone]], $O$3:$P$8, 2, FALSE) / 24)</f>
        <v>45990.573544791667</v>
      </c>
      <c r="I2335" s="1" t="s">
        <v>1944</v>
      </c>
      <c r="J2335" s="1">
        <v>846.71</v>
      </c>
    </row>
    <row r="2336" spans="1:10" x14ac:dyDescent="0.25">
      <c r="A2336" s="1" t="s">
        <v>189</v>
      </c>
      <c r="B2336" s="1" t="s">
        <v>190</v>
      </c>
      <c r="C2336" s="1" t="s">
        <v>653</v>
      </c>
      <c r="D2336" s="1">
        <v>33.439</v>
      </c>
      <c r="E2336" s="1">
        <v>-80.800299999999993</v>
      </c>
      <c r="F2336" s="1" t="s">
        <v>1925</v>
      </c>
      <c r="G2336" s="22">
        <v>1745.0858860587243</v>
      </c>
      <c r="H2336" s="20">
        <f ca="1">NOW() - TIME(5,30,0) + (VLOOKUP(MasterTable[[#This Row],[TimeZone]], $O$3:$P$8, 2, FALSE) / 24)</f>
        <v>45990.573544791667</v>
      </c>
      <c r="I2336" s="1" t="s">
        <v>1944</v>
      </c>
      <c r="J2336" s="1">
        <v>1128.0899999999999</v>
      </c>
    </row>
    <row r="2337" spans="1:10" x14ac:dyDescent="0.25">
      <c r="A2337" s="1" t="s">
        <v>189</v>
      </c>
      <c r="B2337" s="1" t="s">
        <v>190</v>
      </c>
      <c r="C2337" s="1" t="s">
        <v>673</v>
      </c>
      <c r="D2337" s="1">
        <v>34.753500000000003</v>
      </c>
      <c r="E2337" s="1">
        <v>-83.065899999999999</v>
      </c>
      <c r="F2337" s="1" t="s">
        <v>1925</v>
      </c>
      <c r="G2337" s="22">
        <v>1609.8817500215639</v>
      </c>
      <c r="H2337" s="20">
        <f ca="1">NOW() - TIME(5,30,0) + (VLOOKUP(MasterTable[[#This Row],[TimeZone]], $O$3:$P$8, 2, FALSE) / 24)</f>
        <v>45990.573544791667</v>
      </c>
      <c r="I2337" s="1" t="s">
        <v>1944</v>
      </c>
      <c r="J2337" s="1">
        <v>186.14</v>
      </c>
    </row>
    <row r="2338" spans="1:10" x14ac:dyDescent="0.25">
      <c r="A2338" s="1" t="s">
        <v>189</v>
      </c>
      <c r="B2338" s="1" t="s">
        <v>190</v>
      </c>
      <c r="C2338" s="1" t="s">
        <v>713</v>
      </c>
      <c r="D2338" s="1">
        <v>34.153700000000001</v>
      </c>
      <c r="E2338" s="1">
        <v>-82.125900000000001</v>
      </c>
      <c r="F2338" s="1" t="s">
        <v>1925</v>
      </c>
      <c r="G2338" s="22">
        <v>1665.2736198855989</v>
      </c>
      <c r="H2338" s="20">
        <f ca="1">NOW() - TIME(5,30,0) + (VLOOKUP(MasterTable[[#This Row],[TimeZone]], $O$3:$P$8, 2, FALSE) / 24)</f>
        <v>45990.573544791667</v>
      </c>
      <c r="I2338" s="1" t="s">
        <v>1944</v>
      </c>
      <c r="J2338" s="1">
        <v>1152.5899999999999</v>
      </c>
    </row>
    <row r="2339" spans="1:10" x14ac:dyDescent="0.25">
      <c r="A2339" s="1" t="s">
        <v>189</v>
      </c>
      <c r="B2339" s="1" t="s">
        <v>190</v>
      </c>
      <c r="C2339" s="1" t="s">
        <v>722</v>
      </c>
      <c r="D2339" s="1">
        <v>34.483400000000003</v>
      </c>
      <c r="E2339" s="1">
        <v>-82.005700000000004</v>
      </c>
      <c r="F2339" s="1" t="s">
        <v>1925</v>
      </c>
      <c r="G2339" s="22">
        <v>1670.860797785464</v>
      </c>
      <c r="H2339" s="20">
        <f ca="1">NOW() - TIME(5,30,0) + (VLOOKUP(MasterTable[[#This Row],[TimeZone]], $O$3:$P$8, 2, FALSE) / 24)</f>
        <v>45990.573544791667</v>
      </c>
      <c r="I2339" s="1" t="s">
        <v>1944</v>
      </c>
      <c r="J2339" s="1">
        <v>818.51</v>
      </c>
    </row>
    <row r="2340" spans="1:10" x14ac:dyDescent="0.25">
      <c r="A2340" s="1" t="s">
        <v>189</v>
      </c>
      <c r="B2340" s="1" t="s">
        <v>190</v>
      </c>
      <c r="C2340" s="1" t="s">
        <v>731</v>
      </c>
      <c r="D2340" s="1">
        <v>34.338799999999999</v>
      </c>
      <c r="E2340" s="1">
        <v>-80.590199999999996</v>
      </c>
      <c r="F2340" s="1" t="s">
        <v>1925</v>
      </c>
      <c r="G2340" s="22">
        <v>1751.9950732466684</v>
      </c>
      <c r="H2340" s="20">
        <f ca="1">NOW() - TIME(5,30,0) + (VLOOKUP(MasterTable[[#This Row],[TimeZone]], $O$3:$P$8, 2, FALSE) / 24)</f>
        <v>45990.573544791667</v>
      </c>
      <c r="I2340" s="1" t="s">
        <v>1944</v>
      </c>
      <c r="J2340" s="1">
        <v>740.25</v>
      </c>
    </row>
    <row r="2341" spans="1:10" x14ac:dyDescent="0.25">
      <c r="A2341" s="1" t="s">
        <v>189</v>
      </c>
      <c r="B2341" s="1" t="s">
        <v>190</v>
      </c>
      <c r="C2341" s="1" t="s">
        <v>756</v>
      </c>
      <c r="D2341" s="1">
        <v>33.4343</v>
      </c>
      <c r="E2341" s="1">
        <v>-79.332700000000003</v>
      </c>
      <c r="F2341" s="1" t="s">
        <v>1925</v>
      </c>
      <c r="G2341" s="22">
        <v>1829.2959035285439</v>
      </c>
      <c r="H2341" s="20">
        <f ca="1">NOW() - TIME(5,30,0) + (VLOOKUP(MasterTable[[#This Row],[TimeZone]], $O$3:$P$8, 2, FALSE) / 24)</f>
        <v>45990.573544791667</v>
      </c>
      <c r="I2341" s="1" t="s">
        <v>1944</v>
      </c>
      <c r="J2341" s="1">
        <v>1035</v>
      </c>
    </row>
    <row r="2342" spans="1:10" x14ac:dyDescent="0.25">
      <c r="A2342" s="1" t="s">
        <v>189</v>
      </c>
      <c r="B2342" s="1" t="s">
        <v>190</v>
      </c>
      <c r="C2342" s="1" t="s">
        <v>762</v>
      </c>
      <c r="D2342" s="1">
        <v>34.332500000000003</v>
      </c>
      <c r="E2342" s="1">
        <v>-79.957700000000003</v>
      </c>
      <c r="F2342" s="1" t="s">
        <v>1925</v>
      </c>
      <c r="G2342" s="22">
        <v>1788.0279335640853</v>
      </c>
      <c r="H2342" s="20">
        <f ca="1">NOW() - TIME(5,30,0) + (VLOOKUP(MasterTable[[#This Row],[TimeZone]], $O$3:$P$8, 2, FALSE) / 24)</f>
        <v>45990.573544791667</v>
      </c>
      <c r="I2342" s="1" t="s">
        <v>1944</v>
      </c>
      <c r="J2342" s="1">
        <v>566.78</v>
      </c>
    </row>
    <row r="2343" spans="1:10" x14ac:dyDescent="0.25">
      <c r="A2343" s="1" t="s">
        <v>189</v>
      </c>
      <c r="B2343" s="1" t="s">
        <v>190</v>
      </c>
      <c r="C2343" s="1" t="s">
        <v>313</v>
      </c>
      <c r="D2343" s="1">
        <v>35.048099999999998</v>
      </c>
      <c r="E2343" s="1">
        <v>-81.620599999999996</v>
      </c>
      <c r="F2343" s="1" t="s">
        <v>1925</v>
      </c>
      <c r="G2343" s="22">
        <v>1691.1326521095664</v>
      </c>
      <c r="H2343" s="20">
        <f ca="1">NOW() - TIME(5,30,0) + (VLOOKUP(MasterTable[[#This Row],[TimeZone]], $O$3:$P$8, 2, FALSE) / 24)</f>
        <v>45990.573544791667</v>
      </c>
      <c r="I2343" s="1" t="s">
        <v>1944</v>
      </c>
      <c r="J2343" s="1">
        <v>599.95000000000005</v>
      </c>
    </row>
    <row r="2344" spans="1:10" x14ac:dyDescent="0.25">
      <c r="A2344" s="1" t="s">
        <v>189</v>
      </c>
      <c r="B2344" s="1" t="s">
        <v>190</v>
      </c>
      <c r="C2344" s="1" t="s">
        <v>256</v>
      </c>
      <c r="D2344" s="1">
        <v>34.639800000000001</v>
      </c>
      <c r="E2344" s="1">
        <v>-80.158699999999996</v>
      </c>
      <c r="F2344" s="1" t="s">
        <v>1925</v>
      </c>
      <c r="G2344" s="22">
        <v>1775.2212069258139</v>
      </c>
      <c r="H2344" s="20">
        <f ca="1">NOW() - TIME(5,30,0) + (VLOOKUP(MasterTable[[#This Row],[TimeZone]], $O$3:$P$8, 2, FALSE) / 24)</f>
        <v>45990.573544791667</v>
      </c>
      <c r="I2344" s="1" t="s">
        <v>1944</v>
      </c>
      <c r="J2344" s="1">
        <v>805.78</v>
      </c>
    </row>
    <row r="2345" spans="1:10" x14ac:dyDescent="0.25">
      <c r="A2345" s="1" t="s">
        <v>189</v>
      </c>
      <c r="B2345" s="1" t="s">
        <v>190</v>
      </c>
      <c r="C2345" s="1" t="s">
        <v>967</v>
      </c>
      <c r="D2345" s="1">
        <v>32.863799999999998</v>
      </c>
      <c r="E2345" s="1">
        <v>-80.667100000000005</v>
      </c>
      <c r="F2345" s="1" t="s">
        <v>1925</v>
      </c>
      <c r="G2345" s="22">
        <v>1757.0665557876077</v>
      </c>
      <c r="H2345" s="20">
        <f ca="1">NOW() - TIME(5,30,0) + (VLOOKUP(MasterTable[[#This Row],[TimeZone]], $O$3:$P$8, 2, FALSE) / 24)</f>
        <v>45990.573544791667</v>
      </c>
      <c r="I2345" s="1" t="s">
        <v>1944</v>
      </c>
      <c r="J2345" s="1">
        <v>1133.21</v>
      </c>
    </row>
    <row r="2346" spans="1:10" x14ac:dyDescent="0.25">
      <c r="A2346" s="1" t="s">
        <v>189</v>
      </c>
      <c r="B2346" s="1" t="s">
        <v>190</v>
      </c>
      <c r="C2346" s="1" t="s">
        <v>974</v>
      </c>
      <c r="D2346" s="1">
        <v>34.2898</v>
      </c>
      <c r="E2346" s="1">
        <v>-81.600099999999998</v>
      </c>
      <c r="F2346" s="1" t="s">
        <v>1925</v>
      </c>
      <c r="G2346" s="22">
        <v>1694.6881569377258</v>
      </c>
      <c r="H2346" s="20">
        <f ca="1">NOW() - TIME(5,30,0) + (VLOOKUP(MasterTable[[#This Row],[TimeZone]], $O$3:$P$8, 2, FALSE) / 24)</f>
        <v>45990.573544791667</v>
      </c>
      <c r="I2346" s="1" t="s">
        <v>1944</v>
      </c>
      <c r="J2346" s="1">
        <v>647.28</v>
      </c>
    </row>
    <row r="2347" spans="1:10" x14ac:dyDescent="0.25">
      <c r="A2347" s="1" t="s">
        <v>189</v>
      </c>
      <c r="B2347" s="1" t="s">
        <v>190</v>
      </c>
      <c r="C2347" s="1" t="s">
        <v>186</v>
      </c>
      <c r="D2347" s="1">
        <v>34.692100000000003</v>
      </c>
      <c r="E2347" s="1">
        <v>-81.159700000000001</v>
      </c>
      <c r="F2347" s="1" t="s">
        <v>1925</v>
      </c>
      <c r="G2347" s="22">
        <v>1718.2211025196937</v>
      </c>
      <c r="H2347" s="20">
        <f ca="1">NOW() - TIME(5,30,0) + (VLOOKUP(MasterTable[[#This Row],[TimeZone]], $O$3:$P$8, 2, FALSE) / 24)</f>
        <v>45990.573544791667</v>
      </c>
      <c r="I2347" s="1" t="s">
        <v>1944</v>
      </c>
      <c r="J2347" s="1">
        <v>759.81</v>
      </c>
    </row>
    <row r="2348" spans="1:10" x14ac:dyDescent="0.25">
      <c r="A2348" s="1" t="s">
        <v>189</v>
      </c>
      <c r="B2348" s="1" t="s">
        <v>190</v>
      </c>
      <c r="C2348" s="1" t="s">
        <v>1057</v>
      </c>
      <c r="D2348" s="1">
        <v>33.665799999999997</v>
      </c>
      <c r="E2348" s="1">
        <v>-80.216399999999993</v>
      </c>
      <c r="F2348" s="1" t="s">
        <v>1925</v>
      </c>
      <c r="G2348" s="22">
        <v>1777.0570149924861</v>
      </c>
      <c r="H2348" s="20">
        <f ca="1">NOW() - TIME(5,30,0) + (VLOOKUP(MasterTable[[#This Row],[TimeZone]], $O$3:$P$8, 2, FALSE) / 24)</f>
        <v>45990.573544791667</v>
      </c>
      <c r="I2348" s="1" t="s">
        <v>1944</v>
      </c>
      <c r="J2348" s="1">
        <v>695.66</v>
      </c>
    </row>
    <row r="2349" spans="1:10" x14ac:dyDescent="0.25">
      <c r="A2349" s="1" t="s">
        <v>189</v>
      </c>
      <c r="B2349" s="1" t="s">
        <v>190</v>
      </c>
      <c r="C2349" s="1" t="s">
        <v>522</v>
      </c>
      <c r="D2349" s="1">
        <v>32.4375</v>
      </c>
      <c r="E2349" s="1">
        <v>-81.031700000000001</v>
      </c>
      <c r="F2349" s="1" t="s">
        <v>1925</v>
      </c>
      <c r="G2349" s="22">
        <v>1739.7447555070401</v>
      </c>
      <c r="H2349" s="20">
        <f ca="1">NOW() - TIME(5,30,0) + (VLOOKUP(MasterTable[[#This Row],[TimeZone]], $O$3:$P$8, 2, FALSE) / 24)</f>
        <v>45990.573544791667</v>
      </c>
      <c r="I2349" s="1" t="s">
        <v>1944</v>
      </c>
      <c r="J2349" s="1">
        <v>373.58</v>
      </c>
    </row>
    <row r="2350" spans="1:10" x14ac:dyDescent="0.25">
      <c r="A2350" s="1" t="s">
        <v>189</v>
      </c>
      <c r="B2350" s="1" t="s">
        <v>190</v>
      </c>
      <c r="C2350" s="1" t="s">
        <v>1070</v>
      </c>
      <c r="D2350" s="1">
        <v>33.619900000000001</v>
      </c>
      <c r="E2350" s="1">
        <v>-79.727699999999999</v>
      </c>
      <c r="F2350" s="1" t="s">
        <v>1925</v>
      </c>
      <c r="G2350" s="22">
        <v>1805.3436902747737</v>
      </c>
      <c r="H2350" s="20">
        <f ca="1">NOW() - TIME(5,30,0) + (VLOOKUP(MasterTable[[#This Row],[TimeZone]], $O$3:$P$8, 2, FALSE) / 24)</f>
        <v>45990.573544791667</v>
      </c>
      <c r="I2350" s="1" t="s">
        <v>1944</v>
      </c>
      <c r="J2350" s="1">
        <v>936.92</v>
      </c>
    </row>
    <row r="2351" spans="1:10" x14ac:dyDescent="0.25">
      <c r="A2351" s="1" t="s">
        <v>189</v>
      </c>
      <c r="B2351" s="1" t="s">
        <v>190</v>
      </c>
      <c r="C2351" s="1" t="s">
        <v>88</v>
      </c>
      <c r="D2351" s="1">
        <v>34.080100000000002</v>
      </c>
      <c r="E2351" s="1">
        <v>-79.362499999999997</v>
      </c>
      <c r="F2351" s="1" t="s">
        <v>1925</v>
      </c>
      <c r="G2351" s="22">
        <v>1823.2997577225694</v>
      </c>
      <c r="H2351" s="20">
        <f ca="1">NOW() - TIME(5,30,0) + (VLOOKUP(MasterTable[[#This Row],[TimeZone]], $O$3:$P$8, 2, FALSE) / 24)</f>
        <v>45990.573544791667</v>
      </c>
      <c r="I2351" s="1" t="s">
        <v>1944</v>
      </c>
      <c r="J2351" s="1">
        <v>743.57</v>
      </c>
    </row>
    <row r="2352" spans="1:10" x14ac:dyDescent="0.25">
      <c r="A2352" s="1" t="s">
        <v>189</v>
      </c>
      <c r="B2352" s="1" t="s">
        <v>190</v>
      </c>
      <c r="C2352" s="1" t="s">
        <v>1107</v>
      </c>
      <c r="D2352" s="1">
        <v>34.391500000000001</v>
      </c>
      <c r="E2352" s="1">
        <v>-79.378900000000002</v>
      </c>
      <c r="F2352" s="1" t="s">
        <v>1925</v>
      </c>
      <c r="G2352" s="22">
        <v>1820.6589331676064</v>
      </c>
      <c r="H2352" s="20">
        <f ca="1">NOW() - TIME(5,30,0) + (VLOOKUP(MasterTable[[#This Row],[TimeZone]], $O$3:$P$8, 2, FALSE) / 24)</f>
        <v>45990.573544791667</v>
      </c>
      <c r="I2352" s="1" t="s">
        <v>1944</v>
      </c>
      <c r="J2352" s="1">
        <v>406.54</v>
      </c>
    </row>
    <row r="2353" spans="1:12" x14ac:dyDescent="0.25">
      <c r="A2353" s="1" t="s">
        <v>189</v>
      </c>
      <c r="B2353" s="1" t="s">
        <v>190</v>
      </c>
      <c r="C2353" s="1" t="s">
        <v>177</v>
      </c>
      <c r="D2353" s="1">
        <v>34.689500000000002</v>
      </c>
      <c r="E2353" s="1">
        <v>-81.619200000000006</v>
      </c>
      <c r="F2353" s="1" t="s">
        <v>1925</v>
      </c>
      <c r="G2353" s="22">
        <v>1692.1517257606456</v>
      </c>
      <c r="H2353" s="20">
        <f ca="1">NOW() - TIME(5,30,0) + (VLOOKUP(MasterTable[[#This Row],[TimeZone]], $O$3:$P$8, 2, FALSE) / 24)</f>
        <v>45990.573544791667</v>
      </c>
      <c r="I2353" s="1" t="s">
        <v>1944</v>
      </c>
      <c r="J2353" s="1">
        <v>1055.27</v>
      </c>
    </row>
    <row r="2354" spans="1:12" x14ac:dyDescent="0.25">
      <c r="A2354" s="1" t="s">
        <v>189</v>
      </c>
      <c r="B2354" s="1" t="s">
        <v>190</v>
      </c>
      <c r="C2354" s="1" t="s">
        <v>1136</v>
      </c>
      <c r="D2354" s="1">
        <v>33.772199999999998</v>
      </c>
      <c r="E2354" s="1">
        <v>-81.966399999999993</v>
      </c>
      <c r="F2354" s="1" t="s">
        <v>1925</v>
      </c>
      <c r="G2354" s="22">
        <v>1676.2195207829996</v>
      </c>
      <c r="H2354" s="20">
        <f ca="1">NOW() - TIME(5,30,0) + (VLOOKUP(MasterTable[[#This Row],[TimeZone]], $O$3:$P$8, 2, FALSE) / 24)</f>
        <v>45990.573544791667</v>
      </c>
      <c r="I2354" s="1" t="s">
        <v>1944</v>
      </c>
      <c r="J2354" s="1">
        <v>506.54</v>
      </c>
    </row>
    <row r="2355" spans="1:12" x14ac:dyDescent="0.25">
      <c r="A2355" s="1" t="s">
        <v>189</v>
      </c>
      <c r="B2355" s="1" t="s">
        <v>190</v>
      </c>
      <c r="C2355" s="1" t="s">
        <v>1138</v>
      </c>
      <c r="D2355" s="1">
        <v>34.601999999999997</v>
      </c>
      <c r="E2355" s="1">
        <v>-79.678600000000003</v>
      </c>
      <c r="F2355" s="1" t="s">
        <v>1925</v>
      </c>
      <c r="G2355" s="22">
        <v>1802.6297110411981</v>
      </c>
      <c r="H2355" s="20">
        <f ca="1">NOW() - TIME(5,30,0) + (VLOOKUP(MasterTable[[#This Row],[TimeZone]], $O$3:$P$8, 2, FALSE) / 24)</f>
        <v>45990.573544791667</v>
      </c>
      <c r="I2355" s="1" t="s">
        <v>1944</v>
      </c>
      <c r="J2355" s="1">
        <v>485.28</v>
      </c>
    </row>
    <row r="2356" spans="1:12" x14ac:dyDescent="0.25">
      <c r="A2356" s="1" t="s">
        <v>189</v>
      </c>
      <c r="B2356" s="1" t="s">
        <v>190</v>
      </c>
      <c r="C2356" s="1" t="s">
        <v>1185</v>
      </c>
      <c r="D2356" s="1">
        <v>34.2226</v>
      </c>
      <c r="E2356" s="1">
        <v>-82.459299999999999</v>
      </c>
      <c r="F2356" s="1" t="s">
        <v>1925</v>
      </c>
      <c r="G2356" s="22">
        <v>1645.9709430140206</v>
      </c>
      <c r="H2356" s="20">
        <f ca="1">NOW() - TIME(5,30,0) + (VLOOKUP(MasterTable[[#This Row],[TimeZone]], $O$3:$P$8, 2, FALSE) / 24)</f>
        <v>45990.573544791667</v>
      </c>
      <c r="I2356" s="1" t="s">
        <v>1944</v>
      </c>
      <c r="J2356" s="1">
        <v>511.05</v>
      </c>
    </row>
    <row r="2357" spans="1:12" x14ac:dyDescent="0.25">
      <c r="A2357" s="1" t="s">
        <v>189</v>
      </c>
      <c r="B2357" s="1" t="s">
        <v>190</v>
      </c>
      <c r="C2357" s="1" t="s">
        <v>449</v>
      </c>
      <c r="D2357" s="1">
        <v>34.395099999999999</v>
      </c>
      <c r="E2357" s="1">
        <v>-81.121200000000002</v>
      </c>
      <c r="F2357" s="1" t="s">
        <v>1925</v>
      </c>
      <c r="G2357" s="22">
        <v>1721.5237876079507</v>
      </c>
      <c r="H2357" s="20">
        <f ca="1">NOW() - TIME(5,30,0) + (VLOOKUP(MasterTable[[#This Row],[TimeZone]], $O$3:$P$8, 2, FALSE) / 24)</f>
        <v>45990.573544791667</v>
      </c>
      <c r="I2357" s="1" t="s">
        <v>1944</v>
      </c>
      <c r="J2357" s="1">
        <v>836.96</v>
      </c>
    </row>
    <row r="2358" spans="1:12" x14ac:dyDescent="0.25">
      <c r="A2358" s="1" t="s">
        <v>189</v>
      </c>
      <c r="B2358" s="1" t="s">
        <v>190</v>
      </c>
      <c r="C2358" s="1" t="s">
        <v>1264</v>
      </c>
      <c r="D2358" s="1">
        <v>33.266100000000002</v>
      </c>
      <c r="E2358" s="1">
        <v>-81.434899999999999</v>
      </c>
      <c r="F2358" s="1" t="s">
        <v>1925</v>
      </c>
      <c r="G2358" s="22">
        <v>1709.8199851058507</v>
      </c>
      <c r="H2358" s="20">
        <f ca="1">NOW() - TIME(5,30,0) + (VLOOKUP(MasterTable[[#This Row],[TimeZone]], $O$3:$P$8, 2, FALSE) / 24)</f>
        <v>45990.573544791667</v>
      </c>
      <c r="I2358" s="1" t="s">
        <v>1944</v>
      </c>
      <c r="J2358" s="1">
        <v>557.25</v>
      </c>
    </row>
    <row r="2359" spans="1:12" x14ac:dyDescent="0.25">
      <c r="A2359" s="1" t="s">
        <v>189</v>
      </c>
      <c r="B2359" s="1" t="s">
        <v>190</v>
      </c>
      <c r="C2359" s="1" t="s">
        <v>1299</v>
      </c>
      <c r="D2359" s="1">
        <v>34.006</v>
      </c>
      <c r="E2359" s="1">
        <v>-81.726600000000005</v>
      </c>
      <c r="F2359" s="1" t="s">
        <v>1925</v>
      </c>
      <c r="G2359" s="22">
        <v>1688.7469292010608</v>
      </c>
      <c r="H2359" s="20">
        <f ca="1">NOW() - TIME(5,30,0) + (VLOOKUP(MasterTable[[#This Row],[TimeZone]], $O$3:$P$8, 2, FALSE) / 24)</f>
        <v>45990.573544791667</v>
      </c>
      <c r="I2359" s="1" t="s">
        <v>1944</v>
      </c>
      <c r="J2359" s="1">
        <v>461.78</v>
      </c>
    </row>
    <row r="2360" spans="1:12" x14ac:dyDescent="0.25">
      <c r="A2360" s="1" t="s">
        <v>189</v>
      </c>
      <c r="B2360" s="1" t="s">
        <v>190</v>
      </c>
      <c r="C2360" s="1" t="s">
        <v>490</v>
      </c>
      <c r="D2360" s="1">
        <v>32.776299999999999</v>
      </c>
      <c r="E2360" s="1">
        <v>-81.140699999999995</v>
      </c>
      <c r="F2360" s="1" t="s">
        <v>1925</v>
      </c>
      <c r="G2360" s="22">
        <v>1730.48799220005</v>
      </c>
      <c r="H2360" s="20">
        <f ca="1">NOW() - TIME(5,30,0) + (VLOOKUP(MasterTable[[#This Row],[TimeZone]], $O$3:$P$8, 2, FALSE) / 24)</f>
        <v>45990.573544791667</v>
      </c>
      <c r="I2360" s="1" t="s">
        <v>1944</v>
      </c>
      <c r="J2360" s="1">
        <v>562.63</v>
      </c>
    </row>
    <row r="2361" spans="1:12" x14ac:dyDescent="0.25">
      <c r="A2361" s="1" t="s">
        <v>189</v>
      </c>
      <c r="B2361" s="1" t="s">
        <v>190</v>
      </c>
      <c r="C2361" s="1" t="s">
        <v>127</v>
      </c>
      <c r="D2361" s="1">
        <v>34.1633</v>
      </c>
      <c r="E2361" s="1">
        <v>-80.254499999999993</v>
      </c>
      <c r="F2361" s="1" t="s">
        <v>1925</v>
      </c>
      <c r="G2361" s="22">
        <v>1771.9790042164379</v>
      </c>
      <c r="H2361" s="20">
        <f ca="1">NOW() - TIME(5,30,0) + (VLOOKUP(MasterTable[[#This Row],[TimeZone]], $O$3:$P$8, 2, FALSE) / 24)</f>
        <v>45990.573544791667</v>
      </c>
      <c r="I2361" s="1" t="s">
        <v>1944</v>
      </c>
      <c r="J2361" s="1">
        <v>615.54999999999995</v>
      </c>
    </row>
    <row r="2362" spans="1:12" x14ac:dyDescent="0.25">
      <c r="A2362" s="1" t="s">
        <v>189</v>
      </c>
      <c r="B2362" s="1" t="s">
        <v>190</v>
      </c>
      <c r="C2362" s="1" t="s">
        <v>498</v>
      </c>
      <c r="D2362" s="1">
        <v>33.674900000000001</v>
      </c>
      <c r="E2362" s="1">
        <v>-80.780299999999997</v>
      </c>
      <c r="F2362" s="1" t="s">
        <v>1925</v>
      </c>
      <c r="G2362" s="22">
        <v>1744.7077192643033</v>
      </c>
      <c r="H2362" s="20">
        <f ca="1">NOW() - TIME(5,30,0) + (VLOOKUP(MasterTable[[#This Row],[TimeZone]], $O$3:$P$8, 2, FALSE) / 24)</f>
        <v>45990.573544791667</v>
      </c>
      <c r="I2362" s="1" t="s">
        <v>1944</v>
      </c>
      <c r="J2362" s="1">
        <v>612.32000000000005</v>
      </c>
    </row>
    <row r="2363" spans="1:12" x14ac:dyDescent="0.25">
      <c r="A2363" s="1" t="s">
        <v>189</v>
      </c>
      <c r="B2363" s="1" t="s">
        <v>190</v>
      </c>
      <c r="C2363" s="1" t="s">
        <v>1462</v>
      </c>
      <c r="D2363" s="1">
        <v>33.214799999999997</v>
      </c>
      <c r="E2363" s="1">
        <v>-81.054199999999994</v>
      </c>
      <c r="F2363" s="1" t="s">
        <v>1925</v>
      </c>
      <c r="G2363" s="22">
        <v>1732.0684049306958</v>
      </c>
      <c r="H2363" s="20">
        <f ca="1">NOW() - TIME(5,30,0) + (VLOOKUP(MasterTable[[#This Row],[TimeZone]], $O$3:$P$8, 2, FALSE) / 24)</f>
        <v>45990.573544791667</v>
      </c>
      <c r="I2363" s="1" t="s">
        <v>1944</v>
      </c>
      <c r="J2363" s="1">
        <v>395.47</v>
      </c>
    </row>
    <row r="2364" spans="1:12" x14ac:dyDescent="0.25">
      <c r="A2364" s="1" t="s">
        <v>189</v>
      </c>
      <c r="B2364" s="1" t="s">
        <v>190</v>
      </c>
      <c r="C2364" s="1" t="s">
        <v>1563</v>
      </c>
      <c r="D2364" s="1">
        <v>33.899500000000003</v>
      </c>
      <c r="E2364" s="1">
        <v>-82.309899999999999</v>
      </c>
      <c r="F2364" s="1" t="s">
        <v>1925</v>
      </c>
      <c r="G2364" s="22">
        <v>1655.9107853618325</v>
      </c>
      <c r="H2364" s="20">
        <f ca="1">NOW() - TIME(5,30,0) + (VLOOKUP(MasterTable[[#This Row],[TimeZone]], $O$3:$P$8, 2, FALSE) / 24)</f>
        <v>45990.573544791667</v>
      </c>
      <c r="I2364" s="1" t="s">
        <v>1944</v>
      </c>
      <c r="J2364" s="1">
        <v>393.85</v>
      </c>
    </row>
    <row r="2365" spans="1:12" x14ac:dyDescent="0.25">
      <c r="A2365" s="1" t="s">
        <v>189</v>
      </c>
      <c r="B2365" s="1" t="s">
        <v>190</v>
      </c>
      <c r="C2365" s="1" t="s">
        <v>1636</v>
      </c>
      <c r="D2365" s="1">
        <v>32.988100000000003</v>
      </c>
      <c r="E2365" s="1">
        <v>-81.358199999999997</v>
      </c>
      <c r="F2365" s="1" t="s">
        <v>1925</v>
      </c>
      <c r="G2365" s="22">
        <v>1716.2608719205689</v>
      </c>
      <c r="H2365" s="20">
        <f ca="1">NOW() - TIME(5,30,0) + (VLOOKUP(MasterTable[[#This Row],[TimeZone]], $O$3:$P$8, 2, FALSE) / 24)</f>
        <v>45990.573544791667</v>
      </c>
      <c r="I2365" s="1" t="s">
        <v>1944</v>
      </c>
      <c r="J2365" s="1">
        <v>412.58</v>
      </c>
    </row>
    <row r="2366" spans="1:12" x14ac:dyDescent="0.25">
      <c r="A2366" s="1" t="s">
        <v>378</v>
      </c>
      <c r="B2366" s="1" t="s">
        <v>379</v>
      </c>
      <c r="C2366" s="1" t="s">
        <v>377</v>
      </c>
      <c r="D2366" s="1">
        <v>43.674199999999999</v>
      </c>
      <c r="E2366" s="1">
        <v>-96.791499999999999</v>
      </c>
      <c r="F2366" s="1" t="s">
        <v>1922</v>
      </c>
      <c r="G2366" s="22">
        <v>1101.2173859297172</v>
      </c>
      <c r="H2366" s="20">
        <f ca="1">NOW() - TIME(5,30,0) + (VLOOKUP(MasterTable[[#This Row],[TimeZone]], $O$3:$P$8, 2, FALSE) / 24)</f>
        <v>45990.531878125003</v>
      </c>
      <c r="I2366" s="1" t="s">
        <v>1944</v>
      </c>
      <c r="J2366" s="1">
        <v>813.69</v>
      </c>
      <c r="K2366" s="10"/>
      <c r="L2366" s="10"/>
    </row>
    <row r="2367" spans="1:12" x14ac:dyDescent="0.25">
      <c r="A2367" s="1" t="s">
        <v>378</v>
      </c>
      <c r="B2367" s="1" t="s">
        <v>379</v>
      </c>
      <c r="C2367" s="1" t="s">
        <v>548</v>
      </c>
      <c r="D2367" s="1">
        <v>44.003700000000002</v>
      </c>
      <c r="E2367" s="1">
        <v>-102.82380000000001</v>
      </c>
      <c r="F2367" s="1" t="s">
        <v>1923</v>
      </c>
      <c r="G2367" s="22">
        <v>924.52478048675812</v>
      </c>
      <c r="H2367" s="20">
        <f ca="1">NOW() - TIME(5,30,0) + (VLOOKUP(MasterTable[[#This Row],[TimeZone]], $O$3:$P$8, 2, FALSE) / 24)</f>
        <v>45990.490211458338</v>
      </c>
      <c r="I2367" s="1" t="s">
        <v>1944</v>
      </c>
      <c r="J2367" s="1">
        <v>618.34</v>
      </c>
      <c r="K2367" s="11"/>
      <c r="L2367" s="11"/>
    </row>
    <row r="2368" spans="1:12" x14ac:dyDescent="0.25">
      <c r="A2368" s="1" t="s">
        <v>378</v>
      </c>
      <c r="B2368" s="1" t="s">
        <v>379</v>
      </c>
      <c r="C2368" s="1" t="s">
        <v>632</v>
      </c>
      <c r="D2368" s="1">
        <v>43.2789</v>
      </c>
      <c r="E2368" s="1">
        <v>-96.721800000000002</v>
      </c>
      <c r="F2368" s="1" t="s">
        <v>1922</v>
      </c>
      <c r="G2368" s="22">
        <v>1086.0989377555061</v>
      </c>
      <c r="H2368" s="20">
        <f ca="1">NOW() - TIME(5,30,0) + (VLOOKUP(MasterTable[[#This Row],[TimeZone]], $O$3:$P$8, 2, FALSE) / 24)</f>
        <v>45990.531878125003</v>
      </c>
      <c r="I2368" s="1" t="s">
        <v>1944</v>
      </c>
      <c r="J2368" s="1">
        <v>572.16999999999996</v>
      </c>
      <c r="K2368" s="11"/>
      <c r="L2368" s="11"/>
    </row>
    <row r="2369" spans="1:12" x14ac:dyDescent="0.25">
      <c r="A2369" s="1" t="s">
        <v>378</v>
      </c>
      <c r="B2369" s="1" t="s">
        <v>379</v>
      </c>
      <c r="C2369" s="1" t="s">
        <v>316</v>
      </c>
      <c r="D2369" s="1">
        <v>45.589799999999997</v>
      </c>
      <c r="E2369" s="1">
        <v>-98.351600000000005</v>
      </c>
      <c r="F2369" s="1" t="s">
        <v>1922</v>
      </c>
      <c r="G2369" s="22">
        <v>1141.7279355713026</v>
      </c>
      <c r="H2369" s="20">
        <f ca="1">NOW() - TIME(5,30,0) + (VLOOKUP(MasterTable[[#This Row],[TimeZone]], $O$3:$P$8, 2, FALSE) / 24)</f>
        <v>45990.531878125003</v>
      </c>
      <c r="I2369" s="1" t="s">
        <v>1944</v>
      </c>
      <c r="J2369" s="1">
        <v>307.24</v>
      </c>
      <c r="K2369" s="11"/>
      <c r="L2369" s="11"/>
    </row>
    <row r="2370" spans="1:12" x14ac:dyDescent="0.25">
      <c r="A2370" s="1" t="s">
        <v>378</v>
      </c>
      <c r="B2370" s="1" t="s">
        <v>379</v>
      </c>
      <c r="C2370" s="1" t="s">
        <v>1017</v>
      </c>
      <c r="D2370" s="1">
        <v>44.369700000000002</v>
      </c>
      <c r="E2370" s="1">
        <v>-96.790400000000005</v>
      </c>
      <c r="F2370" s="1" t="s">
        <v>1922</v>
      </c>
      <c r="G2370" s="22">
        <v>1133.4744758170254</v>
      </c>
      <c r="H2370" s="20">
        <f ca="1">NOW() - TIME(5,30,0) + (VLOOKUP(MasterTable[[#This Row],[TimeZone]], $O$3:$P$8, 2, FALSE) / 24)</f>
        <v>45990.531878125003</v>
      </c>
      <c r="I2370" s="1" t="s">
        <v>1944</v>
      </c>
      <c r="J2370" s="1">
        <v>804.76</v>
      </c>
      <c r="K2370" s="11"/>
      <c r="L2370" s="11"/>
    </row>
    <row r="2371" spans="1:12" x14ac:dyDescent="0.25">
      <c r="A2371" s="1" t="s">
        <v>378</v>
      </c>
      <c r="B2371" s="1" t="s">
        <v>379</v>
      </c>
      <c r="C2371" s="1" t="s">
        <v>1074</v>
      </c>
      <c r="D2371" s="1">
        <v>44.566800000000001</v>
      </c>
      <c r="E2371" s="1">
        <v>-102.7169</v>
      </c>
      <c r="F2371" s="1" t="s">
        <v>1923</v>
      </c>
      <c r="G2371" s="22">
        <v>960.70845978208922</v>
      </c>
      <c r="H2371" s="20">
        <f ca="1">NOW() - TIME(5,30,0) + (VLOOKUP(MasterTable[[#This Row],[TimeZone]], $O$3:$P$8, 2, FALSE) / 24)</f>
        <v>45990.490211458338</v>
      </c>
      <c r="I2371" s="1" t="s">
        <v>1944</v>
      </c>
      <c r="J2371" s="1">
        <v>979.66</v>
      </c>
      <c r="K2371" s="11"/>
      <c r="L2371" s="11"/>
    </row>
    <row r="2372" spans="1:12" x14ac:dyDescent="0.25">
      <c r="A2372" s="1" t="s">
        <v>378</v>
      </c>
      <c r="B2372" s="1" t="s">
        <v>379</v>
      </c>
      <c r="C2372" s="1" t="s">
        <v>1097</v>
      </c>
      <c r="D2372" s="1">
        <v>44.977899999999998</v>
      </c>
      <c r="E2372" s="1">
        <v>-97.188599999999994</v>
      </c>
      <c r="F2372" s="1" t="s">
        <v>1922</v>
      </c>
      <c r="G2372" s="22">
        <v>1148.738097372275</v>
      </c>
      <c r="H2372" s="20">
        <f ca="1">NOW() - TIME(5,30,0) + (VLOOKUP(MasterTable[[#This Row],[TimeZone]], $O$3:$P$8, 2, FALSE) / 24)</f>
        <v>45990.531878125003</v>
      </c>
      <c r="I2372" s="1" t="s">
        <v>1944</v>
      </c>
      <c r="J2372" s="1">
        <v>717.08</v>
      </c>
      <c r="K2372" s="11"/>
      <c r="L2372" s="11"/>
    </row>
    <row r="2373" spans="1:12" x14ac:dyDescent="0.25">
      <c r="A2373" s="1" t="s">
        <v>378</v>
      </c>
      <c r="B2373" s="1" t="s">
        <v>379</v>
      </c>
      <c r="C2373" s="1" t="s">
        <v>644</v>
      </c>
      <c r="D2373" s="1">
        <v>44.358600000000003</v>
      </c>
      <c r="E2373" s="1">
        <v>-103.7923</v>
      </c>
      <c r="F2373" s="1" t="s">
        <v>1923</v>
      </c>
      <c r="G2373" s="22">
        <v>922.66857873951233</v>
      </c>
      <c r="H2373" s="20">
        <f ca="1">NOW() - TIME(5,30,0) + (VLOOKUP(MasterTable[[#This Row],[TimeZone]], $O$3:$P$8, 2, FALSE) / 24)</f>
        <v>45990.490211458338</v>
      </c>
      <c r="I2373" s="1" t="s">
        <v>1944</v>
      </c>
      <c r="J2373" s="1">
        <v>718.07</v>
      </c>
      <c r="K2373" s="11"/>
      <c r="L2373" s="11"/>
    </row>
    <row r="2374" spans="1:12" x14ac:dyDescent="0.25">
      <c r="A2374" s="1" t="s">
        <v>378</v>
      </c>
      <c r="B2374" s="1" t="s">
        <v>379</v>
      </c>
      <c r="C2374" s="1" t="s">
        <v>1200</v>
      </c>
      <c r="D2374" s="1">
        <v>43.009</v>
      </c>
      <c r="E2374" s="1">
        <v>-97.394800000000004</v>
      </c>
      <c r="F2374" s="1" t="s">
        <v>1922</v>
      </c>
      <c r="G2374" s="22">
        <v>1048.174405569999</v>
      </c>
      <c r="H2374" s="20">
        <f ca="1">NOW() - TIME(5,30,0) + (VLOOKUP(MasterTable[[#This Row],[TimeZone]], $O$3:$P$8, 2, FALSE) / 24)</f>
        <v>45990.531878125003</v>
      </c>
      <c r="I2374" s="1" t="s">
        <v>1944</v>
      </c>
      <c r="J2374" s="1">
        <v>532.62</v>
      </c>
      <c r="K2374" s="11"/>
      <c r="L2374" s="11"/>
    </row>
    <row r="2375" spans="1:12" x14ac:dyDescent="0.25">
      <c r="A2375" s="1" t="s">
        <v>378</v>
      </c>
      <c r="B2375" s="1" t="s">
        <v>379</v>
      </c>
      <c r="C2375" s="1" t="s">
        <v>1278</v>
      </c>
      <c r="D2375" s="1">
        <v>43.674700000000001</v>
      </c>
      <c r="E2375" s="1">
        <v>-98.146000000000001</v>
      </c>
      <c r="F2375" s="1" t="s">
        <v>1922</v>
      </c>
      <c r="G2375" s="22">
        <v>1051.6133041584449</v>
      </c>
      <c r="H2375" s="20">
        <f ca="1">NOW() - TIME(5,30,0) + (VLOOKUP(MasterTable[[#This Row],[TimeZone]], $O$3:$P$8, 2, FALSE) / 24)</f>
        <v>45990.531878125003</v>
      </c>
      <c r="I2375" s="1" t="s">
        <v>1944</v>
      </c>
      <c r="J2375" s="1">
        <v>436.78</v>
      </c>
      <c r="K2375" s="11"/>
      <c r="L2375" s="11"/>
    </row>
    <row r="2376" spans="1:12" x14ac:dyDescent="0.25">
      <c r="A2376" s="1" t="s">
        <v>378</v>
      </c>
      <c r="B2376" s="1" t="s">
        <v>379</v>
      </c>
      <c r="C2376" s="1" t="s">
        <v>1292</v>
      </c>
      <c r="D2376" s="1">
        <v>44.414499999999997</v>
      </c>
      <c r="E2376" s="1">
        <v>-98.278099999999995</v>
      </c>
      <c r="F2376" s="1" t="s">
        <v>1922</v>
      </c>
      <c r="G2376" s="22">
        <v>1083.5742861471658</v>
      </c>
      <c r="H2376" s="20">
        <f ca="1">NOW() - TIME(5,30,0) + (VLOOKUP(MasterTable[[#This Row],[TimeZone]], $O$3:$P$8, 2, FALSE) / 24)</f>
        <v>45990.531878125003</v>
      </c>
      <c r="I2376" s="1" t="s">
        <v>1944</v>
      </c>
      <c r="J2376" s="1">
        <v>1264.82</v>
      </c>
      <c r="K2376" s="11"/>
      <c r="L2376" s="11"/>
    </row>
    <row r="2377" spans="1:12" x14ac:dyDescent="0.25">
      <c r="A2377" s="1" t="s">
        <v>378</v>
      </c>
      <c r="B2377" s="1" t="s">
        <v>379</v>
      </c>
      <c r="C2377" s="1" t="s">
        <v>1331</v>
      </c>
      <c r="D2377" s="1">
        <v>44.389000000000003</v>
      </c>
      <c r="E2377" s="1">
        <v>-99.995999999999995</v>
      </c>
      <c r="F2377" s="1" t="s">
        <v>1922</v>
      </c>
      <c r="G2377" s="22">
        <v>1026.5868686787633</v>
      </c>
      <c r="H2377" s="20">
        <f ca="1">NOW() - TIME(5,30,0) + (VLOOKUP(MasterTable[[#This Row],[TimeZone]], $O$3:$P$8, 2, FALSE) / 24)</f>
        <v>45990.531878125003</v>
      </c>
      <c r="I2377" s="1" t="s">
        <v>1944</v>
      </c>
      <c r="J2377" s="1">
        <v>814.64</v>
      </c>
      <c r="K2377" s="11"/>
      <c r="L2377" s="11"/>
    </row>
    <row r="2378" spans="1:12" x14ac:dyDescent="0.25">
      <c r="A2378" s="1" t="s">
        <v>378</v>
      </c>
      <c r="B2378" s="1" t="s">
        <v>379</v>
      </c>
      <c r="C2378" s="1" t="s">
        <v>177</v>
      </c>
      <c r="D2378" s="1">
        <v>42.832500000000003</v>
      </c>
      <c r="E2378" s="1">
        <v>-96.656000000000006</v>
      </c>
      <c r="F2378" s="1" t="s">
        <v>1922</v>
      </c>
      <c r="G2378" s="22">
        <v>1069.140015560512</v>
      </c>
      <c r="H2378" s="20">
        <f ca="1">NOW() - TIME(5,30,0) + (VLOOKUP(MasterTable[[#This Row],[TimeZone]], $O$3:$P$8, 2, FALSE) / 24)</f>
        <v>45990.531878125003</v>
      </c>
      <c r="I2378" s="1" t="s">
        <v>1944</v>
      </c>
      <c r="J2378" s="1">
        <v>1055.27</v>
      </c>
      <c r="K2378" s="11"/>
      <c r="L2378" s="11"/>
    </row>
    <row r="2379" spans="1:12" x14ac:dyDescent="0.25">
      <c r="A2379" s="1" t="s">
        <v>378</v>
      </c>
      <c r="B2379" s="1" t="s">
        <v>379</v>
      </c>
      <c r="C2379" s="1" t="s">
        <v>327</v>
      </c>
      <c r="D2379" s="1">
        <v>42.9146</v>
      </c>
      <c r="E2379" s="1">
        <v>-96.9756</v>
      </c>
      <c r="F2379" s="1" t="s">
        <v>1922</v>
      </c>
      <c r="G2379" s="22">
        <v>1060.1523756420479</v>
      </c>
      <c r="H2379" s="20">
        <f ca="1">NOW() - TIME(5,30,0) + (VLOOKUP(MasterTable[[#This Row],[TimeZone]], $O$3:$P$8, 2, FALSE) / 24)</f>
        <v>45990.531878125003</v>
      </c>
      <c r="I2379" s="1" t="s">
        <v>1944</v>
      </c>
      <c r="J2379" s="1">
        <v>606</v>
      </c>
      <c r="K2379" s="11"/>
      <c r="L2379" s="11"/>
    </row>
    <row r="2380" spans="1:12" x14ac:dyDescent="0.25">
      <c r="A2380" s="1" t="s">
        <v>378</v>
      </c>
      <c r="B2380" s="1" t="s">
        <v>379</v>
      </c>
      <c r="C2380" s="1" t="s">
        <v>1452</v>
      </c>
      <c r="D2380" s="1">
        <v>43.335500000000003</v>
      </c>
      <c r="E2380" s="1">
        <v>-102.55159999999999</v>
      </c>
      <c r="F2380" s="1" t="s">
        <v>1923</v>
      </c>
      <c r="G2380" s="22">
        <v>892.71731118681043</v>
      </c>
      <c r="H2380" s="20">
        <f ca="1">NOW() - TIME(5,30,0) + (VLOOKUP(MasterTable[[#This Row],[TimeZone]], $O$3:$P$8, 2, FALSE) / 24)</f>
        <v>45990.490211458338</v>
      </c>
      <c r="I2380" s="1" t="s">
        <v>1944</v>
      </c>
      <c r="J2380" s="1" t="s">
        <v>1946</v>
      </c>
      <c r="K2380" s="11"/>
      <c r="L2380" s="11"/>
    </row>
    <row r="2381" spans="1:12" x14ac:dyDescent="0.25">
      <c r="A2381" s="1" t="s">
        <v>378</v>
      </c>
      <c r="B2381" s="1" t="s">
        <v>379</v>
      </c>
      <c r="C2381" s="1" t="s">
        <v>142</v>
      </c>
      <c r="D2381" s="1">
        <v>44.022100000000002</v>
      </c>
      <c r="E2381" s="1">
        <v>-97.129400000000004</v>
      </c>
      <c r="F2381" s="1" t="s">
        <v>1922</v>
      </c>
      <c r="G2381" s="22">
        <v>1104.8175520176121</v>
      </c>
      <c r="H2381" s="20">
        <f ca="1">NOW() - TIME(5,30,0) + (VLOOKUP(MasterTable[[#This Row],[TimeZone]], $O$3:$P$8, 2, FALSE) / 24)</f>
        <v>45990.531878125003</v>
      </c>
      <c r="I2381" s="1" t="s">
        <v>1944</v>
      </c>
      <c r="J2381" s="1">
        <v>1329.48</v>
      </c>
      <c r="K2381" s="11"/>
      <c r="L2381" s="11"/>
    </row>
    <row r="2382" spans="1:12" x14ac:dyDescent="0.25">
      <c r="A2382" s="1" t="s">
        <v>378</v>
      </c>
      <c r="B2382" s="1" t="s">
        <v>379</v>
      </c>
      <c r="C2382" s="1" t="s">
        <v>363</v>
      </c>
      <c r="D2382" s="1">
        <v>44.905799999999999</v>
      </c>
      <c r="E2382" s="1">
        <v>-103.50790000000001</v>
      </c>
      <c r="F2382" s="1" t="s">
        <v>1923</v>
      </c>
      <c r="G2382" s="22">
        <v>962.7049974980722</v>
      </c>
      <c r="H2382" s="20">
        <f ca="1">NOW() - TIME(5,30,0) + (VLOOKUP(MasterTable[[#This Row],[TimeZone]], $O$3:$P$8, 2, FALSE) / 24)</f>
        <v>45990.490211458338</v>
      </c>
      <c r="I2382" s="1" t="s">
        <v>1944</v>
      </c>
      <c r="J2382" s="1">
        <v>1677.11</v>
      </c>
      <c r="K2382" s="11"/>
      <c r="L2382" s="11"/>
    </row>
    <row r="2383" spans="1:12" x14ac:dyDescent="0.25">
      <c r="A2383" s="1" t="s">
        <v>378</v>
      </c>
      <c r="B2383" s="1" t="s">
        <v>379</v>
      </c>
      <c r="C2383" s="1" t="s">
        <v>1545</v>
      </c>
      <c r="D2383" s="1">
        <v>45.629600000000003</v>
      </c>
      <c r="E2383" s="1">
        <v>-96.946100000000001</v>
      </c>
      <c r="F2383" s="1" t="s">
        <v>1922</v>
      </c>
      <c r="G2383" s="22">
        <v>1189.261060538149</v>
      </c>
      <c r="H2383" s="20">
        <f ca="1">NOW() - TIME(5,30,0) + (VLOOKUP(MasterTable[[#This Row],[TimeZone]], $O$3:$P$8, 2, FALSE) / 24)</f>
        <v>45990.531878125003</v>
      </c>
      <c r="I2383" s="1" t="s">
        <v>1944</v>
      </c>
      <c r="J2383" s="1">
        <v>1135.3499999999999</v>
      </c>
      <c r="K2383" s="11"/>
      <c r="L2383" s="11"/>
    </row>
    <row r="2384" spans="1:12" x14ac:dyDescent="0.25">
      <c r="A2384" s="1" t="s">
        <v>378</v>
      </c>
      <c r="B2384" s="1" t="s">
        <v>379</v>
      </c>
      <c r="C2384" s="1" t="s">
        <v>1158</v>
      </c>
      <c r="D2384" s="1">
        <v>43.193399999999997</v>
      </c>
      <c r="E2384" s="1">
        <v>-100.7184</v>
      </c>
      <c r="F2384" s="1" t="s">
        <v>1922</v>
      </c>
      <c r="G2384" s="22">
        <v>939.77392711632035</v>
      </c>
      <c r="H2384" s="20">
        <f ca="1">NOW() - TIME(5,30,0) + (VLOOKUP(MasterTable[[#This Row],[TimeZone]], $O$3:$P$8, 2, FALSE) / 24)</f>
        <v>45990.531878125003</v>
      </c>
      <c r="I2384" s="1" t="s">
        <v>1944</v>
      </c>
      <c r="J2384" s="1">
        <v>376.97</v>
      </c>
      <c r="K2384" s="11"/>
      <c r="L2384" s="11"/>
    </row>
    <row r="2385" spans="1:12" x14ac:dyDescent="0.25">
      <c r="A2385" s="1" t="s">
        <v>378</v>
      </c>
      <c r="B2385" s="1" t="s">
        <v>379</v>
      </c>
      <c r="C2385" s="1" t="s">
        <v>1581</v>
      </c>
      <c r="D2385" s="1">
        <v>43.207900000000002</v>
      </c>
      <c r="E2385" s="1">
        <v>-98.587900000000005</v>
      </c>
      <c r="F2385" s="1" t="s">
        <v>1922</v>
      </c>
      <c r="G2385" s="22">
        <v>1013.1955316504665</v>
      </c>
      <c r="H2385" s="20">
        <f ca="1">NOW() - TIME(5,30,0) + (VLOOKUP(MasterTable[[#This Row],[TimeZone]], $O$3:$P$8, 2, FALSE) / 24)</f>
        <v>45990.531878125003</v>
      </c>
      <c r="I2385" s="1" t="s">
        <v>1944</v>
      </c>
      <c r="J2385" s="1">
        <v>1150.19</v>
      </c>
      <c r="K2385" s="11"/>
      <c r="L2385" s="11"/>
    </row>
    <row r="2386" spans="1:12" x14ac:dyDescent="0.25">
      <c r="A2386" s="1" t="s">
        <v>378</v>
      </c>
      <c r="B2386" s="1" t="s">
        <v>379</v>
      </c>
      <c r="C2386" s="1" t="s">
        <v>1590</v>
      </c>
      <c r="D2386" s="1">
        <v>43.310899999999997</v>
      </c>
      <c r="E2386" s="1">
        <v>-97.148700000000005</v>
      </c>
      <c r="F2386" s="1" t="s">
        <v>1922</v>
      </c>
      <c r="G2386" s="22">
        <v>1071.2169919660416</v>
      </c>
      <c r="H2386" s="20">
        <f ca="1">NOW() - TIME(5,30,0) + (VLOOKUP(MasterTable[[#This Row],[TimeZone]], $O$3:$P$8, 2, FALSE) / 24)</f>
        <v>45990.531878125003</v>
      </c>
      <c r="I2386" s="1" t="s">
        <v>1944</v>
      </c>
      <c r="J2386" s="1">
        <v>289.85000000000002</v>
      </c>
      <c r="K2386" s="11"/>
      <c r="L2386" s="11"/>
    </row>
    <row r="2387" spans="1:12" x14ac:dyDescent="0.25">
      <c r="A2387" s="1" t="s">
        <v>378</v>
      </c>
      <c r="B2387" s="1" t="s">
        <v>379</v>
      </c>
      <c r="C2387" s="1" t="s">
        <v>1100</v>
      </c>
      <c r="D2387" s="1">
        <v>43.677599999999998</v>
      </c>
      <c r="E2387" s="1">
        <v>-103.4515</v>
      </c>
      <c r="F2387" s="1" t="s">
        <v>1923</v>
      </c>
      <c r="G2387" s="22">
        <v>889.28202754962751</v>
      </c>
      <c r="H2387" s="20">
        <f ca="1">NOW() - TIME(5,30,0) + (VLOOKUP(MasterTable[[#This Row],[TimeZone]], $O$3:$P$8, 2, FALSE) / 24)</f>
        <v>45990.490211458338</v>
      </c>
      <c r="I2387" s="1" t="s">
        <v>1944</v>
      </c>
      <c r="J2387" s="1">
        <v>739.9</v>
      </c>
      <c r="K2387" s="11"/>
      <c r="L2387" s="11"/>
    </row>
    <row r="2388" spans="1:12" x14ac:dyDescent="0.25">
      <c r="A2388" s="1" t="s">
        <v>378</v>
      </c>
      <c r="B2388" s="1" t="s">
        <v>379</v>
      </c>
      <c r="C2388" s="1" t="s">
        <v>590</v>
      </c>
      <c r="D2388" s="1">
        <v>45.171900000000001</v>
      </c>
      <c r="E2388" s="1">
        <v>-96.767700000000005</v>
      </c>
      <c r="F2388" s="1" t="s">
        <v>1922</v>
      </c>
      <c r="G2388" s="22">
        <v>1172.7284138773132</v>
      </c>
      <c r="H2388" s="20">
        <f ca="1">NOW() - TIME(5,30,0) + (VLOOKUP(MasterTable[[#This Row],[TimeZone]], $O$3:$P$8, 2, FALSE) / 24)</f>
        <v>45990.531878125003</v>
      </c>
      <c r="I2388" s="1" t="s">
        <v>1944</v>
      </c>
      <c r="J2388" s="1">
        <v>633.01</v>
      </c>
      <c r="K2388" s="11"/>
      <c r="L2388" s="11"/>
    </row>
    <row r="2389" spans="1:12" x14ac:dyDescent="0.25">
      <c r="A2389" s="1" t="s">
        <v>378</v>
      </c>
      <c r="B2389" s="1" t="s">
        <v>379</v>
      </c>
      <c r="C2389" s="1" t="s">
        <v>1268</v>
      </c>
      <c r="D2389" s="1">
        <v>43.334899999999998</v>
      </c>
      <c r="E2389" s="1">
        <v>-97.754400000000004</v>
      </c>
      <c r="F2389" s="1" t="s">
        <v>1922</v>
      </c>
      <c r="G2389" s="22">
        <v>1049.6445121246138</v>
      </c>
      <c r="H2389" s="20">
        <f ca="1">NOW() - TIME(5,30,0) + (VLOOKUP(MasterTable[[#This Row],[TimeZone]], $O$3:$P$8, 2, FALSE) / 24)</f>
        <v>45990.531878125003</v>
      </c>
      <c r="I2389" s="1" t="s">
        <v>1944</v>
      </c>
      <c r="J2389" s="1">
        <v>814.37</v>
      </c>
      <c r="K2389" s="11"/>
      <c r="L2389" s="11"/>
    </row>
    <row r="2390" spans="1:12" x14ac:dyDescent="0.25">
      <c r="A2390" s="1" t="s">
        <v>378</v>
      </c>
      <c r="B2390" s="1" t="s">
        <v>379</v>
      </c>
      <c r="C2390" s="1" t="s">
        <v>1662</v>
      </c>
      <c r="D2390" s="1">
        <v>43.239400000000003</v>
      </c>
      <c r="E2390" s="1">
        <v>-103.5275</v>
      </c>
      <c r="F2390" s="1" t="s">
        <v>1923</v>
      </c>
      <c r="G2390" s="22">
        <v>861.14637825172201</v>
      </c>
      <c r="H2390" s="20">
        <f ca="1">NOW() - TIME(5,30,0) + (VLOOKUP(MasterTable[[#This Row],[TimeZone]], $O$3:$P$8, 2, FALSE) / 24)</f>
        <v>45990.490211458338</v>
      </c>
      <c r="I2390" s="1" t="s">
        <v>1944</v>
      </c>
      <c r="J2390" s="1">
        <v>1749.14</v>
      </c>
      <c r="K2390" s="11"/>
      <c r="L2390" s="11"/>
    </row>
    <row r="2391" spans="1:12" x14ac:dyDescent="0.25">
      <c r="A2391" s="1" t="s">
        <v>378</v>
      </c>
      <c r="B2391" s="1" t="s">
        <v>379</v>
      </c>
      <c r="C2391" s="1" t="s">
        <v>1667</v>
      </c>
      <c r="D2391" s="1">
        <v>42.988500000000002</v>
      </c>
      <c r="E2391" s="1">
        <v>-97.884600000000006</v>
      </c>
      <c r="F2391" s="1" t="s">
        <v>1922</v>
      </c>
      <c r="G2391" s="22">
        <v>1028.6771212239539</v>
      </c>
      <c r="H2391" s="20">
        <f ca="1">NOW() - TIME(5,30,0) + (VLOOKUP(MasterTable[[#This Row],[TimeZone]], $O$3:$P$8, 2, FALSE) / 24)</f>
        <v>45990.531878125003</v>
      </c>
      <c r="I2391" s="1" t="s">
        <v>1944</v>
      </c>
      <c r="J2391" s="1">
        <v>581.32000000000005</v>
      </c>
      <c r="K2391" s="11"/>
      <c r="L2391" s="11"/>
    </row>
    <row r="2392" spans="1:12" x14ac:dyDescent="0.25">
      <c r="A2392" s="1" t="s">
        <v>378</v>
      </c>
      <c r="B2392" s="1" t="s">
        <v>379</v>
      </c>
      <c r="C2392" s="1" t="s">
        <v>1698</v>
      </c>
      <c r="D2392" s="1">
        <v>44.021999999999998</v>
      </c>
      <c r="E2392" s="1">
        <v>-96.670900000000003</v>
      </c>
      <c r="F2392" s="1" t="s">
        <v>1922</v>
      </c>
      <c r="G2392" s="22">
        <v>1121.6455904710942</v>
      </c>
      <c r="H2392" s="20">
        <f ca="1">NOW() - TIME(5,30,0) + (VLOOKUP(MasterTable[[#This Row],[TimeZone]], $O$3:$P$8, 2, FALSE) / 24)</f>
        <v>45990.531878125003</v>
      </c>
      <c r="I2392" s="1" t="s">
        <v>1944</v>
      </c>
      <c r="J2392" s="1">
        <v>521.1</v>
      </c>
      <c r="K2392" s="11"/>
      <c r="L2392" s="11"/>
    </row>
    <row r="2393" spans="1:12" x14ac:dyDescent="0.25">
      <c r="A2393" s="1" t="s">
        <v>378</v>
      </c>
      <c r="B2393" s="1" t="s">
        <v>379</v>
      </c>
      <c r="C2393" s="1" t="s">
        <v>1702</v>
      </c>
      <c r="D2393" s="1">
        <v>44.6738</v>
      </c>
      <c r="E2393" s="1">
        <v>-97.188299999999998</v>
      </c>
      <c r="F2393" s="1" t="s">
        <v>1922</v>
      </c>
      <c r="G2393" s="22">
        <v>1133.8816624928204</v>
      </c>
      <c r="H2393" s="20">
        <f ca="1">NOW() - TIME(5,30,0) + (VLOOKUP(MasterTable[[#This Row],[TimeZone]], $O$3:$P$8, 2, FALSE) / 24)</f>
        <v>45990.531878125003</v>
      </c>
      <c r="I2393" s="1" t="s">
        <v>1944</v>
      </c>
      <c r="J2393" s="1">
        <v>537.96</v>
      </c>
      <c r="K2393" s="11"/>
      <c r="L2393" s="11"/>
    </row>
    <row r="2394" spans="1:12" x14ac:dyDescent="0.25">
      <c r="A2394" s="1" t="s">
        <v>378</v>
      </c>
      <c r="B2394" s="1" t="s">
        <v>379</v>
      </c>
      <c r="C2394" s="1" t="s">
        <v>1703</v>
      </c>
      <c r="D2394" s="1">
        <v>44.938000000000002</v>
      </c>
      <c r="E2394" s="1">
        <v>-98.346199999999996</v>
      </c>
      <c r="F2394" s="1" t="s">
        <v>1922</v>
      </c>
      <c r="G2394" s="22">
        <v>1107.9599913448687</v>
      </c>
      <c r="H2394" s="20">
        <f ca="1">NOW() - TIME(5,30,0) + (VLOOKUP(MasterTable[[#This Row],[TimeZone]], $O$3:$P$8, 2, FALSE) / 24)</f>
        <v>45990.531878125003</v>
      </c>
      <c r="I2394" s="1" t="s">
        <v>1944</v>
      </c>
      <c r="J2394" s="1">
        <v>1510.05</v>
      </c>
      <c r="K2394" s="11"/>
      <c r="L2394" s="11"/>
    </row>
    <row r="2395" spans="1:12" x14ac:dyDescent="0.25">
      <c r="A2395" s="1" t="s">
        <v>378</v>
      </c>
      <c r="B2395" s="1" t="s">
        <v>379</v>
      </c>
      <c r="C2395" s="1" t="s">
        <v>1723</v>
      </c>
      <c r="D2395" s="1">
        <v>43.674300000000002</v>
      </c>
      <c r="E2395" s="1">
        <v>-97.368499999999997</v>
      </c>
      <c r="F2395" s="1" t="s">
        <v>1922</v>
      </c>
      <c r="G2395" s="22">
        <v>1079.7555173853134</v>
      </c>
      <c r="H2395" s="20">
        <f ca="1">NOW() - TIME(5,30,0) + (VLOOKUP(MasterTable[[#This Row],[TimeZone]], $O$3:$P$8, 2, FALSE) / 24)</f>
        <v>45990.531878125003</v>
      </c>
      <c r="I2395" s="1" t="s">
        <v>1944</v>
      </c>
      <c r="J2395" s="1">
        <v>577.16</v>
      </c>
      <c r="K2395" s="11"/>
      <c r="L2395" s="11"/>
    </row>
    <row r="2396" spans="1:12" x14ac:dyDescent="0.25">
      <c r="A2396" s="1" t="s">
        <v>378</v>
      </c>
      <c r="B2396" s="1" t="s">
        <v>379</v>
      </c>
      <c r="C2396" s="1" t="s">
        <v>1730</v>
      </c>
      <c r="D2396" s="1">
        <v>43.3459</v>
      </c>
      <c r="E2396" s="1">
        <v>-99.883899999999997</v>
      </c>
      <c r="F2396" s="1" t="s">
        <v>1922</v>
      </c>
      <c r="G2396" s="22">
        <v>975.11427116786547</v>
      </c>
      <c r="H2396" s="20">
        <f ca="1">NOW() - TIME(5,30,0) + (VLOOKUP(MasterTable[[#This Row],[TimeZone]], $O$3:$P$8, 2, FALSE) / 24)</f>
        <v>45990.531878125003</v>
      </c>
      <c r="I2396" s="1" t="s">
        <v>1944</v>
      </c>
      <c r="J2396" s="1">
        <v>1617.4</v>
      </c>
      <c r="K2396" s="11"/>
      <c r="L2396" s="11"/>
    </row>
    <row r="2397" spans="1:12" x14ac:dyDescent="0.25">
      <c r="A2397" s="1" t="s">
        <v>378</v>
      </c>
      <c r="B2397" s="1" t="s">
        <v>379</v>
      </c>
      <c r="C2397" s="1" t="s">
        <v>1736</v>
      </c>
      <c r="D2397" s="1">
        <v>45.367100000000001</v>
      </c>
      <c r="E2397" s="1">
        <v>-97.607399999999998</v>
      </c>
      <c r="F2397" s="1" t="s">
        <v>1922</v>
      </c>
      <c r="G2397" s="22">
        <v>1154.1153212398474</v>
      </c>
      <c r="H2397" s="20">
        <f ca="1">NOW() - TIME(5,30,0) + (VLOOKUP(MasterTable[[#This Row],[TimeZone]], $O$3:$P$8, 2, FALSE) / 24)</f>
        <v>45990.531878125003</v>
      </c>
      <c r="I2397" s="1" t="s">
        <v>1944</v>
      </c>
      <c r="J2397" s="1">
        <v>1091.21</v>
      </c>
      <c r="K2397" s="11"/>
      <c r="L2397" s="11"/>
    </row>
    <row r="2398" spans="1:12" x14ac:dyDescent="0.25">
      <c r="A2398" s="1" t="s">
        <v>378</v>
      </c>
      <c r="B2398" s="1" t="s">
        <v>379</v>
      </c>
      <c r="C2398" s="1" t="s">
        <v>571</v>
      </c>
      <c r="D2398" s="1">
        <v>45.429900000000004</v>
      </c>
      <c r="E2398" s="1">
        <v>-100.03149999999999</v>
      </c>
      <c r="F2398" s="1" t="s">
        <v>1922</v>
      </c>
      <c r="G2398" s="22">
        <v>1082.5894499523222</v>
      </c>
      <c r="H2398" s="20">
        <f ca="1">NOW() - TIME(5,30,0) + (VLOOKUP(MasterTable[[#This Row],[TimeZone]], $O$3:$P$8, 2, FALSE) / 24)</f>
        <v>45990.531878125003</v>
      </c>
      <c r="I2398" s="1" t="s">
        <v>1944</v>
      </c>
      <c r="J2398" s="1">
        <v>744.22</v>
      </c>
      <c r="K2398" s="11"/>
      <c r="L2398" s="11"/>
    </row>
    <row r="2399" spans="1:12" x14ac:dyDescent="0.25">
      <c r="A2399" s="1" t="s">
        <v>378</v>
      </c>
      <c r="B2399" s="1" t="s">
        <v>379</v>
      </c>
      <c r="C2399" s="1" t="s">
        <v>1744</v>
      </c>
      <c r="D2399" s="1">
        <v>43.7181</v>
      </c>
      <c r="E2399" s="1">
        <v>-99.0809</v>
      </c>
      <c r="F2399" s="1" t="s">
        <v>1922</v>
      </c>
      <c r="G2399" s="22">
        <v>1021.2045458237919</v>
      </c>
      <c r="H2399" s="20">
        <f ca="1">NOW() - TIME(5,30,0) + (VLOOKUP(MasterTable[[#This Row],[TimeZone]], $O$3:$P$8, 2, FALSE) / 24)</f>
        <v>45990.531878125003</v>
      </c>
      <c r="I2399" s="1" t="s">
        <v>1944</v>
      </c>
      <c r="J2399" s="1">
        <v>846.49</v>
      </c>
      <c r="K2399" s="11"/>
      <c r="L2399" s="11"/>
    </row>
    <row r="2400" spans="1:12" x14ac:dyDescent="0.25">
      <c r="A2400" s="1" t="s">
        <v>378</v>
      </c>
      <c r="B2400" s="1" t="s">
        <v>379</v>
      </c>
      <c r="C2400" s="1" t="s">
        <v>1745</v>
      </c>
      <c r="D2400" s="1">
        <v>45.156599999999997</v>
      </c>
      <c r="E2400" s="1">
        <v>-100.87179999999999</v>
      </c>
      <c r="F2400" s="1" t="s">
        <v>1923</v>
      </c>
      <c r="G2400" s="22">
        <v>1043.5254033741116</v>
      </c>
      <c r="H2400" s="20">
        <f ca="1">NOW() - TIME(5,30,0) + (VLOOKUP(MasterTable[[#This Row],[TimeZone]], $O$3:$P$8, 2, FALSE) / 24)</f>
        <v>45990.490211458338</v>
      </c>
      <c r="I2400" s="1" t="s">
        <v>1944</v>
      </c>
      <c r="J2400" s="1">
        <v>1008.26</v>
      </c>
      <c r="K2400" s="11"/>
      <c r="L2400" s="11"/>
    </row>
    <row r="2401" spans="1:12" x14ac:dyDescent="0.25">
      <c r="A2401" s="1" t="s">
        <v>378</v>
      </c>
      <c r="B2401" s="1" t="s">
        <v>379</v>
      </c>
      <c r="C2401" s="1" t="s">
        <v>1746</v>
      </c>
      <c r="D2401" s="1">
        <v>44.369599999999998</v>
      </c>
      <c r="E2401" s="1">
        <v>-97.491500000000002</v>
      </c>
      <c r="F2401" s="1" t="s">
        <v>1922</v>
      </c>
      <c r="G2401" s="22">
        <v>1108.4819149016137</v>
      </c>
      <c r="H2401" s="20">
        <f ca="1">NOW() - TIME(5,30,0) + (VLOOKUP(MasterTable[[#This Row],[TimeZone]], $O$3:$P$8, 2, FALSE) / 24)</f>
        <v>45990.531878125003</v>
      </c>
      <c r="I2401" s="1" t="s">
        <v>1944</v>
      </c>
      <c r="J2401" s="1">
        <v>863.67</v>
      </c>
      <c r="K2401" s="11"/>
      <c r="L2401" s="11"/>
    </row>
    <row r="2402" spans="1:12" x14ac:dyDescent="0.25">
      <c r="A2402" s="1" t="s">
        <v>378</v>
      </c>
      <c r="B2402" s="1" t="s">
        <v>379</v>
      </c>
      <c r="C2402" s="1" t="s">
        <v>600</v>
      </c>
      <c r="D2402" s="1">
        <v>45.758600000000001</v>
      </c>
      <c r="E2402" s="1">
        <v>-97.598600000000005</v>
      </c>
      <c r="F2402" s="1" t="s">
        <v>1922</v>
      </c>
      <c r="G2402" s="22">
        <v>1174.4192771702228</v>
      </c>
      <c r="H2402" s="20">
        <f ca="1">NOW() - TIME(5,30,0) + (VLOOKUP(MasterTable[[#This Row],[TimeZone]], $O$3:$P$8, 2, FALSE) / 24)</f>
        <v>45990.531878125003</v>
      </c>
      <c r="I2402" s="1" t="s">
        <v>1944</v>
      </c>
      <c r="J2402" s="1">
        <v>623.16</v>
      </c>
      <c r="K2402" s="11"/>
      <c r="L2402" s="11"/>
    </row>
    <row r="2403" spans="1:12" x14ac:dyDescent="0.25">
      <c r="A2403" s="1" t="s">
        <v>378</v>
      </c>
      <c r="B2403" s="1" t="s">
        <v>379</v>
      </c>
      <c r="C2403" s="1" t="s">
        <v>1772</v>
      </c>
      <c r="D2403" s="1">
        <v>44.76</v>
      </c>
      <c r="E2403" s="1">
        <v>-96.668000000000006</v>
      </c>
      <c r="F2403" s="1" t="s">
        <v>1922</v>
      </c>
      <c r="G2403" s="22">
        <v>1156.3592352713495</v>
      </c>
      <c r="H2403" s="20">
        <f ca="1">NOW() - TIME(5,30,0) + (VLOOKUP(MasterTable[[#This Row],[TimeZone]], $O$3:$P$8, 2, FALSE) / 24)</f>
        <v>45990.531878125003</v>
      </c>
      <c r="I2403" s="1" t="s">
        <v>1944</v>
      </c>
      <c r="J2403" s="1">
        <v>440.79</v>
      </c>
      <c r="K2403" s="11"/>
      <c r="L2403" s="11"/>
    </row>
    <row r="2404" spans="1:12" x14ac:dyDescent="0.25">
      <c r="A2404" s="1" t="s">
        <v>378</v>
      </c>
      <c r="B2404" s="1" t="s">
        <v>379</v>
      </c>
      <c r="C2404" s="1" t="s">
        <v>1779</v>
      </c>
      <c r="D2404" s="1">
        <v>45.418799999999997</v>
      </c>
      <c r="E2404" s="1">
        <v>-99.215299999999999</v>
      </c>
      <c r="F2404" s="1" t="s">
        <v>1922</v>
      </c>
      <c r="G2404" s="22">
        <v>1106.0302053151611</v>
      </c>
      <c r="H2404" s="20">
        <f ca="1">NOW() - TIME(5,30,0) + (VLOOKUP(MasterTable[[#This Row],[TimeZone]], $O$3:$P$8, 2, FALSE) / 24)</f>
        <v>45990.531878125003</v>
      </c>
      <c r="I2404" s="1" t="s">
        <v>1944</v>
      </c>
      <c r="J2404" s="1">
        <v>1151.1600000000001</v>
      </c>
      <c r="K2404" s="11"/>
      <c r="L2404" s="11"/>
    </row>
    <row r="2405" spans="1:12" x14ac:dyDescent="0.25">
      <c r="A2405" s="1" t="s">
        <v>378</v>
      </c>
      <c r="B2405" s="1" t="s">
        <v>379</v>
      </c>
      <c r="C2405" s="1" t="s">
        <v>1781</v>
      </c>
      <c r="D2405" s="1">
        <v>43.192399999999999</v>
      </c>
      <c r="E2405" s="1">
        <v>-99.185599999999994</v>
      </c>
      <c r="F2405" s="1" t="s">
        <v>1922</v>
      </c>
      <c r="G2405" s="22">
        <v>991.22335380941695</v>
      </c>
      <c r="H2405" s="20">
        <f ca="1">NOW() - TIME(5,30,0) + (VLOOKUP(MasterTable[[#This Row],[TimeZone]], $O$3:$P$8, 2, FALSE) / 24)</f>
        <v>45990.531878125003</v>
      </c>
      <c r="I2405" s="1" t="s">
        <v>1944</v>
      </c>
      <c r="J2405" s="1">
        <v>1053.45</v>
      </c>
      <c r="K2405" s="11"/>
      <c r="L2405" s="11"/>
    </row>
    <row r="2406" spans="1:12" x14ac:dyDescent="0.25">
      <c r="A2406" s="1" t="s">
        <v>378</v>
      </c>
      <c r="B2406" s="1" t="s">
        <v>379</v>
      </c>
      <c r="C2406" s="1" t="s">
        <v>23</v>
      </c>
      <c r="D2406" s="1">
        <v>44.858199999999997</v>
      </c>
      <c r="E2406" s="1">
        <v>-97.729500000000002</v>
      </c>
      <c r="F2406" s="1" t="s">
        <v>1922</v>
      </c>
      <c r="G2406" s="22">
        <v>1124.3827777393606</v>
      </c>
      <c r="H2406" s="20">
        <f ca="1">NOW() - TIME(5,30,0) + (VLOOKUP(MasterTable[[#This Row],[TimeZone]], $O$3:$P$8, 2, FALSE) / 24)</f>
        <v>45990.531878125003</v>
      </c>
      <c r="I2406" s="1" t="s">
        <v>1944</v>
      </c>
      <c r="J2406" s="1">
        <v>882.6</v>
      </c>
      <c r="K2406" s="11"/>
      <c r="L2406" s="11"/>
    </row>
    <row r="2407" spans="1:12" x14ac:dyDescent="0.25">
      <c r="A2407" s="1" t="s">
        <v>378</v>
      </c>
      <c r="B2407" s="1" t="s">
        <v>379</v>
      </c>
      <c r="C2407" s="1" t="s">
        <v>1785</v>
      </c>
      <c r="D2407" s="1">
        <v>45.708599999999997</v>
      </c>
      <c r="E2407" s="1">
        <v>-101.1969</v>
      </c>
      <c r="F2407" s="1" t="s">
        <v>1923</v>
      </c>
      <c r="G2407" s="22">
        <v>1066.6266653112552</v>
      </c>
      <c r="H2407" s="20">
        <f ca="1">NOW() - TIME(5,30,0) + (VLOOKUP(MasterTable[[#This Row],[TimeZone]], $O$3:$P$8, 2, FALSE) / 24)</f>
        <v>45990.490211458338</v>
      </c>
      <c r="I2407" s="1" t="s">
        <v>1944</v>
      </c>
      <c r="J2407" s="1">
        <v>2529.42</v>
      </c>
      <c r="K2407" s="11"/>
      <c r="L2407" s="11"/>
    </row>
    <row r="2408" spans="1:12" x14ac:dyDescent="0.25">
      <c r="A2408" s="1" t="s">
        <v>378</v>
      </c>
      <c r="B2408" s="1" t="s">
        <v>379</v>
      </c>
      <c r="C2408" s="1" t="s">
        <v>1789</v>
      </c>
      <c r="D2408" s="1">
        <v>43.895800000000001</v>
      </c>
      <c r="E2408" s="1">
        <v>-99.847399999999993</v>
      </c>
      <c r="F2408" s="1" t="s">
        <v>1922</v>
      </c>
      <c r="G2408" s="22">
        <v>1004.9922882662119</v>
      </c>
      <c r="H2408" s="20">
        <f ca="1">NOW() - TIME(5,30,0) + (VLOOKUP(MasterTable[[#This Row],[TimeZone]], $O$3:$P$8, 2, FALSE) / 24)</f>
        <v>45990.531878125003</v>
      </c>
      <c r="I2408" s="1" t="s">
        <v>1944</v>
      </c>
      <c r="J2408" s="1">
        <v>1707.06</v>
      </c>
      <c r="K2408" s="11"/>
      <c r="L2408" s="11"/>
    </row>
    <row r="2409" spans="1:12" x14ac:dyDescent="0.25">
      <c r="A2409" s="1" t="s">
        <v>378</v>
      </c>
      <c r="B2409" s="1" t="s">
        <v>379</v>
      </c>
      <c r="C2409" s="1" t="s">
        <v>1798</v>
      </c>
      <c r="D2409" s="1">
        <v>43.674799999999998</v>
      </c>
      <c r="E2409" s="1">
        <v>-97.787300000000002</v>
      </c>
      <c r="F2409" s="1" t="s">
        <v>1922</v>
      </c>
      <c r="G2409" s="22">
        <v>1064.4972860795117</v>
      </c>
      <c r="H2409" s="20">
        <f ca="1">NOW() - TIME(5,30,0) + (VLOOKUP(MasterTable[[#This Row],[TimeZone]], $O$3:$P$8, 2, FALSE) / 24)</f>
        <v>45990.531878125003</v>
      </c>
      <c r="I2409" s="1" t="s">
        <v>1944</v>
      </c>
      <c r="J2409" s="1">
        <v>435.64</v>
      </c>
      <c r="K2409" s="11"/>
      <c r="L2409" s="11"/>
    </row>
    <row r="2410" spans="1:12" x14ac:dyDescent="0.25">
      <c r="A2410" s="1" t="s">
        <v>378</v>
      </c>
      <c r="B2410" s="1" t="s">
        <v>379</v>
      </c>
      <c r="C2410" s="1" t="s">
        <v>1806</v>
      </c>
      <c r="D2410" s="1">
        <v>43.195</v>
      </c>
      <c r="E2410" s="1">
        <v>-101.664</v>
      </c>
      <c r="F2410" s="1" t="s">
        <v>1923</v>
      </c>
      <c r="G2410" s="22">
        <v>910.43203568815488</v>
      </c>
      <c r="H2410" s="20">
        <f ca="1">NOW() - TIME(5,30,0) + (VLOOKUP(MasterTable[[#This Row],[TimeZone]], $O$3:$P$8, 2, FALSE) / 24)</f>
        <v>45990.490211458338</v>
      </c>
      <c r="I2410" s="1" t="s">
        <v>1944</v>
      </c>
      <c r="J2410" s="1">
        <v>1190.5899999999999</v>
      </c>
      <c r="K2410" s="11"/>
      <c r="L2410" s="11"/>
    </row>
    <row r="2411" spans="1:12" x14ac:dyDescent="0.25">
      <c r="A2411" s="1" t="s">
        <v>378</v>
      </c>
      <c r="B2411" s="1" t="s">
        <v>379</v>
      </c>
      <c r="C2411" s="1" t="s">
        <v>1822</v>
      </c>
      <c r="D2411" s="1">
        <v>45.490499999999997</v>
      </c>
      <c r="E2411" s="1">
        <v>-102.4757</v>
      </c>
      <c r="F2411" s="1" t="s">
        <v>1923</v>
      </c>
      <c r="G2411" s="22">
        <v>1022.0026965307013</v>
      </c>
      <c r="H2411" s="20">
        <f ca="1">NOW() - TIME(5,30,0) + (VLOOKUP(MasterTable[[#This Row],[TimeZone]], $O$3:$P$8, 2, FALSE) / 24)</f>
        <v>45990.490211458338</v>
      </c>
      <c r="I2411" s="1" t="s">
        <v>1944</v>
      </c>
      <c r="J2411" s="1">
        <v>884.27</v>
      </c>
      <c r="K2411" s="11"/>
      <c r="L2411" s="11"/>
    </row>
    <row r="2412" spans="1:12" x14ac:dyDescent="0.25">
      <c r="A2412" s="1" t="s">
        <v>378</v>
      </c>
      <c r="B2412" s="1" t="s">
        <v>379</v>
      </c>
      <c r="C2412" s="1" t="s">
        <v>1823</v>
      </c>
      <c r="D2412" s="1">
        <v>44.547800000000002</v>
      </c>
      <c r="E2412" s="1">
        <v>-99.004900000000006</v>
      </c>
      <c r="F2412" s="1" t="s">
        <v>1922</v>
      </c>
      <c r="G2412" s="22">
        <v>1066.3517200274077</v>
      </c>
      <c r="H2412" s="20">
        <f ca="1">NOW() - TIME(5,30,0) + (VLOOKUP(MasterTable[[#This Row],[TimeZone]], $O$3:$P$8, 2, FALSE) / 24)</f>
        <v>45990.531878125003</v>
      </c>
      <c r="I2412" s="1" t="s">
        <v>1944</v>
      </c>
      <c r="J2412" s="1">
        <v>1440.21</v>
      </c>
      <c r="K2412" s="11"/>
      <c r="L2412" s="11"/>
    </row>
    <row r="2413" spans="1:12" x14ac:dyDescent="0.25">
      <c r="A2413" s="1" t="s">
        <v>378</v>
      </c>
      <c r="B2413" s="1" t="s">
        <v>379</v>
      </c>
      <c r="C2413" s="1" t="s">
        <v>1824</v>
      </c>
      <c r="D2413" s="1">
        <v>44.412300000000002</v>
      </c>
      <c r="E2413" s="1">
        <v>-100.7359</v>
      </c>
      <c r="F2413" s="1" t="s">
        <v>1923</v>
      </c>
      <c r="G2413" s="22">
        <v>1005.5500515576596</v>
      </c>
      <c r="H2413" s="20">
        <f ca="1">NOW() - TIME(5,30,0) + (VLOOKUP(MasterTable[[#This Row],[TimeZone]], $O$3:$P$8, 2, FALSE) / 24)</f>
        <v>45990.490211458338</v>
      </c>
      <c r="I2413" s="1" t="s">
        <v>1944</v>
      </c>
      <c r="J2413" s="1">
        <v>1516.99</v>
      </c>
      <c r="K2413" s="11"/>
      <c r="L2413" s="11"/>
    </row>
    <row r="2414" spans="1:12" x14ac:dyDescent="0.25">
      <c r="A2414" s="1" t="s">
        <v>378</v>
      </c>
      <c r="B2414" s="1" t="s">
        <v>379</v>
      </c>
      <c r="C2414" s="1" t="s">
        <v>140</v>
      </c>
      <c r="D2414" s="1">
        <v>43.694299999999998</v>
      </c>
      <c r="E2414" s="1">
        <v>-101.6281</v>
      </c>
      <c r="F2414" s="1" t="s">
        <v>1923</v>
      </c>
      <c r="G2414" s="22">
        <v>939.36389482073957</v>
      </c>
      <c r="H2414" s="20">
        <f ca="1">NOW() - TIME(5,30,0) + (VLOOKUP(MasterTable[[#This Row],[TimeZone]], $O$3:$P$8, 2, FALSE) / 24)</f>
        <v>45990.490211458338</v>
      </c>
      <c r="I2414" s="1" t="s">
        <v>1944</v>
      </c>
      <c r="J2414" s="1">
        <v>1126.77</v>
      </c>
      <c r="K2414" s="11"/>
      <c r="L2414" s="11"/>
    </row>
    <row r="2415" spans="1:12" x14ac:dyDescent="0.25">
      <c r="A2415" s="1" t="s">
        <v>378</v>
      </c>
      <c r="B2415" s="1" t="s">
        <v>379</v>
      </c>
      <c r="C2415" s="1" t="s">
        <v>170</v>
      </c>
      <c r="D2415" s="1">
        <v>43.386899999999997</v>
      </c>
      <c r="E2415" s="1">
        <v>-98.366100000000003</v>
      </c>
      <c r="F2415" s="1" t="s">
        <v>1922</v>
      </c>
      <c r="G2415" s="22">
        <v>1029.8182772622699</v>
      </c>
      <c r="H2415" s="20">
        <f ca="1">NOW() - TIME(5,30,0) + (VLOOKUP(MasterTable[[#This Row],[TimeZone]], $O$3:$P$8, 2, FALSE) / 24)</f>
        <v>45990.531878125003</v>
      </c>
      <c r="I2415" s="1" t="s">
        <v>1944</v>
      </c>
      <c r="J2415" s="1">
        <v>842.75</v>
      </c>
      <c r="K2415" s="11"/>
      <c r="L2415" s="11"/>
    </row>
    <row r="2416" spans="1:12" x14ac:dyDescent="0.25">
      <c r="A2416" s="1" t="s">
        <v>378</v>
      </c>
      <c r="B2416" s="1" t="s">
        <v>379</v>
      </c>
      <c r="C2416" s="1" t="s">
        <v>1838</v>
      </c>
      <c r="D2416" s="1">
        <v>43.718000000000004</v>
      </c>
      <c r="E2416" s="1">
        <v>-98.561499999999995</v>
      </c>
      <c r="F2416" s="1" t="s">
        <v>1922</v>
      </c>
      <c r="G2416" s="22">
        <v>1039.0863658335838</v>
      </c>
      <c r="H2416" s="20">
        <f ca="1">NOW() - TIME(5,30,0) + (VLOOKUP(MasterTable[[#This Row],[TimeZone]], $O$3:$P$8, 2, FALSE) / 24)</f>
        <v>45990.531878125003</v>
      </c>
      <c r="I2416" s="1" t="s">
        <v>1944</v>
      </c>
      <c r="J2416" s="1">
        <v>712.53</v>
      </c>
      <c r="K2416" s="11"/>
      <c r="L2416" s="11"/>
    </row>
    <row r="2417" spans="1:12" x14ac:dyDescent="0.25">
      <c r="A2417" s="1" t="s">
        <v>378</v>
      </c>
      <c r="B2417" s="1" t="s">
        <v>379</v>
      </c>
      <c r="C2417" s="1" t="s">
        <v>538</v>
      </c>
      <c r="D2417" s="1">
        <v>45.064500000000002</v>
      </c>
      <c r="E2417" s="1">
        <v>-99.9572</v>
      </c>
      <c r="F2417" s="1" t="s">
        <v>1922</v>
      </c>
      <c r="G2417" s="22">
        <v>1064.5375247655388</v>
      </c>
      <c r="H2417" s="20">
        <f ca="1">NOW() - TIME(5,30,0) + (VLOOKUP(MasterTable[[#This Row],[TimeZone]], $O$3:$P$8, 2, FALSE) / 24)</f>
        <v>45990.531878125003</v>
      </c>
      <c r="I2417" s="1" t="s">
        <v>1944</v>
      </c>
      <c r="J2417" s="1">
        <v>1081.42</v>
      </c>
      <c r="K2417" s="11"/>
      <c r="L2417" s="11"/>
    </row>
    <row r="2418" spans="1:12" x14ac:dyDescent="0.25">
      <c r="A2418" s="1" t="s">
        <v>378</v>
      </c>
      <c r="B2418" s="1" t="s">
        <v>379</v>
      </c>
      <c r="C2418" s="1" t="s">
        <v>1846</v>
      </c>
      <c r="D2418" s="1">
        <v>44.980400000000003</v>
      </c>
      <c r="E2418" s="1">
        <v>-101.6658</v>
      </c>
      <c r="F2418" s="1" t="s">
        <v>1923</v>
      </c>
      <c r="G2418" s="22">
        <v>1011.9589943489053</v>
      </c>
      <c r="H2418" s="20">
        <f ca="1">NOW() - TIME(5,30,0) + (VLOOKUP(MasterTable[[#This Row],[TimeZone]], $O$3:$P$8, 2, FALSE) / 24)</f>
        <v>45990.490211458338</v>
      </c>
      <c r="I2418" s="1" t="s">
        <v>1944</v>
      </c>
      <c r="J2418" s="1">
        <v>1971.05</v>
      </c>
      <c r="K2418" s="11"/>
      <c r="L2418" s="11"/>
    </row>
    <row r="2419" spans="1:12" x14ac:dyDescent="0.25">
      <c r="A2419" s="1" t="s">
        <v>378</v>
      </c>
      <c r="B2419" s="1" t="s">
        <v>379</v>
      </c>
      <c r="C2419" s="1" t="s">
        <v>1849</v>
      </c>
      <c r="D2419" s="1">
        <v>44.023400000000002</v>
      </c>
      <c r="E2419" s="1">
        <v>-98.091300000000004</v>
      </c>
      <c r="F2419" s="1" t="s">
        <v>1922</v>
      </c>
      <c r="G2419" s="22">
        <v>1070.5542007391016</v>
      </c>
      <c r="H2419" s="20">
        <f ca="1">NOW() - TIME(5,30,0) + (VLOOKUP(MasterTable[[#This Row],[TimeZone]], $O$3:$P$8, 2, FALSE) / 24)</f>
        <v>45990.531878125003</v>
      </c>
      <c r="I2419" s="1" t="s">
        <v>1944</v>
      </c>
      <c r="J2419" s="1">
        <v>570.21</v>
      </c>
      <c r="K2419" s="11"/>
      <c r="L2419" s="11"/>
    </row>
    <row r="2420" spans="1:12" x14ac:dyDescent="0.25">
      <c r="A2420" s="1" t="s">
        <v>378</v>
      </c>
      <c r="B2420" s="1" t="s">
        <v>379</v>
      </c>
      <c r="C2420" s="1" t="s">
        <v>1852</v>
      </c>
      <c r="D2420" s="1">
        <v>44.021900000000002</v>
      </c>
      <c r="E2420" s="1">
        <v>-97.610200000000006</v>
      </c>
      <c r="F2420" s="1" t="s">
        <v>1922</v>
      </c>
      <c r="G2420" s="22">
        <v>1087.4773302409899</v>
      </c>
      <c r="H2420" s="20">
        <f ca="1">NOW() - TIME(5,30,0) + (VLOOKUP(MasterTable[[#This Row],[TimeZone]], $O$3:$P$8, 2, FALSE) / 24)</f>
        <v>45990.531878125003</v>
      </c>
      <c r="I2420" s="1" t="s">
        <v>1944</v>
      </c>
      <c r="J2420" s="1">
        <v>571.99</v>
      </c>
      <c r="K2420" s="11"/>
      <c r="L2420" s="11"/>
    </row>
    <row r="2421" spans="1:12" x14ac:dyDescent="0.25">
      <c r="A2421" s="1" t="s">
        <v>378</v>
      </c>
      <c r="B2421" s="1" t="s">
        <v>379</v>
      </c>
      <c r="C2421" s="1" t="s">
        <v>1077</v>
      </c>
      <c r="D2421" s="1">
        <v>45.766399999999997</v>
      </c>
      <c r="E2421" s="1">
        <v>-99.221400000000003</v>
      </c>
      <c r="F2421" s="1" t="s">
        <v>1922</v>
      </c>
      <c r="G2421" s="22">
        <v>1124.7398070399747</v>
      </c>
      <c r="H2421" s="20">
        <f ca="1">NOW() - TIME(5,30,0) + (VLOOKUP(MasterTable[[#This Row],[TimeZone]], $O$3:$P$8, 2, FALSE) / 24)</f>
        <v>45990.531878125003</v>
      </c>
      <c r="I2421" s="1" t="s">
        <v>1944</v>
      </c>
      <c r="J2421" s="1">
        <v>901.24</v>
      </c>
      <c r="K2421" s="11"/>
      <c r="L2421" s="11"/>
    </row>
    <row r="2422" spans="1:12" x14ac:dyDescent="0.25">
      <c r="A2422" s="1" t="s">
        <v>378</v>
      </c>
      <c r="B2422" s="1" t="s">
        <v>379</v>
      </c>
      <c r="C2422" s="1" t="s">
        <v>1857</v>
      </c>
      <c r="D2422" s="1">
        <v>45.070999999999998</v>
      </c>
      <c r="E2422" s="1">
        <v>-99.145300000000006</v>
      </c>
      <c r="F2422" s="1" t="s">
        <v>1922</v>
      </c>
      <c r="G2422" s="22">
        <v>1089.4939524474332</v>
      </c>
      <c r="H2422" s="20">
        <f ca="1">NOW() - TIME(5,30,0) + (VLOOKUP(MasterTable[[#This Row],[TimeZone]], $O$3:$P$8, 2, FALSE) / 24)</f>
        <v>45990.531878125003</v>
      </c>
      <c r="I2422" s="1" t="s">
        <v>1944</v>
      </c>
      <c r="J2422" s="1">
        <v>1005.69</v>
      </c>
      <c r="K2422" s="11"/>
      <c r="L2422" s="11"/>
    </row>
    <row r="2423" spans="1:12" x14ac:dyDescent="0.25">
      <c r="A2423" s="1" t="s">
        <v>378</v>
      </c>
      <c r="B2423" s="1" t="s">
        <v>379</v>
      </c>
      <c r="C2423" s="1" t="s">
        <v>1864</v>
      </c>
      <c r="D2423" s="1">
        <v>43.581299999999999</v>
      </c>
      <c r="E2423" s="1">
        <v>-100.76</v>
      </c>
      <c r="F2423" s="1" t="s">
        <v>1922</v>
      </c>
      <c r="G2423" s="22">
        <v>959.27394607978329</v>
      </c>
      <c r="H2423" s="20">
        <f ca="1">NOW() - TIME(5,30,0) + (VLOOKUP(MasterTable[[#This Row],[TimeZone]], $O$3:$P$8, 2, FALSE) / 24)</f>
        <v>45990.531878125003</v>
      </c>
      <c r="I2423" s="1" t="s">
        <v>1944</v>
      </c>
      <c r="J2423" s="1">
        <v>1309.75</v>
      </c>
      <c r="K2423" s="11"/>
      <c r="L2423" s="11"/>
    </row>
    <row r="2424" spans="1:12" x14ac:dyDescent="0.25">
      <c r="A2424" s="1" t="s">
        <v>378</v>
      </c>
      <c r="B2424" s="1" t="s">
        <v>379</v>
      </c>
      <c r="C2424" s="1" t="s">
        <v>1869</v>
      </c>
      <c r="D2424" s="1">
        <v>44.066299999999998</v>
      </c>
      <c r="E2424" s="1">
        <v>-98.6297</v>
      </c>
      <c r="F2424" s="1" t="s">
        <v>1922</v>
      </c>
      <c r="G2424" s="22">
        <v>1054.1234111495194</v>
      </c>
      <c r="H2424" s="20">
        <f ca="1">NOW() - TIME(5,30,0) + (VLOOKUP(MasterTable[[#This Row],[TimeZone]], $O$3:$P$8, 2, FALSE) / 24)</f>
        <v>45990.531878125003</v>
      </c>
      <c r="I2424" s="1" t="s">
        <v>1944</v>
      </c>
      <c r="J2424" s="1">
        <v>532.63</v>
      </c>
      <c r="K2424" s="11"/>
      <c r="L2424" s="11"/>
    </row>
    <row r="2425" spans="1:12" x14ac:dyDescent="0.25">
      <c r="A2425" s="1" t="s">
        <v>378</v>
      </c>
      <c r="B2425" s="1" t="s">
        <v>379</v>
      </c>
      <c r="C2425" s="1" t="s">
        <v>842</v>
      </c>
      <c r="D2425" s="1">
        <v>44.076300000000003</v>
      </c>
      <c r="E2425" s="1">
        <v>-99.204800000000006</v>
      </c>
      <c r="F2425" s="1" t="s">
        <v>1922</v>
      </c>
      <c r="G2425" s="22">
        <v>1035.3660444762261</v>
      </c>
      <c r="H2425" s="20">
        <f ca="1">NOW() - TIME(5,30,0) + (VLOOKUP(MasterTable[[#This Row],[TimeZone]], $O$3:$P$8, 2, FALSE) / 24)</f>
        <v>45990.531878125003</v>
      </c>
      <c r="I2425" s="1" t="s">
        <v>1944</v>
      </c>
      <c r="J2425" s="1">
        <v>975.27</v>
      </c>
      <c r="K2425" s="11"/>
      <c r="L2425" s="11"/>
    </row>
    <row r="2426" spans="1:12" x14ac:dyDescent="0.25">
      <c r="A2426" s="1" t="s">
        <v>378</v>
      </c>
      <c r="B2426" s="1" t="s">
        <v>379</v>
      </c>
      <c r="C2426" s="1" t="s">
        <v>1875</v>
      </c>
      <c r="D2426" s="1">
        <v>44.294499999999999</v>
      </c>
      <c r="E2426" s="1">
        <v>-101.5399</v>
      </c>
      <c r="F2426" s="1" t="s">
        <v>1923</v>
      </c>
      <c r="G2426" s="22">
        <v>975.85390334086799</v>
      </c>
      <c r="H2426" s="20">
        <f ca="1">NOW() - TIME(5,30,0) + (VLOOKUP(MasterTable[[#This Row],[TimeZone]], $O$3:$P$8, 2, FALSE) / 24)</f>
        <v>45990.490211458338</v>
      </c>
      <c r="I2426" s="1" t="s">
        <v>1944</v>
      </c>
      <c r="J2426" s="1">
        <v>1827.22</v>
      </c>
      <c r="K2426" s="11"/>
      <c r="L2426" s="11"/>
    </row>
    <row r="2427" spans="1:12" x14ac:dyDescent="0.25">
      <c r="A2427" s="1" t="s">
        <v>378</v>
      </c>
      <c r="B2427" s="1" t="s">
        <v>379</v>
      </c>
      <c r="C2427" s="1" t="s">
        <v>621</v>
      </c>
      <c r="D2427" s="1">
        <v>45.7712</v>
      </c>
      <c r="E2427" s="1">
        <v>-100.05159999999999</v>
      </c>
      <c r="F2427" s="1" t="s">
        <v>1922</v>
      </c>
      <c r="G2427" s="22">
        <v>1101.1168243014927</v>
      </c>
      <c r="H2427" s="20">
        <f ca="1">NOW() - TIME(5,30,0) + (VLOOKUP(MasterTable[[#This Row],[TimeZone]], $O$3:$P$8, 2, FALSE) / 24)</f>
        <v>45990.531878125003</v>
      </c>
      <c r="I2427" s="1" t="s">
        <v>1944</v>
      </c>
      <c r="J2427" s="1">
        <v>159.43</v>
      </c>
      <c r="K2427" s="11"/>
      <c r="L2427" s="11"/>
    </row>
    <row r="2428" spans="1:12" x14ac:dyDescent="0.25">
      <c r="A2428" s="1" t="s">
        <v>378</v>
      </c>
      <c r="B2428" s="1" t="s">
        <v>379</v>
      </c>
      <c r="C2428" s="1" t="s">
        <v>1886</v>
      </c>
      <c r="D2428" s="1">
        <v>44.715600000000002</v>
      </c>
      <c r="E2428" s="1">
        <v>-100.1322</v>
      </c>
      <c r="F2428" s="1" t="s">
        <v>1922</v>
      </c>
      <c r="G2428" s="22">
        <v>1040.1883046957296</v>
      </c>
      <c r="H2428" s="20">
        <f ca="1">NOW() - TIME(5,30,0) + (VLOOKUP(MasterTable[[#This Row],[TimeZone]], $O$3:$P$8, 2, FALSE) / 24)</f>
        <v>45990.531878125003</v>
      </c>
      <c r="I2428" s="1" t="s">
        <v>1944</v>
      </c>
      <c r="J2428" s="1">
        <v>1070.3599999999999</v>
      </c>
      <c r="K2428" s="11"/>
      <c r="L2428" s="11"/>
    </row>
    <row r="2429" spans="1:12" x14ac:dyDescent="0.25">
      <c r="A2429" s="1" t="s">
        <v>378</v>
      </c>
      <c r="B2429" s="1" t="s">
        <v>379</v>
      </c>
      <c r="C2429" s="1" t="s">
        <v>1764</v>
      </c>
      <c r="D2429" s="1">
        <v>44.5473</v>
      </c>
      <c r="E2429" s="1">
        <v>-99.487099999999998</v>
      </c>
      <c r="F2429" s="1" t="s">
        <v>1922</v>
      </c>
      <c r="G2429" s="22">
        <v>1050.9334861725526</v>
      </c>
      <c r="H2429" s="20">
        <f ca="1">NOW() - TIME(5,30,0) + (VLOOKUP(MasterTable[[#This Row],[TimeZone]], $O$3:$P$8, 2, FALSE) / 24)</f>
        <v>45990.531878125003</v>
      </c>
      <c r="I2429" s="1" t="s">
        <v>1944</v>
      </c>
      <c r="J2429" s="1">
        <v>1424</v>
      </c>
      <c r="K2429" s="11"/>
      <c r="L2429" s="11"/>
    </row>
    <row r="2430" spans="1:12" x14ac:dyDescent="0.25">
      <c r="A2430" s="1" t="s">
        <v>378</v>
      </c>
      <c r="B2430" s="1" t="s">
        <v>379</v>
      </c>
      <c r="C2430" s="1" t="s">
        <v>1898</v>
      </c>
      <c r="D2430" s="1">
        <v>45.580300000000001</v>
      </c>
      <c r="E2430" s="1">
        <v>-103.4958</v>
      </c>
      <c r="F2430" s="1" t="s">
        <v>1923</v>
      </c>
      <c r="G2430" s="22">
        <v>1004.7123304910283</v>
      </c>
      <c r="H2430" s="20">
        <f ca="1">NOW() - TIME(5,30,0) + (VLOOKUP(MasterTable[[#This Row],[TimeZone]], $O$3:$P$8, 2, FALSE) / 24)</f>
        <v>45990.490211458338</v>
      </c>
      <c r="I2430" s="1" t="s">
        <v>1944</v>
      </c>
      <c r="J2430" s="1">
        <v>2125.9499999999998</v>
      </c>
      <c r="K2430" s="11"/>
      <c r="L2430" s="11"/>
    </row>
    <row r="2431" spans="1:12" x14ac:dyDescent="0.25">
      <c r="A2431" s="1" t="s">
        <v>378</v>
      </c>
      <c r="B2431" s="1" t="s">
        <v>379</v>
      </c>
      <c r="C2431" s="1" t="s">
        <v>733</v>
      </c>
      <c r="D2431" s="1">
        <v>43.960599999999999</v>
      </c>
      <c r="E2431" s="1">
        <v>-100.6897</v>
      </c>
      <c r="F2431" s="1" t="s">
        <v>1922</v>
      </c>
      <c r="G2431" s="22">
        <v>982.05778465673063</v>
      </c>
      <c r="H2431" s="20">
        <f ca="1">NOW() - TIME(5,30,0) + (VLOOKUP(MasterTable[[#This Row],[TimeZone]], $O$3:$P$8, 2, FALSE) / 24)</f>
        <v>45990.531878125003</v>
      </c>
      <c r="I2431" s="1" t="s">
        <v>1944</v>
      </c>
      <c r="J2431" s="1">
        <v>395.39</v>
      </c>
      <c r="K2431" s="11"/>
      <c r="L2431" s="11"/>
    </row>
    <row r="2432" spans="1:12" x14ac:dyDescent="0.25">
      <c r="A2432" s="1" t="s">
        <v>108</v>
      </c>
      <c r="B2432" s="1" t="s">
        <v>109</v>
      </c>
      <c r="C2432" s="1" t="s">
        <v>107</v>
      </c>
      <c r="D2432" s="1">
        <v>35.1843</v>
      </c>
      <c r="E2432" s="1">
        <v>-89.893799999999999</v>
      </c>
      <c r="F2432" s="1" t="s">
        <v>1922</v>
      </c>
      <c r="G2432" s="22">
        <v>1223.8613501769496</v>
      </c>
      <c r="H2432" s="20">
        <f ca="1">NOW() - TIME(5,30,0) + (VLOOKUP(MasterTable[[#This Row],[TimeZone]], $O$3:$P$8, 2, FALSE) / 24)</f>
        <v>45990.531878125003</v>
      </c>
      <c r="I2432" s="1" t="s">
        <v>1944</v>
      </c>
      <c r="J2432" s="1">
        <v>809.53</v>
      </c>
      <c r="K2432" s="11"/>
      <c r="L2432" s="11"/>
    </row>
    <row r="2433" spans="1:12" x14ac:dyDescent="0.25">
      <c r="A2433" s="1" t="s">
        <v>108</v>
      </c>
      <c r="B2433" s="1" t="s">
        <v>109</v>
      </c>
      <c r="C2433" s="1" t="s">
        <v>144</v>
      </c>
      <c r="D2433" s="1">
        <v>36.169499999999999</v>
      </c>
      <c r="E2433" s="1">
        <v>-86.784800000000004</v>
      </c>
      <c r="F2433" s="1" t="s">
        <v>1922</v>
      </c>
      <c r="G2433" s="22">
        <v>1402.6185856920224</v>
      </c>
      <c r="H2433" s="20">
        <f ca="1">NOW() - TIME(5,30,0) + (VLOOKUP(MasterTable[[#This Row],[TimeZone]], $O$3:$P$8, 2, FALSE) / 24)</f>
        <v>45990.531878125003</v>
      </c>
      <c r="I2433" s="1" t="s">
        <v>1944</v>
      </c>
      <c r="J2433" s="1">
        <v>566.77</v>
      </c>
      <c r="K2433" s="10"/>
      <c r="L2433" s="10"/>
    </row>
    <row r="2434" spans="1:12" x14ac:dyDescent="0.25">
      <c r="A2434" s="1" t="s">
        <v>108</v>
      </c>
      <c r="B2434" s="1" t="s">
        <v>109</v>
      </c>
      <c r="C2434" s="1" t="s">
        <v>205</v>
      </c>
      <c r="D2434" s="1">
        <v>35.993200000000002</v>
      </c>
      <c r="E2434" s="1">
        <v>-83.937100000000001</v>
      </c>
      <c r="F2434" s="1" t="s">
        <v>1925</v>
      </c>
      <c r="G2434" s="22">
        <v>1560.804952955323</v>
      </c>
      <c r="H2434" s="20">
        <f ca="1">NOW() - TIME(5,30,0) + (VLOOKUP(MasterTable[[#This Row],[TimeZone]], $O$3:$P$8, 2, FALSE) / 24)</f>
        <v>45990.573544791667</v>
      </c>
      <c r="I2434" s="1" t="s">
        <v>1944</v>
      </c>
      <c r="J2434" s="1">
        <v>719.7</v>
      </c>
      <c r="K2434" s="11"/>
      <c r="L2434" s="11"/>
    </row>
    <row r="2435" spans="1:12" x14ac:dyDescent="0.25">
      <c r="A2435" s="1" t="s">
        <v>108</v>
      </c>
      <c r="B2435" s="1" t="s">
        <v>109</v>
      </c>
      <c r="C2435" s="1" t="s">
        <v>121</v>
      </c>
      <c r="D2435" s="1">
        <v>35.180799999999998</v>
      </c>
      <c r="E2435" s="1">
        <v>-85.1648</v>
      </c>
      <c r="F2435" s="1" t="s">
        <v>1925</v>
      </c>
      <c r="G2435" s="22">
        <v>1490.7267500221826</v>
      </c>
      <c r="H2435" s="20">
        <f ca="1">NOW() - TIME(5,30,0) + (VLOOKUP(MasterTable[[#This Row],[TimeZone]], $O$3:$P$8, 2, FALSE) / 24)</f>
        <v>45990.573544791667</v>
      </c>
      <c r="I2435" s="1" t="s">
        <v>1944</v>
      </c>
      <c r="J2435" s="1">
        <v>519.30999999999995</v>
      </c>
      <c r="K2435" s="11"/>
      <c r="L2435" s="11"/>
    </row>
    <row r="2436" spans="1:12" x14ac:dyDescent="0.25">
      <c r="A2436" s="1" t="s">
        <v>108</v>
      </c>
      <c r="B2436" s="1" t="s">
        <v>109</v>
      </c>
      <c r="C2436" s="1" t="s">
        <v>265</v>
      </c>
      <c r="D2436" s="1">
        <v>35.842700000000001</v>
      </c>
      <c r="E2436" s="1">
        <v>-86.416700000000006</v>
      </c>
      <c r="F2436" s="1" t="s">
        <v>1922</v>
      </c>
      <c r="G2436" s="22">
        <v>1421.7400877419509</v>
      </c>
      <c r="H2436" s="20">
        <f ca="1">NOW() - TIME(5,30,0) + (VLOOKUP(MasterTable[[#This Row],[TimeZone]], $O$3:$P$8, 2, FALSE) / 24)</f>
        <v>45990.531878125003</v>
      </c>
      <c r="I2436" s="1" t="s">
        <v>1944</v>
      </c>
      <c r="J2436" s="1">
        <v>565.9</v>
      </c>
      <c r="K2436" s="11"/>
      <c r="L2436" s="11"/>
    </row>
    <row r="2437" spans="1:12" x14ac:dyDescent="0.25">
      <c r="A2437" s="1" t="s">
        <v>108</v>
      </c>
      <c r="B2437" s="1" t="s">
        <v>109</v>
      </c>
      <c r="C2437" s="1" t="s">
        <v>161</v>
      </c>
      <c r="D2437" s="1">
        <v>35.893799999999999</v>
      </c>
      <c r="E2437" s="1">
        <v>-86.898700000000005</v>
      </c>
      <c r="F2437" s="1" t="s">
        <v>1943</v>
      </c>
      <c r="G2437" s="22">
        <v>1394.9952583981324</v>
      </c>
      <c r="H2437" s="20">
        <f ca="1">NOW() - TIME(5,30,0) + (VLOOKUP(MasterTable[[#This Row],[TimeZone]], $O$3:$P$8, 2, FALSE) / 24)</f>
        <v>45990.531878125003</v>
      </c>
      <c r="I2437" s="1" t="s">
        <v>1944</v>
      </c>
      <c r="J2437" s="1">
        <v>444.38</v>
      </c>
      <c r="K2437" s="11"/>
      <c r="L2437" s="11"/>
    </row>
    <row r="2438" spans="1:12" x14ac:dyDescent="0.25">
      <c r="A2438" s="1" t="s">
        <v>108</v>
      </c>
      <c r="B2438" s="1" t="s">
        <v>109</v>
      </c>
      <c r="C2438" s="1" t="s">
        <v>75</v>
      </c>
      <c r="D2438" s="1">
        <v>36.496899999999997</v>
      </c>
      <c r="E2438" s="1">
        <v>-87.382800000000003</v>
      </c>
      <c r="F2438" s="1" t="s">
        <v>1922</v>
      </c>
      <c r="G2438" s="22">
        <v>1371.3581812798814</v>
      </c>
      <c r="H2438" s="20">
        <f ca="1">NOW() - TIME(5,30,0) + (VLOOKUP(MasterTable[[#This Row],[TimeZone]], $O$3:$P$8, 2, FALSE) / 24)</f>
        <v>45990.531878125003</v>
      </c>
      <c r="I2438" s="1" t="s">
        <v>1944</v>
      </c>
      <c r="J2438" s="1">
        <v>799.76</v>
      </c>
      <c r="K2438" s="11"/>
      <c r="L2438" s="11"/>
    </row>
    <row r="2439" spans="1:12" x14ac:dyDescent="0.25">
      <c r="A2439" s="1" t="s">
        <v>108</v>
      </c>
      <c r="B2439" s="1" t="s">
        <v>109</v>
      </c>
      <c r="C2439" s="1" t="s">
        <v>380</v>
      </c>
      <c r="D2439" s="1">
        <v>36.469000000000001</v>
      </c>
      <c r="E2439" s="1">
        <v>-86.460599999999999</v>
      </c>
      <c r="F2439" s="1" t="s">
        <v>1922</v>
      </c>
      <c r="G2439" s="22">
        <v>1422.2162875097356</v>
      </c>
      <c r="H2439" s="20">
        <f ca="1">NOW() - TIME(5,30,0) + (VLOOKUP(MasterTable[[#This Row],[TimeZone]], $O$3:$P$8, 2, FALSE) / 24)</f>
        <v>45990.531878125003</v>
      </c>
      <c r="I2439" s="1" t="s">
        <v>1944</v>
      </c>
      <c r="J2439" s="1">
        <v>1184.78</v>
      </c>
      <c r="K2439" s="11"/>
      <c r="L2439" s="11"/>
    </row>
    <row r="2440" spans="1:12" x14ac:dyDescent="0.25">
      <c r="A2440" s="1" t="s">
        <v>108</v>
      </c>
      <c r="B2440" s="1" t="s">
        <v>109</v>
      </c>
      <c r="C2440" s="1" t="s">
        <v>454</v>
      </c>
      <c r="D2440" s="1">
        <v>36.512900000000002</v>
      </c>
      <c r="E2440" s="1">
        <v>-82.304199999999994</v>
      </c>
      <c r="F2440" s="1" t="s">
        <v>1925</v>
      </c>
      <c r="G2440" s="22">
        <v>1652.8839280344357</v>
      </c>
      <c r="H2440" s="20">
        <f ca="1">NOW() - TIME(5,30,0) + (VLOOKUP(MasterTable[[#This Row],[TimeZone]], $O$3:$P$8, 2, FALSE) / 24)</f>
        <v>45990.573544791667</v>
      </c>
      <c r="I2440" s="1" t="s">
        <v>1944</v>
      </c>
      <c r="J2440" s="1">
        <v>454.04</v>
      </c>
      <c r="K2440" s="11"/>
      <c r="L2440" s="11"/>
    </row>
    <row r="2441" spans="1:12" x14ac:dyDescent="0.25">
      <c r="A2441" s="1" t="s">
        <v>108</v>
      </c>
      <c r="B2441" s="1" t="s">
        <v>109</v>
      </c>
      <c r="C2441" s="1" t="s">
        <v>470</v>
      </c>
      <c r="D2441" s="1">
        <v>36.154699999999998</v>
      </c>
      <c r="E2441" s="1">
        <v>-86.297300000000007</v>
      </c>
      <c r="F2441" s="1" t="s">
        <v>1943</v>
      </c>
      <c r="G2441" s="22">
        <v>1429.6785841193396</v>
      </c>
      <c r="H2441" s="20">
        <f ca="1">NOW() - TIME(5,30,0) + (VLOOKUP(MasterTable[[#This Row],[TimeZone]], $O$3:$P$8, 2, FALSE) / 24)</f>
        <v>45990.531878125003</v>
      </c>
      <c r="I2441" s="1" t="s">
        <v>1944</v>
      </c>
      <c r="J2441" s="1">
        <v>574.97</v>
      </c>
      <c r="K2441" s="11"/>
      <c r="L2441" s="11"/>
    </row>
    <row r="2442" spans="1:12" x14ac:dyDescent="0.25">
      <c r="A2442" s="1" t="s">
        <v>108</v>
      </c>
      <c r="B2442" s="1" t="s">
        <v>109</v>
      </c>
      <c r="C2442" s="1" t="s">
        <v>488</v>
      </c>
      <c r="D2442" s="1">
        <v>35.687199999999997</v>
      </c>
      <c r="E2442" s="1">
        <v>-83.9255</v>
      </c>
      <c r="F2442" s="1" t="s">
        <v>1925</v>
      </c>
      <c r="G2442" s="22">
        <v>1560.9513245322917</v>
      </c>
      <c r="H2442" s="20">
        <f ca="1">NOW() - TIME(5,30,0) + (VLOOKUP(MasterTable[[#This Row],[TimeZone]], $O$3:$P$8, 2, FALSE) / 24)</f>
        <v>45990.573544791667</v>
      </c>
      <c r="I2442" s="1" t="s">
        <v>1944</v>
      </c>
      <c r="J2442" s="1">
        <v>650.6</v>
      </c>
      <c r="K2442" s="11"/>
      <c r="L2442" s="11"/>
    </row>
    <row r="2443" spans="1:12" x14ac:dyDescent="0.25">
      <c r="A2443" s="1" t="s">
        <v>108</v>
      </c>
      <c r="B2443" s="1" t="s">
        <v>109</v>
      </c>
      <c r="C2443" s="1" t="s">
        <v>28</v>
      </c>
      <c r="D2443" s="1">
        <v>36.293300000000002</v>
      </c>
      <c r="E2443" s="1">
        <v>-82.497399999999999</v>
      </c>
      <c r="F2443" s="1" t="s">
        <v>1925</v>
      </c>
      <c r="G2443" s="22">
        <v>1641.6949066671352</v>
      </c>
      <c r="H2443" s="20">
        <f ca="1">NOW() - TIME(5,30,0) + (VLOOKUP(MasterTable[[#This Row],[TimeZone]], $O$3:$P$8, 2, FALSE) / 24)</f>
        <v>45990.573544791667</v>
      </c>
      <c r="I2443" s="1" t="s">
        <v>1944</v>
      </c>
      <c r="J2443" s="1">
        <v>1088.54</v>
      </c>
      <c r="K2443" s="11"/>
      <c r="L2443" s="11"/>
    </row>
    <row r="2444" spans="1:12" x14ac:dyDescent="0.25">
      <c r="A2444" s="1" t="s">
        <v>108</v>
      </c>
      <c r="B2444" s="1" t="s">
        <v>109</v>
      </c>
      <c r="C2444" s="1" t="s">
        <v>554</v>
      </c>
      <c r="D2444" s="1">
        <v>35.1541</v>
      </c>
      <c r="E2444" s="1">
        <v>-84.8596</v>
      </c>
      <c r="F2444" s="1" t="s">
        <v>1925</v>
      </c>
      <c r="G2444" s="22">
        <v>1507.9537478821203</v>
      </c>
      <c r="H2444" s="20">
        <f ca="1">NOW() - TIME(5,30,0) + (VLOOKUP(MasterTable[[#This Row],[TimeZone]], $O$3:$P$8, 2, FALSE) / 24)</f>
        <v>45990.573544791667</v>
      </c>
      <c r="I2444" s="1" t="s">
        <v>1944</v>
      </c>
      <c r="J2444" s="1">
        <v>654.38</v>
      </c>
      <c r="K2444" s="11"/>
      <c r="L2444" s="11"/>
    </row>
    <row r="2445" spans="1:12" x14ac:dyDescent="0.25">
      <c r="A2445" s="1" t="s">
        <v>108</v>
      </c>
      <c r="B2445" s="1" t="s">
        <v>109</v>
      </c>
      <c r="C2445" s="1" t="s">
        <v>573</v>
      </c>
      <c r="D2445" s="1">
        <v>35.616900000000001</v>
      </c>
      <c r="E2445" s="1">
        <v>-87.076999999999998</v>
      </c>
      <c r="F2445" s="1" t="s">
        <v>1922</v>
      </c>
      <c r="G2445" s="22">
        <v>1383.9493026417692</v>
      </c>
      <c r="H2445" s="20">
        <f ca="1">NOW() - TIME(5,30,0) + (VLOOKUP(MasterTable[[#This Row],[TimeZone]], $O$3:$P$8, 2, FALSE) / 24)</f>
        <v>45990.531878125003</v>
      </c>
      <c r="I2445" s="1" t="s">
        <v>1944</v>
      </c>
      <c r="J2445" s="1">
        <v>615.52</v>
      </c>
      <c r="K2445" s="11"/>
      <c r="L2445" s="11"/>
    </row>
    <row r="2446" spans="1:12" x14ac:dyDescent="0.25">
      <c r="A2446" s="1" t="s">
        <v>108</v>
      </c>
      <c r="B2446" s="1" t="s">
        <v>109</v>
      </c>
      <c r="C2446" s="1" t="s">
        <v>244</v>
      </c>
      <c r="D2446" s="1">
        <v>35.6081</v>
      </c>
      <c r="E2446" s="1">
        <v>-88.838499999999996</v>
      </c>
      <c r="F2446" s="1" t="s">
        <v>1922</v>
      </c>
      <c r="G2446" s="22">
        <v>1285.1460418910783</v>
      </c>
      <c r="H2446" s="20">
        <f ca="1">NOW() - TIME(5,30,0) + (VLOOKUP(MasterTable[[#This Row],[TimeZone]], $O$3:$P$8, 2, FALSE) / 24)</f>
        <v>45990.531878125003</v>
      </c>
      <c r="I2446" s="1" t="s">
        <v>1944</v>
      </c>
      <c r="J2446" s="1">
        <v>812.85</v>
      </c>
      <c r="K2446" s="11"/>
      <c r="L2446" s="11"/>
    </row>
    <row r="2447" spans="1:12" x14ac:dyDescent="0.25">
      <c r="A2447" s="1" t="s">
        <v>108</v>
      </c>
      <c r="B2447" s="1" t="s">
        <v>109</v>
      </c>
      <c r="C2447" s="1" t="s">
        <v>599</v>
      </c>
      <c r="D2447" s="1">
        <v>35.784599999999998</v>
      </c>
      <c r="E2447" s="1">
        <v>-83.524199999999993</v>
      </c>
      <c r="F2447" s="1" t="s">
        <v>1925</v>
      </c>
      <c r="G2447" s="22">
        <v>1583.5716961593055</v>
      </c>
      <c r="H2447" s="20">
        <f ca="1">NOW() - TIME(5,30,0) + (VLOOKUP(MasterTable[[#This Row],[TimeZone]], $O$3:$P$8, 2, FALSE) / 24)</f>
        <v>45990.573544791667</v>
      </c>
      <c r="I2447" s="1" t="s">
        <v>1944</v>
      </c>
      <c r="J2447" s="1">
        <v>581.35</v>
      </c>
      <c r="K2447" s="11"/>
      <c r="L2447" s="11"/>
    </row>
    <row r="2448" spans="1:12" x14ac:dyDescent="0.25">
      <c r="A2448" s="1" t="s">
        <v>108</v>
      </c>
      <c r="B2448" s="1" t="s">
        <v>109</v>
      </c>
      <c r="C2448" s="1" t="s">
        <v>604</v>
      </c>
      <c r="D2448" s="1">
        <v>36.140799999999999</v>
      </c>
      <c r="E2448" s="1">
        <v>-85.495199999999997</v>
      </c>
      <c r="F2448" s="1" t="s">
        <v>1922</v>
      </c>
      <c r="G2448" s="22">
        <v>1474.2932958751785</v>
      </c>
      <c r="H2448" s="20">
        <f ca="1">NOW() - TIME(5,30,0) + (VLOOKUP(MasterTable[[#This Row],[TimeZone]], $O$3:$P$8, 2, FALSE) / 24)</f>
        <v>45990.531878125003</v>
      </c>
      <c r="I2448" s="1" t="s">
        <v>1944</v>
      </c>
      <c r="J2448" s="1">
        <v>827.16</v>
      </c>
      <c r="K2448" s="11"/>
      <c r="L2448" s="11"/>
    </row>
    <row r="2449" spans="1:12" x14ac:dyDescent="0.25">
      <c r="A2449" s="1" t="s">
        <v>108</v>
      </c>
      <c r="B2449" s="1" t="s">
        <v>109</v>
      </c>
      <c r="C2449" s="1" t="s">
        <v>369</v>
      </c>
      <c r="D2449" s="1">
        <v>36.118499999999997</v>
      </c>
      <c r="E2449" s="1">
        <v>-84.198499999999996</v>
      </c>
      <c r="F2449" s="1" t="s">
        <v>1925</v>
      </c>
      <c r="G2449" s="22">
        <v>1546.5092771091156</v>
      </c>
      <c r="H2449" s="20">
        <f ca="1">NOW() - TIME(5,30,0) + (VLOOKUP(MasterTable[[#This Row],[TimeZone]], $O$3:$P$8, 2, FALSE) / 24)</f>
        <v>45990.573544791667</v>
      </c>
      <c r="I2449" s="1" t="s">
        <v>1944</v>
      </c>
      <c r="J2449" s="1">
        <v>584.29</v>
      </c>
      <c r="K2449" s="11"/>
      <c r="L2449" s="11"/>
    </row>
    <row r="2450" spans="1:12" x14ac:dyDescent="0.25">
      <c r="A2450" s="1" t="s">
        <v>108</v>
      </c>
      <c r="B2450" s="1" t="s">
        <v>109</v>
      </c>
      <c r="C2450" s="1" t="s">
        <v>694</v>
      </c>
      <c r="D2450" s="1">
        <v>36.525500000000001</v>
      </c>
      <c r="E2450" s="1">
        <v>-86.870599999999996</v>
      </c>
      <c r="F2450" s="1" t="s">
        <v>1922</v>
      </c>
      <c r="G2450" s="22">
        <v>1399.8642476589544</v>
      </c>
      <c r="H2450" s="20">
        <f ca="1">NOW() - TIME(5,30,0) + (VLOOKUP(MasterTable[[#This Row],[TimeZone]], $O$3:$P$8, 2, FALSE) / 24)</f>
        <v>45990.531878125003</v>
      </c>
      <c r="I2450" s="1" t="s">
        <v>1944</v>
      </c>
      <c r="J2450" s="1">
        <v>100.11</v>
      </c>
      <c r="K2450" s="11"/>
      <c r="L2450" s="11"/>
    </row>
    <row r="2451" spans="1:12" x14ac:dyDescent="0.25">
      <c r="A2451" s="1" t="s">
        <v>108</v>
      </c>
      <c r="B2451" s="1" t="s">
        <v>109</v>
      </c>
      <c r="C2451" s="1" t="s">
        <v>289</v>
      </c>
      <c r="D2451" s="1">
        <v>36.1753</v>
      </c>
      <c r="E2451" s="1">
        <v>-82.845799999999997</v>
      </c>
      <c r="F2451" s="1" t="s">
        <v>1925</v>
      </c>
      <c r="G2451" s="22">
        <v>1622.0720026457027</v>
      </c>
      <c r="H2451" s="20">
        <f ca="1">NOW() - TIME(5,30,0) + (VLOOKUP(MasterTable[[#This Row],[TimeZone]], $O$3:$P$8, 2, FALSE) / 24)</f>
        <v>45990.573544791667</v>
      </c>
      <c r="I2451" s="1" t="s">
        <v>1944</v>
      </c>
      <c r="J2451" s="1">
        <v>659.93</v>
      </c>
      <c r="K2451" s="11"/>
      <c r="L2451" s="11"/>
    </row>
    <row r="2452" spans="1:12" x14ac:dyDescent="0.25">
      <c r="A2452" s="1" t="s">
        <v>108</v>
      </c>
      <c r="B2452" s="1" t="s">
        <v>109</v>
      </c>
      <c r="C2452" s="1" t="s">
        <v>749</v>
      </c>
      <c r="D2452" s="1">
        <v>36.217100000000002</v>
      </c>
      <c r="E2452" s="1">
        <v>-83.2667</v>
      </c>
      <c r="F2452" s="1" t="s">
        <v>1925</v>
      </c>
      <c r="G2452" s="22">
        <v>1598.694590037793</v>
      </c>
      <c r="H2452" s="20">
        <f ca="1">NOW() - TIME(5,30,0) + (VLOOKUP(MasterTable[[#This Row],[TimeZone]], $O$3:$P$8, 2, FALSE) / 24)</f>
        <v>45990.573544791667</v>
      </c>
      <c r="I2452" s="1" t="s">
        <v>1944</v>
      </c>
      <c r="J2452" s="1">
        <v>175.77</v>
      </c>
      <c r="K2452" s="11"/>
      <c r="L2452" s="11"/>
    </row>
    <row r="2453" spans="1:12" x14ac:dyDescent="0.25">
      <c r="A2453" s="1" t="s">
        <v>108</v>
      </c>
      <c r="B2453" s="1" t="s">
        <v>109</v>
      </c>
      <c r="C2453" s="1" t="s">
        <v>271</v>
      </c>
      <c r="D2453" s="1">
        <v>35.950400000000002</v>
      </c>
      <c r="E2453" s="1">
        <v>-84.998400000000004</v>
      </c>
      <c r="F2453" s="1" t="s">
        <v>1922</v>
      </c>
      <c r="G2453" s="22">
        <v>1501.3886419027094</v>
      </c>
      <c r="H2453" s="20">
        <f ca="1">NOW() - TIME(5,30,0) + (VLOOKUP(MasterTable[[#This Row],[TimeZone]], $O$3:$P$8, 2, FALSE) / 24)</f>
        <v>45990.531878125003</v>
      </c>
      <c r="I2453" s="1" t="s">
        <v>1944</v>
      </c>
      <c r="J2453" s="1">
        <v>347</v>
      </c>
      <c r="K2453" s="11"/>
      <c r="L2453" s="11"/>
    </row>
    <row r="2454" spans="1:12" x14ac:dyDescent="0.25">
      <c r="A2454" s="1" t="s">
        <v>108</v>
      </c>
      <c r="B2454" s="1" t="s">
        <v>109</v>
      </c>
      <c r="C2454" s="1" t="s">
        <v>770</v>
      </c>
      <c r="D2454" s="1">
        <v>35.497300000000003</v>
      </c>
      <c r="E2454" s="1">
        <v>-89.756600000000006</v>
      </c>
      <c r="F2454" s="1" t="s">
        <v>1922</v>
      </c>
      <c r="G2454" s="22">
        <v>1233.1047373439724</v>
      </c>
      <c r="H2454" s="20">
        <f ca="1">NOW() - TIME(5,30,0) + (VLOOKUP(MasterTable[[#This Row],[TimeZone]], $O$3:$P$8, 2, FALSE) / 24)</f>
        <v>45990.531878125003</v>
      </c>
      <c r="I2454" s="1" t="s">
        <v>1944</v>
      </c>
      <c r="J2454" s="1">
        <v>260.41000000000003</v>
      </c>
      <c r="K2454" s="11"/>
      <c r="L2454" s="11"/>
    </row>
    <row r="2455" spans="1:12" x14ac:dyDescent="0.25">
      <c r="A2455" s="1" t="s">
        <v>108</v>
      </c>
      <c r="B2455" s="1" t="s">
        <v>109</v>
      </c>
      <c r="C2455" s="1" t="s">
        <v>788</v>
      </c>
      <c r="D2455" s="1">
        <v>35.490600000000001</v>
      </c>
      <c r="E2455" s="1">
        <v>-86.074799999999996</v>
      </c>
      <c r="F2455" s="1" t="s">
        <v>1922</v>
      </c>
      <c r="G2455" s="22">
        <v>1439.88083280057</v>
      </c>
      <c r="H2455" s="20">
        <f ca="1">NOW() - TIME(5,30,0) + (VLOOKUP(MasterTable[[#This Row],[TimeZone]], $O$3:$P$8, 2, FALSE) / 24)</f>
        <v>45990.531878125003</v>
      </c>
      <c r="I2455" s="1" t="s">
        <v>1944</v>
      </c>
      <c r="J2455" s="1">
        <v>680.48</v>
      </c>
      <c r="K2455" s="11"/>
      <c r="L2455" s="11"/>
    </row>
    <row r="2456" spans="1:12" x14ac:dyDescent="0.25">
      <c r="A2456" s="1" t="s">
        <v>108</v>
      </c>
      <c r="B2456" s="1" t="s">
        <v>109</v>
      </c>
      <c r="C2456" s="1" t="s">
        <v>798</v>
      </c>
      <c r="D2456" s="1">
        <v>36.441200000000002</v>
      </c>
      <c r="E2456" s="1">
        <v>-82.944699999999997</v>
      </c>
      <c r="F2456" s="1" t="s">
        <v>1925</v>
      </c>
      <c r="G2456" s="22">
        <v>1617.1452186577651</v>
      </c>
      <c r="H2456" s="20">
        <f ca="1">NOW() - TIME(5,30,0) + (VLOOKUP(MasterTable[[#This Row],[TimeZone]], $O$3:$P$8, 2, FALSE) / 24)</f>
        <v>45990.573544791667</v>
      </c>
      <c r="I2456" s="1" t="s">
        <v>1944</v>
      </c>
      <c r="J2456" s="1">
        <v>499.63</v>
      </c>
      <c r="K2456" s="11"/>
      <c r="L2456" s="11"/>
    </row>
    <row r="2457" spans="1:12" x14ac:dyDescent="0.25">
      <c r="A2457" s="1" t="s">
        <v>108</v>
      </c>
      <c r="B2457" s="1" t="s">
        <v>109</v>
      </c>
      <c r="C2457" s="1" t="s">
        <v>801</v>
      </c>
      <c r="D2457" s="1">
        <v>35.7348</v>
      </c>
      <c r="E2457" s="1">
        <v>-84.311899999999994</v>
      </c>
      <c r="F2457" s="1" t="s">
        <v>1925</v>
      </c>
      <c r="G2457" s="22">
        <v>1539.3439633456096</v>
      </c>
      <c r="H2457" s="20">
        <f ca="1">NOW() - TIME(5,30,0) + (VLOOKUP(MasterTable[[#This Row],[TimeZone]], $O$3:$P$8, 2, FALSE) / 24)</f>
        <v>45990.573544791667</v>
      </c>
      <c r="I2457" s="1" t="s">
        <v>1944</v>
      </c>
      <c r="J2457" s="1">
        <v>247.31</v>
      </c>
      <c r="K2457" s="11"/>
      <c r="L2457" s="11"/>
    </row>
    <row r="2458" spans="1:12" x14ac:dyDescent="0.25">
      <c r="A2458" s="1" t="s">
        <v>108</v>
      </c>
      <c r="B2458" s="1" t="s">
        <v>109</v>
      </c>
      <c r="C2458" s="1" t="s">
        <v>803</v>
      </c>
      <c r="D2458" s="1">
        <v>36.2928</v>
      </c>
      <c r="E2458" s="1">
        <v>-82.127499999999998</v>
      </c>
      <c r="F2458" s="1" t="s">
        <v>1925</v>
      </c>
      <c r="G2458" s="22">
        <v>1662.2886946975957</v>
      </c>
      <c r="H2458" s="20">
        <f ca="1">NOW() - TIME(5,30,0) + (VLOOKUP(MasterTable[[#This Row],[TimeZone]], $O$3:$P$8, 2, FALSE) / 24)</f>
        <v>45990.573544791667</v>
      </c>
      <c r="I2458" s="1" t="s">
        <v>1944</v>
      </c>
      <c r="J2458" s="1">
        <v>412.15</v>
      </c>
      <c r="K2458" s="11"/>
      <c r="L2458" s="11"/>
    </row>
    <row r="2459" spans="1:12" x14ac:dyDescent="0.25">
      <c r="A2459" s="1" t="s">
        <v>108</v>
      </c>
      <c r="B2459" s="1" t="s">
        <v>109</v>
      </c>
      <c r="C2459" s="1" t="s">
        <v>129</v>
      </c>
      <c r="D2459" s="1">
        <v>36.051000000000002</v>
      </c>
      <c r="E2459" s="1">
        <v>-83.446299999999994</v>
      </c>
      <c r="F2459" s="1" t="s">
        <v>1925</v>
      </c>
      <c r="G2459" s="22">
        <v>1588.3369156967219</v>
      </c>
      <c r="H2459" s="20">
        <f ca="1">NOW() - TIME(5,30,0) + (VLOOKUP(MasterTable[[#This Row],[TimeZone]], $O$3:$P$8, 2, FALSE) / 24)</f>
        <v>45990.573544791667</v>
      </c>
      <c r="I2459" s="1" t="s">
        <v>1944</v>
      </c>
      <c r="J2459" s="1">
        <v>1123.8</v>
      </c>
      <c r="K2459" s="11"/>
      <c r="L2459" s="11"/>
    </row>
    <row r="2460" spans="1:12" x14ac:dyDescent="0.25">
      <c r="A2460" s="1" t="s">
        <v>108</v>
      </c>
      <c r="B2460" s="1" t="s">
        <v>109</v>
      </c>
      <c r="C2460" s="1" t="s">
        <v>808</v>
      </c>
      <c r="D2460" s="1">
        <v>36.149000000000001</v>
      </c>
      <c r="E2460" s="1">
        <v>-87.356700000000004</v>
      </c>
      <c r="F2460" s="1" t="s">
        <v>1922</v>
      </c>
      <c r="G2460" s="22">
        <v>1370.6979434603793</v>
      </c>
      <c r="H2460" s="20">
        <f ca="1">NOW() - TIME(5,30,0) + (VLOOKUP(MasterTable[[#This Row],[TimeZone]], $O$3:$P$8, 2, FALSE) / 24)</f>
        <v>45990.531878125003</v>
      </c>
      <c r="I2460" s="1" t="s">
        <v>1944</v>
      </c>
      <c r="J2460" s="1">
        <v>491.28</v>
      </c>
      <c r="K2460" s="11"/>
      <c r="L2460" s="11"/>
    </row>
    <row r="2461" spans="1:12" x14ac:dyDescent="0.25">
      <c r="A2461" s="1" t="s">
        <v>108</v>
      </c>
      <c r="B2461" s="1" t="s">
        <v>109</v>
      </c>
      <c r="C2461" s="1" t="s">
        <v>814</v>
      </c>
      <c r="D2461" s="1">
        <v>35.847900000000003</v>
      </c>
      <c r="E2461" s="1">
        <v>-84.523200000000003</v>
      </c>
      <c r="F2461" s="1" t="s">
        <v>1925</v>
      </c>
      <c r="G2461" s="22">
        <v>1527.7172468418837</v>
      </c>
      <c r="H2461" s="20">
        <f ca="1">NOW() - TIME(5,30,0) + (VLOOKUP(MasterTable[[#This Row],[TimeZone]], $O$3:$P$8, 2, FALSE) / 24)</f>
        <v>45990.573544791667</v>
      </c>
      <c r="I2461" s="1" t="s">
        <v>1944</v>
      </c>
      <c r="J2461" s="1">
        <v>394.98</v>
      </c>
      <c r="K2461" s="11"/>
      <c r="L2461" s="11"/>
    </row>
    <row r="2462" spans="1:12" x14ac:dyDescent="0.25">
      <c r="A2462" s="1" t="s">
        <v>108</v>
      </c>
      <c r="B2462" s="1" t="s">
        <v>109</v>
      </c>
      <c r="C2462" s="1" t="s">
        <v>815</v>
      </c>
      <c r="D2462" s="1">
        <v>35.424700000000001</v>
      </c>
      <c r="E2462" s="1">
        <v>-84.617500000000007</v>
      </c>
      <c r="F2462" s="1" t="s">
        <v>1925</v>
      </c>
      <c r="G2462" s="22">
        <v>1521.7751963770613</v>
      </c>
      <c r="H2462" s="20">
        <f ca="1">NOW() - TIME(5,30,0) + (VLOOKUP(MasterTable[[#This Row],[TimeZone]], $O$3:$P$8, 2, FALSE) / 24)</f>
        <v>45990.573544791667</v>
      </c>
      <c r="I2462" s="1" t="s">
        <v>1944</v>
      </c>
      <c r="J2462" s="1">
        <v>432.22</v>
      </c>
      <c r="K2462" s="11"/>
      <c r="L2462" s="11"/>
    </row>
    <row r="2463" spans="1:12" x14ac:dyDescent="0.25">
      <c r="A2463" s="1" t="s">
        <v>108</v>
      </c>
      <c r="B2463" s="1" t="s">
        <v>109</v>
      </c>
      <c r="C2463" s="1" t="s">
        <v>669</v>
      </c>
      <c r="D2463" s="1">
        <v>35.513800000000003</v>
      </c>
      <c r="E2463" s="1">
        <v>-86.4589</v>
      </c>
      <c r="F2463" s="1" t="s">
        <v>1922</v>
      </c>
      <c r="G2463" s="22">
        <v>1418.3442546845527</v>
      </c>
      <c r="H2463" s="20">
        <f ca="1">NOW() - TIME(5,30,0) + (VLOOKUP(MasterTable[[#This Row],[TimeZone]], $O$3:$P$8, 2, FALSE) / 24)</f>
        <v>45990.531878125003</v>
      </c>
      <c r="I2463" s="1" t="s">
        <v>1944</v>
      </c>
      <c r="J2463" s="1">
        <v>1017.4</v>
      </c>
      <c r="K2463" s="11"/>
      <c r="L2463" s="11"/>
    </row>
    <row r="2464" spans="1:12" x14ac:dyDescent="0.25">
      <c r="A2464" s="1" t="s">
        <v>108</v>
      </c>
      <c r="B2464" s="1" t="s">
        <v>109</v>
      </c>
      <c r="C2464" s="1" t="s">
        <v>839</v>
      </c>
      <c r="D2464" s="1">
        <v>35.996600000000001</v>
      </c>
      <c r="E2464" s="1">
        <v>-88.932599999999994</v>
      </c>
      <c r="F2464" s="1" t="s">
        <v>1922</v>
      </c>
      <c r="G2464" s="22">
        <v>1282.1056852612423</v>
      </c>
      <c r="H2464" s="20">
        <f ca="1">NOW() - TIME(5,30,0) + (VLOOKUP(MasterTable[[#This Row],[TimeZone]], $O$3:$P$8, 2, FALSE) / 24)</f>
        <v>45990.531878125003</v>
      </c>
      <c r="I2464" s="1" t="s">
        <v>1944</v>
      </c>
      <c r="J2464" s="1">
        <v>499.05</v>
      </c>
      <c r="K2464" s="11"/>
      <c r="L2464" s="11"/>
    </row>
    <row r="2465" spans="1:12" x14ac:dyDescent="0.25">
      <c r="A2465" s="1" t="s">
        <v>108</v>
      </c>
      <c r="B2465" s="1" t="s">
        <v>109</v>
      </c>
      <c r="C2465" s="1" t="s">
        <v>135</v>
      </c>
      <c r="D2465" s="1">
        <v>35.442700000000002</v>
      </c>
      <c r="E2465" s="1">
        <v>-84.252700000000004</v>
      </c>
      <c r="F2465" s="1" t="s">
        <v>1925</v>
      </c>
      <c r="G2465" s="22">
        <v>1542.3268139957886</v>
      </c>
      <c r="H2465" s="20">
        <f ca="1">NOW() - TIME(5,30,0) + (VLOOKUP(MasterTable[[#This Row],[TimeZone]], $O$3:$P$8, 2, FALSE) / 24)</f>
        <v>45990.573544791667</v>
      </c>
      <c r="I2465" s="1" t="s">
        <v>1944</v>
      </c>
      <c r="J2465" s="1">
        <v>1034.53</v>
      </c>
      <c r="K2465" s="11"/>
      <c r="L2465" s="11"/>
    </row>
    <row r="2466" spans="1:12" x14ac:dyDescent="0.25">
      <c r="A2466" s="1" t="s">
        <v>108</v>
      </c>
      <c r="B2466" s="1" t="s">
        <v>109</v>
      </c>
      <c r="C2466" s="1" t="s">
        <v>644</v>
      </c>
      <c r="D2466" s="1">
        <v>35.217399999999998</v>
      </c>
      <c r="E2466" s="1">
        <v>-87.395600000000002</v>
      </c>
      <c r="F2466" s="1" t="s">
        <v>1922</v>
      </c>
      <c r="G2466" s="22">
        <v>1364.8548204124236</v>
      </c>
      <c r="H2466" s="20">
        <f ca="1">NOW() - TIME(5,30,0) + (VLOOKUP(MasterTable[[#This Row],[TimeZone]], $O$3:$P$8, 2, FALSE) / 24)</f>
        <v>45990.531878125003</v>
      </c>
      <c r="I2466" s="1" t="s">
        <v>1944</v>
      </c>
      <c r="J2466" s="1">
        <v>718.07</v>
      </c>
      <c r="K2466" s="11"/>
      <c r="L2466" s="11"/>
    </row>
    <row r="2467" spans="1:12" x14ac:dyDescent="0.25">
      <c r="A2467" s="1" t="s">
        <v>108</v>
      </c>
      <c r="B2467" s="1" t="s">
        <v>109</v>
      </c>
      <c r="C2467" s="1" t="s">
        <v>50</v>
      </c>
      <c r="D2467" s="1">
        <v>35.1556</v>
      </c>
      <c r="E2467" s="1">
        <v>-86.093699999999998</v>
      </c>
      <c r="F2467" s="1" t="s">
        <v>1922</v>
      </c>
      <c r="G2467" s="22">
        <v>1438.2400068833356</v>
      </c>
      <c r="H2467" s="20">
        <f ca="1">NOW() - TIME(5,30,0) + (VLOOKUP(MasterTable[[#This Row],[TimeZone]], $O$3:$P$8, 2, FALSE) / 24)</f>
        <v>45990.531878125003</v>
      </c>
      <c r="I2467" s="1" t="s">
        <v>1944</v>
      </c>
      <c r="J2467" s="1">
        <v>646.51</v>
      </c>
      <c r="K2467" s="11"/>
      <c r="L2467" s="11"/>
    </row>
    <row r="2468" spans="1:12" x14ac:dyDescent="0.25">
      <c r="A2468" s="1" t="s">
        <v>108</v>
      </c>
      <c r="B2468" s="1" t="s">
        <v>109</v>
      </c>
      <c r="C2468" s="1" t="s">
        <v>279</v>
      </c>
      <c r="D2468" s="1">
        <v>35.197000000000003</v>
      </c>
      <c r="E2468" s="1">
        <v>-89.414199999999994</v>
      </c>
      <c r="F2468" s="1" t="s">
        <v>1922</v>
      </c>
      <c r="G2468" s="22">
        <v>1250.947507499355</v>
      </c>
      <c r="H2468" s="20">
        <f ca="1">NOW() - TIME(5,30,0) + (VLOOKUP(MasterTable[[#This Row],[TimeZone]], $O$3:$P$8, 2, FALSE) / 24)</f>
        <v>45990.531878125003</v>
      </c>
      <c r="I2468" s="1" t="s">
        <v>1944</v>
      </c>
      <c r="J2468" s="1">
        <v>629.34</v>
      </c>
      <c r="K2468" s="11"/>
      <c r="L2468" s="11"/>
    </row>
    <row r="2469" spans="1:12" x14ac:dyDescent="0.25">
      <c r="A2469" s="1" t="s">
        <v>108</v>
      </c>
      <c r="B2469" s="1" t="s">
        <v>109</v>
      </c>
      <c r="C2469" s="1" t="s">
        <v>331</v>
      </c>
      <c r="D2469" s="1">
        <v>35.678699999999999</v>
      </c>
      <c r="E2469" s="1">
        <v>-85.778499999999994</v>
      </c>
      <c r="F2469" s="1" t="s">
        <v>1922</v>
      </c>
      <c r="G2469" s="22">
        <v>1456.9763031705927</v>
      </c>
      <c r="H2469" s="20">
        <f ca="1">NOW() - TIME(5,30,0) + (VLOOKUP(MasterTable[[#This Row],[TimeZone]], $O$3:$P$8, 2, FALSE) / 24)</f>
        <v>45990.531878125003</v>
      </c>
      <c r="I2469" s="1" t="s">
        <v>1944</v>
      </c>
      <c r="J2469" s="1">
        <v>286.74</v>
      </c>
      <c r="K2469" s="11"/>
      <c r="L2469" s="11"/>
    </row>
    <row r="2470" spans="1:12" x14ac:dyDescent="0.25">
      <c r="A2470" s="1" t="s">
        <v>108</v>
      </c>
      <c r="B2470" s="1" t="s">
        <v>109</v>
      </c>
      <c r="C2470" s="1" t="s">
        <v>933</v>
      </c>
      <c r="D2470" s="1">
        <v>36.261099999999999</v>
      </c>
      <c r="E2470" s="1">
        <v>-87.086799999999997</v>
      </c>
      <c r="F2470" s="1" t="s">
        <v>1922</v>
      </c>
      <c r="G2470" s="22">
        <v>1386.3179231824784</v>
      </c>
      <c r="H2470" s="20">
        <f ca="1">NOW() - TIME(5,30,0) + (VLOOKUP(MasterTable[[#This Row],[TimeZone]], $O$3:$P$8, 2, FALSE) / 24)</f>
        <v>45990.531878125003</v>
      </c>
      <c r="I2470" s="1" t="s">
        <v>1944</v>
      </c>
      <c r="J2470" s="1">
        <v>307.13</v>
      </c>
      <c r="K2470" s="11"/>
      <c r="L2470" s="11"/>
    </row>
    <row r="2471" spans="1:12" x14ac:dyDescent="0.25">
      <c r="A2471" s="1" t="s">
        <v>108</v>
      </c>
      <c r="B2471" s="1" t="s">
        <v>109</v>
      </c>
      <c r="C2471" s="1" t="s">
        <v>621</v>
      </c>
      <c r="D2471" s="1">
        <v>36.403500000000001</v>
      </c>
      <c r="E2471" s="1">
        <v>-84.1494</v>
      </c>
      <c r="F2471" s="1" t="s">
        <v>1925</v>
      </c>
      <c r="G2471" s="22">
        <v>1550.1142145655056</v>
      </c>
      <c r="H2471" s="20">
        <f ca="1">NOW() - TIME(5,30,0) + (VLOOKUP(MasterTable[[#This Row],[TimeZone]], $O$3:$P$8, 2, FALSE) / 24)</f>
        <v>45990.573544791667</v>
      </c>
      <c r="I2471" s="1" t="s">
        <v>1944</v>
      </c>
      <c r="J2471" s="1">
        <v>159.43</v>
      </c>
      <c r="K2471" s="11"/>
      <c r="L2471" s="11"/>
    </row>
    <row r="2472" spans="1:12" x14ac:dyDescent="0.25">
      <c r="A2472" s="1" t="s">
        <v>108</v>
      </c>
      <c r="B2472" s="1" t="s">
        <v>109</v>
      </c>
      <c r="C2472" s="1" t="s">
        <v>995</v>
      </c>
      <c r="D2472" s="1">
        <v>36.059199999999997</v>
      </c>
      <c r="E2472" s="1">
        <v>-89.413700000000006</v>
      </c>
      <c r="F2472" s="1" t="s">
        <v>1922</v>
      </c>
      <c r="G2472" s="22">
        <v>1255.7762760309874</v>
      </c>
      <c r="H2472" s="20">
        <f ca="1">NOW() - TIME(5,30,0) + (VLOOKUP(MasterTable[[#This Row],[TimeZone]], $O$3:$P$8, 2, FALSE) / 24)</f>
        <v>45990.531878125003</v>
      </c>
      <c r="I2472" s="1" t="s">
        <v>1944</v>
      </c>
      <c r="J2472" s="1">
        <v>526.48</v>
      </c>
      <c r="K2472" s="11"/>
      <c r="L2472" s="11"/>
    </row>
    <row r="2473" spans="1:12" x14ac:dyDescent="0.25">
      <c r="A2473" s="1" t="s">
        <v>108</v>
      </c>
      <c r="B2473" s="1" t="s">
        <v>109</v>
      </c>
      <c r="C2473" s="1" t="s">
        <v>1001</v>
      </c>
      <c r="D2473" s="1">
        <v>35.925400000000003</v>
      </c>
      <c r="E2473" s="1">
        <v>-83.121200000000002</v>
      </c>
      <c r="F2473" s="1" t="s">
        <v>1925</v>
      </c>
      <c r="G2473" s="22">
        <v>1606.3104446963619</v>
      </c>
      <c r="H2473" s="20">
        <f ca="1">NOW() - TIME(5,30,0) + (VLOOKUP(MasterTable[[#This Row],[TimeZone]], $O$3:$P$8, 2, FALSE) / 24)</f>
        <v>45990.573544791667</v>
      </c>
      <c r="I2473" s="1" t="s">
        <v>1944</v>
      </c>
      <c r="J2473" s="1">
        <v>443.15</v>
      </c>
      <c r="K2473" s="11"/>
      <c r="L2473" s="11"/>
    </row>
    <row r="2474" spans="1:12" x14ac:dyDescent="0.25">
      <c r="A2474" s="1" t="s">
        <v>108</v>
      </c>
      <c r="B2474" s="1" t="s">
        <v>109</v>
      </c>
      <c r="C2474" s="1" t="s">
        <v>632</v>
      </c>
      <c r="D2474" s="1">
        <v>35.140500000000003</v>
      </c>
      <c r="E2474" s="1">
        <v>-86.588999999999999</v>
      </c>
      <c r="F2474" s="1" t="s">
        <v>1922</v>
      </c>
      <c r="G2474" s="22">
        <v>1410.2410855325875</v>
      </c>
      <c r="H2474" s="20">
        <f ca="1">NOW() - TIME(5,30,0) + (VLOOKUP(MasterTable[[#This Row],[TimeZone]], $O$3:$P$8, 2, FALSE) / 24)</f>
        <v>45990.531878125003</v>
      </c>
      <c r="I2474" s="1" t="s">
        <v>1944</v>
      </c>
      <c r="J2474" s="1">
        <v>572.16999999999996</v>
      </c>
      <c r="K2474" s="11"/>
      <c r="L2474" s="11"/>
    </row>
    <row r="2475" spans="1:12" x14ac:dyDescent="0.25">
      <c r="A2475" s="1" t="s">
        <v>108</v>
      </c>
      <c r="B2475" s="1" t="s">
        <v>109</v>
      </c>
      <c r="C2475" s="1" t="s">
        <v>600</v>
      </c>
      <c r="D2475" s="1">
        <v>35.468899999999998</v>
      </c>
      <c r="E2475" s="1">
        <v>-86.765000000000001</v>
      </c>
      <c r="F2475" s="1" t="s">
        <v>1922</v>
      </c>
      <c r="G2475" s="22">
        <v>1401.0162238828225</v>
      </c>
      <c r="H2475" s="20">
        <f ca="1">NOW() - TIME(5,30,0) + (VLOOKUP(MasterTable[[#This Row],[TimeZone]], $O$3:$P$8, 2, FALSE) / 24)</f>
        <v>45990.531878125003</v>
      </c>
      <c r="I2475" s="1" t="s">
        <v>1944</v>
      </c>
      <c r="J2475" s="1">
        <v>623.16</v>
      </c>
      <c r="K2475" s="11"/>
      <c r="L2475" s="11"/>
    </row>
    <row r="2476" spans="1:12" x14ac:dyDescent="0.25">
      <c r="A2476" s="1" t="s">
        <v>108</v>
      </c>
      <c r="B2476" s="1" t="s">
        <v>109</v>
      </c>
      <c r="C2476" s="1" t="s">
        <v>1036</v>
      </c>
      <c r="D2476" s="1">
        <v>35.608699999999999</v>
      </c>
      <c r="E2476" s="1">
        <v>-84.924400000000006</v>
      </c>
      <c r="F2476" s="1" t="s">
        <v>1925</v>
      </c>
      <c r="G2476" s="22">
        <v>1504.7617520797969</v>
      </c>
      <c r="H2476" s="20">
        <f ca="1">NOW() - TIME(5,30,0) + (VLOOKUP(MasterTable[[#This Row],[TimeZone]], $O$3:$P$8, 2, FALSE) / 24)</f>
        <v>45990.573544791667</v>
      </c>
      <c r="I2476" s="1" t="s">
        <v>1944</v>
      </c>
      <c r="J2476" s="1">
        <v>336.39</v>
      </c>
      <c r="K2476" s="11"/>
      <c r="L2476" s="11"/>
    </row>
    <row r="2477" spans="1:12" x14ac:dyDescent="0.25">
      <c r="A2477" s="1" t="s">
        <v>108</v>
      </c>
      <c r="B2477" s="1" t="s">
        <v>109</v>
      </c>
      <c r="C2477" s="1" t="s">
        <v>1041</v>
      </c>
      <c r="D2477" s="1">
        <v>36.298299999999998</v>
      </c>
      <c r="E2477" s="1">
        <v>-88.717799999999997</v>
      </c>
      <c r="F2477" s="1" t="s">
        <v>1922</v>
      </c>
      <c r="G2477" s="22">
        <v>1296.1031596025082</v>
      </c>
      <c r="H2477" s="20">
        <f ca="1">NOW() - TIME(5,30,0) + (VLOOKUP(MasterTable[[#This Row],[TimeZone]], $O$3:$P$8, 2, FALSE) / 24)</f>
        <v>45990.531878125003</v>
      </c>
      <c r="I2477" s="1" t="s">
        <v>1944</v>
      </c>
      <c r="J2477" s="1">
        <v>581.80999999999995</v>
      </c>
      <c r="K2477" s="11"/>
      <c r="L2477" s="11"/>
    </row>
    <row r="2478" spans="1:12" x14ac:dyDescent="0.25">
      <c r="A2478" s="1" t="s">
        <v>108</v>
      </c>
      <c r="B2478" s="1" t="s">
        <v>109</v>
      </c>
      <c r="C2478" s="1" t="s">
        <v>332</v>
      </c>
      <c r="D2478" s="1">
        <v>36.331800000000001</v>
      </c>
      <c r="E2478" s="1">
        <v>-88.301299999999998</v>
      </c>
      <c r="F2478" s="1" t="s">
        <v>1922</v>
      </c>
      <c r="G2478" s="22">
        <v>1319.407643270021</v>
      </c>
      <c r="H2478" s="20">
        <f ca="1">NOW() - TIME(5,30,0) + (VLOOKUP(MasterTable[[#This Row],[TimeZone]], $O$3:$P$8, 2, FALSE) / 24)</f>
        <v>45990.531878125003</v>
      </c>
      <c r="I2478" s="1" t="s">
        <v>1944</v>
      </c>
      <c r="J2478" s="1">
        <v>568.33000000000004</v>
      </c>
      <c r="K2478" s="11"/>
      <c r="L2478" s="11"/>
    </row>
    <row r="2479" spans="1:12" x14ac:dyDescent="0.25">
      <c r="A2479" s="1" t="s">
        <v>108</v>
      </c>
      <c r="B2479" s="1" t="s">
        <v>109</v>
      </c>
      <c r="C2479" s="1" t="s">
        <v>1044</v>
      </c>
      <c r="D2479" s="1">
        <v>36.485900000000001</v>
      </c>
      <c r="E2479" s="1">
        <v>-83.660399999999996</v>
      </c>
      <c r="F2479" s="1" t="s">
        <v>1925</v>
      </c>
      <c r="G2479" s="22">
        <v>1577.5403235425549</v>
      </c>
      <c r="H2479" s="20">
        <f ca="1">NOW() - TIME(5,30,0) + (VLOOKUP(MasterTable[[#This Row],[TimeZone]], $O$3:$P$8, 2, FALSE) / 24)</f>
        <v>45990.573544791667</v>
      </c>
      <c r="I2479" s="1" t="s">
        <v>1944</v>
      </c>
      <c r="J2479" s="1">
        <v>767.55</v>
      </c>
      <c r="K2479" s="11"/>
      <c r="L2479" s="11"/>
    </row>
    <row r="2480" spans="1:12" x14ac:dyDescent="0.25">
      <c r="A2480" s="1" t="s">
        <v>108</v>
      </c>
      <c r="B2480" s="1" t="s">
        <v>109</v>
      </c>
      <c r="C2480" s="1" t="s">
        <v>1069</v>
      </c>
      <c r="D2480" s="1">
        <v>36.358199999999997</v>
      </c>
      <c r="E2480" s="1">
        <v>-89.148799999999994</v>
      </c>
      <c r="F2480" s="1" t="s">
        <v>1922</v>
      </c>
      <c r="G2480" s="22">
        <v>1272.7131281896393</v>
      </c>
      <c r="H2480" s="20">
        <f ca="1">NOW() - TIME(5,30,0) + (VLOOKUP(MasterTable[[#This Row],[TimeZone]], $O$3:$P$8, 2, FALSE) / 24)</f>
        <v>45990.531878125003</v>
      </c>
      <c r="I2480" s="1" t="s">
        <v>1944</v>
      </c>
      <c r="J2480" s="1">
        <v>555.35</v>
      </c>
      <c r="K2480" s="11"/>
      <c r="L2480" s="11"/>
    </row>
    <row r="2481" spans="1:12" x14ac:dyDescent="0.25">
      <c r="A2481" s="1" t="s">
        <v>108</v>
      </c>
      <c r="B2481" s="1" t="s">
        <v>109</v>
      </c>
      <c r="C2481" s="1" t="s">
        <v>1071</v>
      </c>
      <c r="D2481" s="1">
        <v>35.202100000000002</v>
      </c>
      <c r="E2481" s="1">
        <v>-87.034800000000004</v>
      </c>
      <c r="F2481" s="1" t="s">
        <v>1922</v>
      </c>
      <c r="G2481" s="22">
        <v>1385.1795441772081</v>
      </c>
      <c r="H2481" s="20">
        <f ca="1">NOW() - TIME(5,30,0) + (VLOOKUP(MasterTable[[#This Row],[TimeZone]], $O$3:$P$8, 2, FALSE) / 24)</f>
        <v>45990.531878125003</v>
      </c>
      <c r="I2481" s="1" t="s">
        <v>1944</v>
      </c>
      <c r="J2481" s="1">
        <v>611.16999999999996</v>
      </c>
      <c r="K2481" s="11"/>
      <c r="L2481" s="11"/>
    </row>
    <row r="2482" spans="1:12" x14ac:dyDescent="0.25">
      <c r="A2482" s="1" t="s">
        <v>108</v>
      </c>
      <c r="B2482" s="1" t="s">
        <v>109</v>
      </c>
      <c r="C2482" s="1" t="s">
        <v>88</v>
      </c>
      <c r="D2482" s="1">
        <v>35.128900000000002</v>
      </c>
      <c r="E2482" s="1">
        <v>-85.623900000000006</v>
      </c>
      <c r="F2482" s="1" t="s">
        <v>1922</v>
      </c>
      <c r="G2482" s="22">
        <v>1464.7561626303859</v>
      </c>
      <c r="H2482" s="20">
        <f ca="1">NOW() - TIME(5,30,0) + (VLOOKUP(MasterTable[[#This Row],[TimeZone]], $O$3:$P$8, 2, FALSE) / 24)</f>
        <v>45990.531878125003</v>
      </c>
      <c r="I2482" s="1" t="s">
        <v>1944</v>
      </c>
      <c r="J2482" s="1">
        <v>743.57</v>
      </c>
      <c r="K2482" s="11"/>
      <c r="L2482" s="11"/>
    </row>
    <row r="2483" spans="1:12" x14ac:dyDescent="0.25">
      <c r="A2483" s="1" t="s">
        <v>108</v>
      </c>
      <c r="B2483" s="1" t="s">
        <v>109</v>
      </c>
      <c r="C2483" s="1" t="s">
        <v>418</v>
      </c>
      <c r="D2483" s="1">
        <v>35.973199999999999</v>
      </c>
      <c r="E2483" s="1">
        <v>-88.450299999999999</v>
      </c>
      <c r="F2483" s="1" t="s">
        <v>1922</v>
      </c>
      <c r="G2483" s="22">
        <v>1308.8201297728324</v>
      </c>
      <c r="H2483" s="20">
        <f ca="1">NOW() - TIME(5,30,0) + (VLOOKUP(MasterTable[[#This Row],[TimeZone]], $O$3:$P$8, 2, FALSE) / 24)</f>
        <v>45990.531878125003</v>
      </c>
      <c r="I2483" s="1" t="s">
        <v>1944</v>
      </c>
      <c r="J2483" s="1">
        <v>638.80999999999995</v>
      </c>
      <c r="K2483" s="11"/>
      <c r="L2483" s="11"/>
    </row>
    <row r="2484" spans="1:12" x14ac:dyDescent="0.25">
      <c r="A2484" s="1" t="s">
        <v>108</v>
      </c>
      <c r="B2484" s="1" t="s">
        <v>109</v>
      </c>
      <c r="C2484" s="1" t="s">
        <v>535</v>
      </c>
      <c r="D2484" s="1">
        <v>35.654200000000003</v>
      </c>
      <c r="E2484" s="1">
        <v>-88.388000000000005</v>
      </c>
      <c r="F2484" s="1" t="s">
        <v>1922</v>
      </c>
      <c r="G2484" s="22">
        <v>1310.6077905182376</v>
      </c>
      <c r="H2484" s="20">
        <f ca="1">NOW() - TIME(5,30,0) + (VLOOKUP(MasterTable[[#This Row],[TimeZone]], $O$3:$P$8, 2, FALSE) / 24)</f>
        <v>45990.531878125003</v>
      </c>
      <c r="I2484" s="1" t="s">
        <v>1944</v>
      </c>
      <c r="J2484" s="1">
        <v>395.12</v>
      </c>
      <c r="K2484" s="11"/>
      <c r="L2484" s="11"/>
    </row>
    <row r="2485" spans="1:12" x14ac:dyDescent="0.25">
      <c r="A2485" s="1" t="s">
        <v>108</v>
      </c>
      <c r="B2485" s="1" t="s">
        <v>109</v>
      </c>
      <c r="C2485" s="1" t="s">
        <v>682</v>
      </c>
      <c r="D2485" s="1">
        <v>35.926400000000001</v>
      </c>
      <c r="E2485" s="1">
        <v>-85.455200000000005</v>
      </c>
      <c r="F2485" s="1" t="s">
        <v>1922</v>
      </c>
      <c r="G2485" s="22">
        <v>1475.7855526227395</v>
      </c>
      <c r="H2485" s="20">
        <f ca="1">NOW() - TIME(5,30,0) + (VLOOKUP(MasterTable[[#This Row],[TimeZone]], $O$3:$P$8, 2, FALSE) / 24)</f>
        <v>45990.531878125003</v>
      </c>
      <c r="I2485" s="1" t="s">
        <v>1944</v>
      </c>
      <c r="J2485" s="1">
        <v>1042.3599999999999</v>
      </c>
      <c r="K2485" s="11"/>
      <c r="L2485" s="11"/>
    </row>
    <row r="2486" spans="1:12" x14ac:dyDescent="0.25">
      <c r="A2486" s="1" t="s">
        <v>108</v>
      </c>
      <c r="B2486" s="1" t="s">
        <v>109</v>
      </c>
      <c r="C2486" s="1" t="s">
        <v>551</v>
      </c>
      <c r="D2486" s="1">
        <v>35.198700000000002</v>
      </c>
      <c r="E2486" s="1">
        <v>-88.1845</v>
      </c>
      <c r="F2486" s="1" t="s">
        <v>1922</v>
      </c>
      <c r="G2486" s="22">
        <v>1320.2992659354838</v>
      </c>
      <c r="H2486" s="20">
        <f ca="1">NOW() - TIME(5,30,0) + (VLOOKUP(MasterTable[[#This Row],[TimeZone]], $O$3:$P$8, 2, FALSE) / 24)</f>
        <v>45990.531878125003</v>
      </c>
      <c r="I2486" s="1" t="s">
        <v>1944</v>
      </c>
      <c r="J2486" s="1">
        <v>181.53</v>
      </c>
      <c r="K2486" s="11"/>
      <c r="L2486" s="11"/>
    </row>
    <row r="2487" spans="1:12" x14ac:dyDescent="0.25">
      <c r="A2487" s="1" t="s">
        <v>108</v>
      </c>
      <c r="B2487" s="1" t="s">
        <v>109</v>
      </c>
      <c r="C2487" s="1" t="s">
        <v>1146</v>
      </c>
      <c r="D2487" s="1">
        <v>35.1755</v>
      </c>
      <c r="E2487" s="1">
        <v>-88.563599999999994</v>
      </c>
      <c r="F2487" s="1" t="s">
        <v>1922</v>
      </c>
      <c r="G2487" s="22">
        <v>1298.8407221836867</v>
      </c>
      <c r="H2487" s="20">
        <f ca="1">NOW() - TIME(5,30,0) + (VLOOKUP(MasterTable[[#This Row],[TimeZone]], $O$3:$P$8, 2, FALSE) / 24)</f>
        <v>45990.531878125003</v>
      </c>
      <c r="I2487" s="1" t="s">
        <v>1944</v>
      </c>
      <c r="J2487" s="1">
        <v>560.84</v>
      </c>
      <c r="K2487" s="11"/>
      <c r="L2487" s="11"/>
    </row>
    <row r="2488" spans="1:12" x14ac:dyDescent="0.25">
      <c r="A2488" s="1" t="s">
        <v>108</v>
      </c>
      <c r="B2488" s="1" t="s">
        <v>109</v>
      </c>
      <c r="C2488" s="1" t="s">
        <v>583</v>
      </c>
      <c r="D2488" s="1">
        <v>36.531999999999996</v>
      </c>
      <c r="E2488" s="1">
        <v>-86.007300000000001</v>
      </c>
      <c r="F2488" s="1" t="s">
        <v>1922</v>
      </c>
      <c r="G2488" s="22">
        <v>1447.6635342755519</v>
      </c>
      <c r="H2488" s="20">
        <f ca="1">NOW() - TIME(5,30,0) + (VLOOKUP(MasterTable[[#This Row],[TimeZone]], $O$3:$P$8, 2, FALSE) / 24)</f>
        <v>45990.531878125003</v>
      </c>
      <c r="I2488" s="1" t="s">
        <v>1944</v>
      </c>
      <c r="J2488" s="1">
        <v>613.24</v>
      </c>
      <c r="K2488" s="11"/>
      <c r="L2488" s="11"/>
    </row>
    <row r="2489" spans="1:12" x14ac:dyDescent="0.25">
      <c r="A2489" s="1" t="s">
        <v>108</v>
      </c>
      <c r="B2489" s="1" t="s">
        <v>109</v>
      </c>
      <c r="C2489" s="1" t="s">
        <v>1156</v>
      </c>
      <c r="D2489" s="1">
        <v>35.206800000000001</v>
      </c>
      <c r="E2489" s="1">
        <v>-88.993099999999998</v>
      </c>
      <c r="F2489" s="1" t="s">
        <v>1922</v>
      </c>
      <c r="G2489" s="22">
        <v>1274.7244169878134</v>
      </c>
      <c r="H2489" s="20">
        <f ca="1">NOW() - TIME(5,30,0) + (VLOOKUP(MasterTable[[#This Row],[TimeZone]], $O$3:$P$8, 2, FALSE) / 24)</f>
        <v>45990.531878125003</v>
      </c>
      <c r="I2489" s="1" t="s">
        <v>1944</v>
      </c>
      <c r="J2489" s="1">
        <v>670.39</v>
      </c>
      <c r="K2489" s="11"/>
      <c r="L2489" s="11"/>
    </row>
    <row r="2490" spans="1:12" x14ac:dyDescent="0.25">
      <c r="A2490" s="1" t="s">
        <v>108</v>
      </c>
      <c r="B2490" s="1" t="s">
        <v>109</v>
      </c>
      <c r="C2490" s="1" t="s">
        <v>1164</v>
      </c>
      <c r="D2490" s="1">
        <v>35.803199999999997</v>
      </c>
      <c r="E2490" s="1">
        <v>-87.473299999999995</v>
      </c>
      <c r="F2490" s="1" t="s">
        <v>1922</v>
      </c>
      <c r="G2490" s="22">
        <v>1362.4845162186944</v>
      </c>
      <c r="H2490" s="20">
        <f ca="1">NOW() - TIME(5,30,0) + (VLOOKUP(MasterTable[[#This Row],[TimeZone]], $O$3:$P$8, 2, FALSE) / 24)</f>
        <v>45990.531878125003</v>
      </c>
      <c r="I2490" s="1" t="s">
        <v>1944</v>
      </c>
      <c r="J2490" s="1">
        <v>252.94</v>
      </c>
      <c r="K2490" s="11"/>
      <c r="L2490" s="11"/>
    </row>
    <row r="2491" spans="1:12" x14ac:dyDescent="0.25">
      <c r="A2491" s="1" t="s">
        <v>108</v>
      </c>
      <c r="B2491" s="1" t="s">
        <v>109</v>
      </c>
      <c r="C2491" s="1" t="s">
        <v>615</v>
      </c>
      <c r="D2491" s="1">
        <v>35.7605</v>
      </c>
      <c r="E2491" s="1">
        <v>-89.630499999999998</v>
      </c>
      <c r="F2491" s="1" t="s">
        <v>1922</v>
      </c>
      <c r="G2491" s="22">
        <v>1241.6978242568073</v>
      </c>
      <c r="H2491" s="20">
        <f ca="1">NOW() - TIME(5,30,0) + (VLOOKUP(MasterTable[[#This Row],[TimeZone]], $O$3:$P$8, 2, FALSE) / 24)</f>
        <v>45990.531878125003</v>
      </c>
      <c r="I2491" s="1" t="s">
        <v>1944</v>
      </c>
      <c r="J2491" s="1">
        <v>718.78</v>
      </c>
      <c r="K2491" s="11"/>
      <c r="L2491" s="11"/>
    </row>
    <row r="2492" spans="1:12" x14ac:dyDescent="0.25">
      <c r="A2492" s="1" t="s">
        <v>108</v>
      </c>
      <c r="B2492" s="1" t="s">
        <v>109</v>
      </c>
      <c r="C2492" s="1" t="s">
        <v>1190</v>
      </c>
      <c r="D2492" s="1">
        <v>36.276299999999999</v>
      </c>
      <c r="E2492" s="1">
        <v>-83.509600000000006</v>
      </c>
      <c r="F2492" s="1" t="s">
        <v>1925</v>
      </c>
      <c r="G2492" s="22">
        <v>1585.3082223385238</v>
      </c>
      <c r="H2492" s="20">
        <f ca="1">NOW() - TIME(5,30,0) + (VLOOKUP(MasterTable[[#This Row],[TimeZone]], $O$3:$P$8, 2, FALSE) / 24)</f>
        <v>45990.573544791667</v>
      </c>
      <c r="I2492" s="1" t="s">
        <v>1944</v>
      </c>
      <c r="J2492" s="1">
        <v>302.44</v>
      </c>
      <c r="K2492" s="11"/>
      <c r="L2492" s="11"/>
    </row>
    <row r="2493" spans="1:12" x14ac:dyDescent="0.25">
      <c r="A2493" s="1" t="s">
        <v>108</v>
      </c>
      <c r="B2493" s="1" t="s">
        <v>109</v>
      </c>
      <c r="C2493" s="1" t="s">
        <v>1210</v>
      </c>
      <c r="D2493" s="1">
        <v>36.344999999999999</v>
      </c>
      <c r="E2493" s="1">
        <v>-85.2881</v>
      </c>
      <c r="F2493" s="1" t="s">
        <v>1922</v>
      </c>
      <c r="G2493" s="22">
        <v>1486.6366034230236</v>
      </c>
      <c r="H2493" s="20">
        <f ca="1">NOW() - TIME(5,30,0) + (VLOOKUP(MasterTable[[#This Row],[TimeZone]], $O$3:$P$8, 2, FALSE) / 24)</f>
        <v>45990.531878125003</v>
      </c>
      <c r="I2493" s="1" t="s">
        <v>1944</v>
      </c>
      <c r="J2493" s="1">
        <v>434.82</v>
      </c>
      <c r="K2493" s="11"/>
      <c r="L2493" s="11"/>
    </row>
    <row r="2494" spans="1:12" x14ac:dyDescent="0.25">
      <c r="A2494" s="1" t="s">
        <v>108</v>
      </c>
      <c r="B2494" s="1" t="s">
        <v>109</v>
      </c>
      <c r="C2494" s="1" t="s">
        <v>419</v>
      </c>
      <c r="D2494" s="1">
        <v>36.4285</v>
      </c>
      <c r="E2494" s="1">
        <v>-84.503500000000003</v>
      </c>
      <c r="F2494" s="1" t="s">
        <v>1925</v>
      </c>
      <c r="G2494" s="22">
        <v>1530.5429300021035</v>
      </c>
      <c r="H2494" s="20">
        <f ca="1">NOW() - TIME(5,30,0) + (VLOOKUP(MasterTable[[#This Row],[TimeZone]], $O$3:$P$8, 2, FALSE) / 24)</f>
        <v>45990.573544791667</v>
      </c>
      <c r="I2494" s="1" t="s">
        <v>1944</v>
      </c>
      <c r="J2494" s="1">
        <v>898.09</v>
      </c>
      <c r="K2494" s="11"/>
      <c r="L2494" s="11"/>
    </row>
    <row r="2495" spans="1:12" x14ac:dyDescent="0.25">
      <c r="A2495" s="1" t="s">
        <v>108</v>
      </c>
      <c r="B2495" s="1" t="s">
        <v>109</v>
      </c>
      <c r="C2495" s="1" t="s">
        <v>521</v>
      </c>
      <c r="D2495" s="1">
        <v>36.134999999999998</v>
      </c>
      <c r="E2495" s="1">
        <v>-84.649199999999993</v>
      </c>
      <c r="F2495" s="1" t="s">
        <v>1925</v>
      </c>
      <c r="G2495" s="22">
        <v>1521.4242804489807</v>
      </c>
      <c r="H2495" s="20">
        <f ca="1">NOW() - TIME(5,30,0) + (VLOOKUP(MasterTable[[#This Row],[TimeZone]], $O$3:$P$8, 2, FALSE) / 24)</f>
        <v>45990.573544791667</v>
      </c>
      <c r="I2495" s="1" t="s">
        <v>1944</v>
      </c>
      <c r="J2495" s="1">
        <v>599.05999999999995</v>
      </c>
      <c r="K2495" s="11"/>
      <c r="L2495" s="11"/>
    </row>
    <row r="2496" spans="1:12" x14ac:dyDescent="0.25">
      <c r="A2496" s="1" t="s">
        <v>108</v>
      </c>
      <c r="B2496" s="1" t="s">
        <v>109</v>
      </c>
      <c r="C2496" s="1" t="s">
        <v>133</v>
      </c>
      <c r="D2496" s="1">
        <v>35.979900000000001</v>
      </c>
      <c r="E2496" s="1">
        <v>-85.832800000000006</v>
      </c>
      <c r="F2496" s="1" t="s">
        <v>1922</v>
      </c>
      <c r="G2496" s="22">
        <v>1454.86843342831</v>
      </c>
      <c r="H2496" s="20">
        <f ca="1">NOW() - TIME(5,30,0) + (VLOOKUP(MasterTable[[#This Row],[TimeZone]], $O$3:$P$8, 2, FALSE) / 24)</f>
        <v>45990.531878125003</v>
      </c>
      <c r="I2496" s="1" t="s">
        <v>1944</v>
      </c>
      <c r="J2496" s="1">
        <v>778.65</v>
      </c>
      <c r="K2496" s="11"/>
      <c r="L2496" s="11"/>
    </row>
    <row r="2497" spans="1:12" x14ac:dyDescent="0.25">
      <c r="A2497" s="1" t="s">
        <v>108</v>
      </c>
      <c r="B2497" s="1" t="s">
        <v>109</v>
      </c>
      <c r="C2497" s="1" t="s">
        <v>338</v>
      </c>
      <c r="D2497" s="1">
        <v>36.250500000000002</v>
      </c>
      <c r="E2497" s="1">
        <v>-85.956699999999998</v>
      </c>
      <c r="F2497" s="1" t="s">
        <v>1922</v>
      </c>
      <c r="G2497" s="22">
        <v>1449.0630329848811</v>
      </c>
      <c r="H2497" s="20">
        <f ca="1">NOW() - TIME(5,30,0) + (VLOOKUP(MasterTable[[#This Row],[TimeZone]], $O$3:$P$8, 2, FALSE) / 24)</f>
        <v>45990.531878125003</v>
      </c>
      <c r="I2497" s="1" t="s">
        <v>1944</v>
      </c>
      <c r="J2497" s="1">
        <v>896.53</v>
      </c>
      <c r="K2497" s="11"/>
      <c r="L2497" s="11"/>
    </row>
    <row r="2498" spans="1:12" x14ac:dyDescent="0.25">
      <c r="A2498" s="1" t="s">
        <v>108</v>
      </c>
      <c r="B2498" s="1" t="s">
        <v>109</v>
      </c>
      <c r="C2498" s="1" t="s">
        <v>177</v>
      </c>
      <c r="D2498" s="1">
        <v>36.2879</v>
      </c>
      <c r="E2498" s="1">
        <v>-83.837500000000006</v>
      </c>
      <c r="F2498" s="1" t="s">
        <v>1925</v>
      </c>
      <c r="G2498" s="22">
        <v>1567.089660569068</v>
      </c>
      <c r="H2498" s="20">
        <f ca="1">NOW() - TIME(5,30,0) + (VLOOKUP(MasterTable[[#This Row],[TimeZone]], $O$3:$P$8, 2, FALSE) / 24)</f>
        <v>45990.573544791667</v>
      </c>
      <c r="I2498" s="1" t="s">
        <v>1944</v>
      </c>
      <c r="J2498" s="1">
        <v>1055.27</v>
      </c>
      <c r="K2498" s="11"/>
      <c r="L2498" s="11"/>
    </row>
    <row r="2499" spans="1:12" x14ac:dyDescent="0.25">
      <c r="A2499" s="1" t="s">
        <v>108</v>
      </c>
      <c r="B2499" s="1" t="s">
        <v>109</v>
      </c>
      <c r="C2499" s="1" t="s">
        <v>1295</v>
      </c>
      <c r="D2499" s="1">
        <v>36.040799999999997</v>
      </c>
      <c r="E2499" s="1">
        <v>-87.775599999999997</v>
      </c>
      <c r="F2499" s="1" t="s">
        <v>1922</v>
      </c>
      <c r="G2499" s="22">
        <v>1346.7898136497377</v>
      </c>
      <c r="H2499" s="20">
        <f ca="1">NOW() - TIME(5,30,0) + (VLOOKUP(MasterTable[[#This Row],[TimeZone]], $O$3:$P$8, 2, FALSE) / 24)</f>
        <v>45990.531878125003</v>
      </c>
      <c r="I2499" s="1" t="s">
        <v>1944</v>
      </c>
      <c r="J2499" s="1">
        <v>431.16</v>
      </c>
      <c r="K2499" s="11"/>
      <c r="L2499" s="11"/>
    </row>
    <row r="2500" spans="1:12" x14ac:dyDescent="0.25">
      <c r="A2500" s="1" t="s">
        <v>108</v>
      </c>
      <c r="B2500" s="1" t="s">
        <v>109</v>
      </c>
      <c r="C2500" s="1" t="s">
        <v>1300</v>
      </c>
      <c r="D2500" s="1">
        <v>36.380499999999998</v>
      </c>
      <c r="E2500" s="1">
        <v>-84.932400000000001</v>
      </c>
      <c r="F2500" s="1" t="s">
        <v>1922</v>
      </c>
      <c r="G2500" s="22">
        <v>1506.5403063153151</v>
      </c>
      <c r="H2500" s="20">
        <f ca="1">NOW() - TIME(5,30,0) + (VLOOKUP(MasterTable[[#This Row],[TimeZone]], $O$3:$P$8, 2, FALSE) / 24)</f>
        <v>45990.531878125003</v>
      </c>
      <c r="I2500" s="1" t="s">
        <v>1944</v>
      </c>
      <c r="J2500" s="1">
        <v>498.97</v>
      </c>
      <c r="K2500" s="11"/>
      <c r="L2500" s="11"/>
    </row>
    <row r="2501" spans="1:12" x14ac:dyDescent="0.25">
      <c r="A2501" s="1" t="s">
        <v>108</v>
      </c>
      <c r="B2501" s="1" t="s">
        <v>109</v>
      </c>
      <c r="C2501" s="1" t="s">
        <v>165</v>
      </c>
      <c r="D2501" s="1">
        <v>36.454900000000002</v>
      </c>
      <c r="E2501" s="1">
        <v>-81.851799999999997</v>
      </c>
      <c r="F2501" s="1" t="s">
        <v>1925</v>
      </c>
      <c r="G2501" s="22">
        <v>1677.8900250750848</v>
      </c>
      <c r="H2501" s="20">
        <f ca="1">NOW() - TIME(5,30,0) + (VLOOKUP(MasterTable[[#This Row],[TimeZone]], $O$3:$P$8, 2, FALSE) / 24)</f>
        <v>45990.573544791667</v>
      </c>
      <c r="I2501" s="1" t="s">
        <v>1944</v>
      </c>
      <c r="J2501" s="1">
        <v>682.74</v>
      </c>
      <c r="K2501" s="11"/>
      <c r="L2501" s="11"/>
    </row>
    <row r="2502" spans="1:12" x14ac:dyDescent="0.25">
      <c r="A2502" s="1" t="s">
        <v>108</v>
      </c>
      <c r="B2502" s="1" t="s">
        <v>109</v>
      </c>
      <c r="C2502" s="1" t="s">
        <v>1329</v>
      </c>
      <c r="D2502" s="1">
        <v>36.110700000000001</v>
      </c>
      <c r="E2502" s="1">
        <v>-82.432299999999998</v>
      </c>
      <c r="F2502" s="1" t="s">
        <v>1925</v>
      </c>
      <c r="G2502" s="22">
        <v>1645.0415378512819</v>
      </c>
      <c r="H2502" s="20">
        <f ca="1">NOW() - TIME(5,30,0) + (VLOOKUP(MasterTable[[#This Row],[TimeZone]], $O$3:$P$8, 2, FALSE) / 24)</f>
        <v>45990.573544791667</v>
      </c>
      <c r="I2502" s="1" t="s">
        <v>1944</v>
      </c>
      <c r="J2502" s="1">
        <v>186.49</v>
      </c>
      <c r="K2502" s="11"/>
      <c r="L2502" s="11"/>
    </row>
    <row r="2503" spans="1:12" x14ac:dyDescent="0.25">
      <c r="A2503" s="1" t="s">
        <v>108</v>
      </c>
      <c r="B2503" s="1" t="s">
        <v>109</v>
      </c>
      <c r="C2503" s="1" t="s">
        <v>134</v>
      </c>
      <c r="D2503" s="1">
        <v>35.119900000000001</v>
      </c>
      <c r="E2503" s="1">
        <v>-84.523300000000006</v>
      </c>
      <c r="F2503" s="1" t="s">
        <v>1925</v>
      </c>
      <c r="G2503" s="22">
        <v>1526.9523774942677</v>
      </c>
      <c r="H2503" s="20">
        <f ca="1">NOW() - TIME(5,30,0) + (VLOOKUP(MasterTable[[#This Row],[TimeZone]], $O$3:$P$8, 2, FALSE) / 24)</f>
        <v>45990.573544791667</v>
      </c>
      <c r="I2503" s="1" t="s">
        <v>1944</v>
      </c>
      <c r="J2503" s="1">
        <v>862.42</v>
      </c>
      <c r="K2503" s="11"/>
      <c r="L2503" s="11"/>
    </row>
    <row r="2504" spans="1:12" x14ac:dyDescent="0.25">
      <c r="A2504" s="1" t="s">
        <v>108</v>
      </c>
      <c r="B2504" s="1" t="s">
        <v>109</v>
      </c>
      <c r="C2504" s="1" t="s">
        <v>764</v>
      </c>
      <c r="D2504" s="1">
        <v>35.583199999999998</v>
      </c>
      <c r="E2504" s="1">
        <v>-89.283799999999999</v>
      </c>
      <c r="F2504" s="1" t="s">
        <v>1922</v>
      </c>
      <c r="G2504" s="22">
        <v>1260.0675828500425</v>
      </c>
      <c r="H2504" s="20">
        <f ca="1">NOW() - TIME(5,30,0) + (VLOOKUP(MasterTable[[#This Row],[TimeZone]], $O$3:$P$8, 2, FALSE) / 24)</f>
        <v>45990.531878125003</v>
      </c>
      <c r="I2504" s="1" t="s">
        <v>1944</v>
      </c>
      <c r="J2504" s="1">
        <v>554.62</v>
      </c>
      <c r="K2504" s="11"/>
      <c r="L2504" s="11"/>
    </row>
    <row r="2505" spans="1:12" x14ac:dyDescent="0.25">
      <c r="A2505" s="1" t="s">
        <v>108</v>
      </c>
      <c r="B2505" s="1" t="s">
        <v>109</v>
      </c>
      <c r="C2505" s="1" t="s">
        <v>186</v>
      </c>
      <c r="D2505" s="1">
        <v>35.421700000000001</v>
      </c>
      <c r="E2505" s="1">
        <v>-88.613500000000002</v>
      </c>
      <c r="F2505" s="1" t="s">
        <v>1922</v>
      </c>
      <c r="G2505" s="22">
        <v>1296.9284046655789</v>
      </c>
      <c r="H2505" s="20">
        <f ca="1">NOW() - TIME(5,30,0) + (VLOOKUP(MasterTable[[#This Row],[TimeZone]], $O$3:$P$8, 2, FALSE) / 24)</f>
        <v>45990.531878125003</v>
      </c>
      <c r="I2505" s="1" t="s">
        <v>1944</v>
      </c>
      <c r="J2505" s="1">
        <v>759.81</v>
      </c>
      <c r="K2505" s="11"/>
      <c r="L2505" s="11"/>
    </row>
    <row r="2506" spans="1:12" x14ac:dyDescent="0.25">
      <c r="A2506" s="1" t="s">
        <v>108</v>
      </c>
      <c r="B2506" s="1" t="s">
        <v>109</v>
      </c>
      <c r="C2506" s="1" t="s">
        <v>1368</v>
      </c>
      <c r="D2506" s="1">
        <v>35.371200000000002</v>
      </c>
      <c r="E2506" s="1">
        <v>-85.410600000000002</v>
      </c>
      <c r="F2506" s="1" t="s">
        <v>1922</v>
      </c>
      <c r="G2506" s="22">
        <v>1477.04883215311</v>
      </c>
      <c r="H2506" s="20">
        <f ca="1">NOW() - TIME(5,30,0) + (VLOOKUP(MasterTable[[#This Row],[TimeZone]], $O$3:$P$8, 2, FALSE) / 24)</f>
        <v>45990.531878125003</v>
      </c>
      <c r="I2506" s="1" t="s">
        <v>1944</v>
      </c>
      <c r="J2506" s="1">
        <v>266.02</v>
      </c>
      <c r="K2506" s="11"/>
      <c r="L2506" s="11"/>
    </row>
    <row r="2507" spans="1:12" x14ac:dyDescent="0.25">
      <c r="A2507" s="1" t="s">
        <v>108</v>
      </c>
      <c r="B2507" s="1" t="s">
        <v>109</v>
      </c>
      <c r="C2507" s="1" t="s">
        <v>34</v>
      </c>
      <c r="D2507" s="1">
        <v>35.239899999999999</v>
      </c>
      <c r="E2507" s="1">
        <v>-87.787999999999997</v>
      </c>
      <c r="F2507" s="1" t="s">
        <v>1922</v>
      </c>
      <c r="G2507" s="22">
        <v>1342.7803438850099</v>
      </c>
      <c r="H2507" s="20">
        <f ca="1">NOW() - TIME(5,30,0) + (VLOOKUP(MasterTable[[#This Row],[TimeZone]], $O$3:$P$8, 2, FALSE) / 24)</f>
        <v>45990.531878125003</v>
      </c>
      <c r="I2507" s="1" t="s">
        <v>1944</v>
      </c>
      <c r="J2507" s="1">
        <v>648.79999999999995</v>
      </c>
      <c r="K2507" s="11"/>
      <c r="L2507" s="11"/>
    </row>
    <row r="2508" spans="1:12" x14ac:dyDescent="0.25">
      <c r="A2508" s="1" t="s">
        <v>108</v>
      </c>
      <c r="B2508" s="1" t="s">
        <v>109</v>
      </c>
      <c r="C2508" s="1" t="s">
        <v>298</v>
      </c>
      <c r="D2508" s="1">
        <v>36.069800000000001</v>
      </c>
      <c r="E2508" s="1">
        <v>-88.068299999999994</v>
      </c>
      <c r="F2508" s="1" t="s">
        <v>1922</v>
      </c>
      <c r="G2508" s="22">
        <v>1330.6590402680558</v>
      </c>
      <c r="H2508" s="20">
        <f ca="1">NOW() - TIME(5,30,0) + (VLOOKUP(MasterTable[[#This Row],[TimeZone]], $O$3:$P$8, 2, FALSE) / 24)</f>
        <v>45990.531878125003</v>
      </c>
      <c r="I2508" s="1" t="s">
        <v>1944</v>
      </c>
      <c r="J2508" s="1">
        <v>880.24</v>
      </c>
      <c r="K2508" s="11"/>
      <c r="L2508" s="11"/>
    </row>
    <row r="2509" spans="1:12" x14ac:dyDescent="0.25">
      <c r="A2509" s="1" t="s">
        <v>108</v>
      </c>
      <c r="B2509" s="1" t="s">
        <v>109</v>
      </c>
      <c r="C2509" s="1" t="s">
        <v>1405</v>
      </c>
      <c r="D2509" s="1">
        <v>35.596400000000003</v>
      </c>
      <c r="E2509" s="1">
        <v>-85.205100000000002</v>
      </c>
      <c r="F2509" s="1" t="s">
        <v>1922</v>
      </c>
      <c r="G2509" s="22">
        <v>1488.9747804422921</v>
      </c>
      <c r="H2509" s="20">
        <f ca="1">NOW() - TIME(5,30,0) + (VLOOKUP(MasterTable[[#This Row],[TimeZone]], $O$3:$P$8, 2, FALSE) / 24)</f>
        <v>45990.531878125003</v>
      </c>
      <c r="I2509" s="1" t="s">
        <v>1944</v>
      </c>
      <c r="J2509" s="1">
        <v>406.71</v>
      </c>
      <c r="K2509" s="11"/>
      <c r="L2509" s="11"/>
    </row>
    <row r="2510" spans="1:12" x14ac:dyDescent="0.25">
      <c r="A2510" s="1" t="s">
        <v>108</v>
      </c>
      <c r="B2510" s="1" t="s">
        <v>109</v>
      </c>
      <c r="C2510" s="1" t="s">
        <v>1411</v>
      </c>
      <c r="D2510" s="1">
        <v>35.808700000000002</v>
      </c>
      <c r="E2510" s="1">
        <v>-86.061800000000005</v>
      </c>
      <c r="F2510" s="1" t="s">
        <v>1922</v>
      </c>
      <c r="G2510" s="22">
        <v>1441.481598755506</v>
      </c>
      <c r="H2510" s="20">
        <f ca="1">NOW() - TIME(5,30,0) + (VLOOKUP(MasterTable[[#This Row],[TimeZone]], $O$3:$P$8, 2, FALSE) / 24)</f>
        <v>45990.531878125003</v>
      </c>
      <c r="I2510" s="1" t="s">
        <v>1944</v>
      </c>
      <c r="J2510" s="1">
        <v>265.70999999999998</v>
      </c>
      <c r="K2510" s="11"/>
      <c r="L2510" s="11"/>
    </row>
    <row r="2511" spans="1:12" x14ac:dyDescent="0.25">
      <c r="A2511" s="1" t="s">
        <v>108</v>
      </c>
      <c r="B2511" s="1" t="s">
        <v>109</v>
      </c>
      <c r="C2511" s="1" t="s">
        <v>1439</v>
      </c>
      <c r="D2511" s="1">
        <v>35.813499999999998</v>
      </c>
      <c r="E2511" s="1">
        <v>-89.139499999999998</v>
      </c>
      <c r="F2511" s="1" t="s">
        <v>1922</v>
      </c>
      <c r="G2511" s="22">
        <v>1269.4354401097453</v>
      </c>
      <c r="H2511" s="20">
        <f ca="1">NOW() - TIME(5,30,0) + (VLOOKUP(MasterTable[[#This Row],[TimeZone]], $O$3:$P$8, 2, FALSE) / 24)</f>
        <v>45990.531878125003</v>
      </c>
      <c r="I2511" s="1" t="s">
        <v>1944</v>
      </c>
      <c r="J2511" s="1">
        <v>265.47000000000003</v>
      </c>
      <c r="K2511" s="11"/>
      <c r="L2511" s="11"/>
    </row>
    <row r="2512" spans="1:12" x14ac:dyDescent="0.25">
      <c r="A2512" s="1" t="s">
        <v>108</v>
      </c>
      <c r="B2512" s="1" t="s">
        <v>109</v>
      </c>
      <c r="C2512" s="1" t="s">
        <v>1445</v>
      </c>
      <c r="D2512" s="1">
        <v>36.501199999999997</v>
      </c>
      <c r="E2512" s="1">
        <v>-87.838399999999993</v>
      </c>
      <c r="F2512" s="1" t="s">
        <v>1922</v>
      </c>
      <c r="G2512" s="22">
        <v>1346.2070438683745</v>
      </c>
      <c r="H2512" s="20">
        <f ca="1">NOW() - TIME(5,30,0) + (VLOOKUP(MasterTable[[#This Row],[TimeZone]], $O$3:$P$8, 2, FALSE) / 24)</f>
        <v>45990.531878125003</v>
      </c>
      <c r="I2512" s="1" t="s">
        <v>1944</v>
      </c>
      <c r="J2512" s="1">
        <v>463.23</v>
      </c>
      <c r="K2512" s="11"/>
      <c r="L2512" s="11"/>
    </row>
    <row r="2513" spans="1:12" x14ac:dyDescent="0.25">
      <c r="A2513" s="1" t="s">
        <v>108</v>
      </c>
      <c r="B2513" s="1" t="s">
        <v>109</v>
      </c>
      <c r="C2513" s="1" t="s">
        <v>825</v>
      </c>
      <c r="D2513" s="1">
        <v>35.388399999999997</v>
      </c>
      <c r="E2513" s="1">
        <v>-85.7226</v>
      </c>
      <c r="F2513" s="1" t="s">
        <v>1922</v>
      </c>
      <c r="G2513" s="22">
        <v>1459.5015953384777</v>
      </c>
      <c r="H2513" s="20">
        <f ca="1">NOW() - TIME(5,30,0) + (VLOOKUP(MasterTable[[#This Row],[TimeZone]], $O$3:$P$8, 2, FALSE) / 24)</f>
        <v>45990.531878125003</v>
      </c>
      <c r="I2513" s="1" t="s">
        <v>1944</v>
      </c>
      <c r="J2513" s="1">
        <v>430.42</v>
      </c>
      <c r="K2513" s="11"/>
      <c r="L2513" s="11"/>
    </row>
    <row r="2514" spans="1:12" x14ac:dyDescent="0.25">
      <c r="A2514" s="1" t="s">
        <v>108</v>
      </c>
      <c r="B2514" s="1" t="s">
        <v>109</v>
      </c>
      <c r="C2514" s="1" t="s">
        <v>1222</v>
      </c>
      <c r="D2514" s="1">
        <v>35.512900000000002</v>
      </c>
      <c r="E2514" s="1">
        <v>-84.813299999999998</v>
      </c>
      <c r="F2514" s="1" t="s">
        <v>1925</v>
      </c>
      <c r="G2514" s="22">
        <v>1510.8585747912405</v>
      </c>
      <c r="H2514" s="20">
        <f ca="1">NOW() - TIME(5,30,0) + (VLOOKUP(MasterTable[[#This Row],[TimeZone]], $O$3:$P$8, 2, FALSE) / 24)</f>
        <v>45990.573544791667</v>
      </c>
      <c r="I2514" s="1" t="s">
        <v>1944</v>
      </c>
      <c r="J2514" s="1">
        <v>432.38</v>
      </c>
      <c r="K2514" s="11"/>
      <c r="L2514" s="11"/>
    </row>
    <row r="2515" spans="1:12" x14ac:dyDescent="0.25">
      <c r="A2515" s="1" t="s">
        <v>108</v>
      </c>
      <c r="B2515" s="1" t="s">
        <v>109</v>
      </c>
      <c r="C2515" s="1" t="s">
        <v>649</v>
      </c>
      <c r="D2515" s="1">
        <v>35.527299999999997</v>
      </c>
      <c r="E2515" s="1">
        <v>-87.493099999999998</v>
      </c>
      <c r="F2515" s="1" t="s">
        <v>1922</v>
      </c>
      <c r="G2515" s="22">
        <v>1360.2807150838842</v>
      </c>
      <c r="H2515" s="20">
        <f ca="1">NOW() - TIME(5,30,0) + (VLOOKUP(MasterTable[[#This Row],[TimeZone]], $O$3:$P$8, 2, FALSE) / 24)</f>
        <v>45990.531878125003</v>
      </c>
      <c r="I2515" s="1" t="s">
        <v>1944</v>
      </c>
      <c r="J2515" s="1">
        <v>479.81</v>
      </c>
      <c r="K2515" s="11"/>
      <c r="L2515" s="11"/>
    </row>
    <row r="2516" spans="1:12" x14ac:dyDescent="0.25">
      <c r="A2516" s="1" t="s">
        <v>108</v>
      </c>
      <c r="B2516" s="1" t="s">
        <v>109</v>
      </c>
      <c r="C2516" s="1" t="s">
        <v>140</v>
      </c>
      <c r="D2516" s="1">
        <v>36.359200000000001</v>
      </c>
      <c r="E2516" s="1">
        <v>-85.673199999999994</v>
      </c>
      <c r="F2516" s="1" t="s">
        <v>1922</v>
      </c>
      <c r="G2516" s="22">
        <v>1465.3128251298131</v>
      </c>
      <c r="H2516" s="20">
        <f ca="1">NOW() - TIME(5,30,0) + (VLOOKUP(MasterTable[[#This Row],[TimeZone]], $O$3:$P$8, 2, FALSE) / 24)</f>
        <v>45990.531878125003</v>
      </c>
      <c r="I2516" s="1" t="s">
        <v>1944</v>
      </c>
      <c r="J2516" s="1">
        <v>1126.77</v>
      </c>
      <c r="K2516" s="11"/>
      <c r="L2516" s="11"/>
    </row>
    <row r="2517" spans="1:12" x14ac:dyDescent="0.25">
      <c r="A2517" s="1" t="s">
        <v>108</v>
      </c>
      <c r="B2517" s="1" t="s">
        <v>109</v>
      </c>
      <c r="C2517" s="1" t="s">
        <v>1506</v>
      </c>
      <c r="D2517" s="1">
        <v>36.392099999999999</v>
      </c>
      <c r="E2517" s="1">
        <v>-86.156800000000004</v>
      </c>
      <c r="F2517" s="1" t="s">
        <v>1922</v>
      </c>
      <c r="G2517" s="22">
        <v>1438.6369326178487</v>
      </c>
      <c r="H2517" s="20">
        <f ca="1">NOW() - TIME(5,30,0) + (VLOOKUP(MasterTable[[#This Row],[TimeZone]], $O$3:$P$8, 2, FALSE) / 24)</f>
        <v>45990.531878125003</v>
      </c>
      <c r="I2517" s="1" t="s">
        <v>1944</v>
      </c>
      <c r="J2517" s="1">
        <v>116.64</v>
      </c>
      <c r="K2517" s="11"/>
      <c r="L2517" s="11"/>
    </row>
    <row r="2518" spans="1:12" x14ac:dyDescent="0.25">
      <c r="A2518" s="1" t="s">
        <v>108</v>
      </c>
      <c r="B2518" s="1" t="s">
        <v>109</v>
      </c>
      <c r="C2518" s="1" t="s">
        <v>1087</v>
      </c>
      <c r="D2518" s="1">
        <v>35.603000000000002</v>
      </c>
      <c r="E2518" s="1">
        <v>-88.108800000000002</v>
      </c>
      <c r="F2518" s="1" t="s">
        <v>1922</v>
      </c>
      <c r="G2518" s="22">
        <v>1326.0243037164396</v>
      </c>
      <c r="H2518" s="20">
        <f ca="1">NOW() - TIME(5,30,0) + (VLOOKUP(MasterTable[[#This Row],[TimeZone]], $O$3:$P$8, 2, FALSE) / 24)</f>
        <v>45990.531878125003</v>
      </c>
      <c r="I2518" s="1" t="s">
        <v>1944</v>
      </c>
      <c r="J2518" s="1">
        <v>623.16</v>
      </c>
      <c r="K2518" s="11"/>
      <c r="L2518" s="11"/>
    </row>
    <row r="2519" spans="1:12" x14ac:dyDescent="0.25">
      <c r="A2519" s="1" t="s">
        <v>108</v>
      </c>
      <c r="B2519" s="1" t="s">
        <v>109</v>
      </c>
      <c r="C2519" s="1" t="s">
        <v>877</v>
      </c>
      <c r="D2519" s="1">
        <v>35.642600000000002</v>
      </c>
      <c r="E2519" s="1">
        <v>-87.858999999999995</v>
      </c>
      <c r="F2519" s="1" t="s">
        <v>1922</v>
      </c>
      <c r="G2519" s="22">
        <v>1340.1967689507403</v>
      </c>
      <c r="H2519" s="20">
        <f ca="1">NOW() - TIME(5,30,0) + (VLOOKUP(MasterTable[[#This Row],[TimeZone]], $O$3:$P$8, 2, FALSE) / 24)</f>
        <v>45990.531878125003</v>
      </c>
      <c r="I2519" s="1" t="s">
        <v>1944</v>
      </c>
      <c r="J2519" s="1">
        <v>724.08</v>
      </c>
      <c r="K2519" s="11"/>
      <c r="L2519" s="11"/>
    </row>
    <row r="2520" spans="1:12" x14ac:dyDescent="0.25">
      <c r="A2520" s="1" t="s">
        <v>108</v>
      </c>
      <c r="B2520" s="1" t="s">
        <v>109</v>
      </c>
      <c r="C2520" s="1" t="s">
        <v>439</v>
      </c>
      <c r="D2520" s="1">
        <v>36.286000000000001</v>
      </c>
      <c r="E2520" s="1">
        <v>-87.717100000000002</v>
      </c>
      <c r="F2520" s="1" t="s">
        <v>1922</v>
      </c>
      <c r="G2520" s="22">
        <v>1351.483108881642</v>
      </c>
      <c r="H2520" s="20">
        <f ca="1">NOW() - TIME(5,30,0) + (VLOOKUP(MasterTable[[#This Row],[TimeZone]], $O$3:$P$8, 2, FALSE) / 24)</f>
        <v>45990.531878125003</v>
      </c>
      <c r="I2520" s="1" t="s">
        <v>1944</v>
      </c>
      <c r="J2520" s="1">
        <v>581.65</v>
      </c>
      <c r="K2520" s="11"/>
      <c r="L2520" s="11"/>
    </row>
    <row r="2521" spans="1:12" x14ac:dyDescent="0.25">
      <c r="A2521" s="1" t="s">
        <v>108</v>
      </c>
      <c r="B2521" s="1" t="s">
        <v>109</v>
      </c>
      <c r="C2521" s="1" t="s">
        <v>327</v>
      </c>
      <c r="D2521" s="1">
        <v>36.551099999999998</v>
      </c>
      <c r="E2521" s="1">
        <v>-85.543899999999994</v>
      </c>
      <c r="F2521" s="1" t="s">
        <v>1922</v>
      </c>
      <c r="G2521" s="22">
        <v>1473.414643562284</v>
      </c>
      <c r="H2521" s="20">
        <f ca="1">NOW() - TIME(5,30,0) + (VLOOKUP(MasterTable[[#This Row],[TimeZone]], $O$3:$P$8, 2, FALSE) / 24)</f>
        <v>45990.531878125003</v>
      </c>
      <c r="I2521" s="1" t="s">
        <v>1944</v>
      </c>
      <c r="J2521" s="1">
        <v>606</v>
      </c>
      <c r="K2521" s="11"/>
      <c r="L2521" s="11"/>
    </row>
    <row r="2522" spans="1:12" x14ac:dyDescent="0.25">
      <c r="A2522" s="1" t="s">
        <v>108</v>
      </c>
      <c r="B2522" s="1" t="s">
        <v>109</v>
      </c>
      <c r="C2522" s="1" t="s">
        <v>663</v>
      </c>
      <c r="D2522" s="1">
        <v>36.523600000000002</v>
      </c>
      <c r="E2522" s="1">
        <v>-83.221900000000005</v>
      </c>
      <c r="F2522" s="1" t="s">
        <v>1925</v>
      </c>
      <c r="G2522" s="22">
        <v>1601.9887766859299</v>
      </c>
      <c r="H2522" s="20">
        <f ca="1">NOW() - TIME(5,30,0) + (VLOOKUP(MasterTable[[#This Row],[TimeZone]], $O$3:$P$8, 2, FALSE) / 24)</f>
        <v>45990.573544791667</v>
      </c>
      <c r="I2522" s="1" t="s">
        <v>1944</v>
      </c>
      <c r="J2522" s="1">
        <v>478.76</v>
      </c>
      <c r="K2522" s="11"/>
      <c r="L2522" s="11"/>
    </row>
    <row r="2523" spans="1:12" x14ac:dyDescent="0.25">
      <c r="A2523" s="1" t="s">
        <v>108</v>
      </c>
      <c r="B2523" s="1" t="s">
        <v>109</v>
      </c>
      <c r="C2523" s="1" t="s">
        <v>142</v>
      </c>
      <c r="D2523" s="1">
        <v>36.3352</v>
      </c>
      <c r="E2523" s="1">
        <v>-89.493499999999997</v>
      </c>
      <c r="F2523" s="1" t="s">
        <v>1922</v>
      </c>
      <c r="G2523" s="22">
        <v>1253.4749260921519</v>
      </c>
      <c r="H2523" s="20">
        <f ca="1">NOW() - TIME(5,30,0) + (VLOOKUP(MasterTable[[#This Row],[TimeZone]], $O$3:$P$8, 2, FALSE) / 24)</f>
        <v>45990.531878125003</v>
      </c>
      <c r="I2523" s="1" t="s">
        <v>1944</v>
      </c>
      <c r="J2523" s="1">
        <v>1329.48</v>
      </c>
      <c r="K2523" s="11"/>
      <c r="L2523" s="11"/>
    </row>
    <row r="2524" spans="1:12" x14ac:dyDescent="0.25">
      <c r="A2524" s="1" t="s">
        <v>108</v>
      </c>
      <c r="B2524" s="1" t="s">
        <v>109</v>
      </c>
      <c r="C2524" s="1" t="s">
        <v>582</v>
      </c>
      <c r="D2524" s="1">
        <v>35.284599999999998</v>
      </c>
      <c r="E2524" s="1">
        <v>-86.358699999999999</v>
      </c>
      <c r="F2524" s="1" t="s">
        <v>1922</v>
      </c>
      <c r="G2524" s="22">
        <v>1423.4780186805829</v>
      </c>
      <c r="H2524" s="20">
        <f ca="1">NOW() - TIME(5,30,0) + (VLOOKUP(MasterTable[[#This Row],[TimeZone]], $O$3:$P$8, 2, FALSE) / 24)</f>
        <v>45990.531878125003</v>
      </c>
      <c r="I2524" s="1" t="s">
        <v>1944</v>
      </c>
      <c r="J2524" s="1">
        <v>705.67</v>
      </c>
      <c r="K2524" s="11"/>
      <c r="L2524" s="11"/>
    </row>
    <row r="2525" spans="1:12" x14ac:dyDescent="0.25">
      <c r="A2525" s="1" t="s">
        <v>108</v>
      </c>
      <c r="B2525" s="1" t="s">
        <v>109</v>
      </c>
      <c r="C2525" s="1" t="s">
        <v>690</v>
      </c>
      <c r="D2525" s="1">
        <v>35.695999999999998</v>
      </c>
      <c r="E2525" s="1">
        <v>-85.452600000000004</v>
      </c>
      <c r="F2525" s="1" t="s">
        <v>1922</v>
      </c>
      <c r="G2525" s="22">
        <v>1475.297670395548</v>
      </c>
      <c r="H2525" s="20">
        <f ca="1">NOW() - TIME(5,30,0) + (VLOOKUP(MasterTable[[#This Row],[TimeZone]], $O$3:$P$8, 2, FALSE) / 24)</f>
        <v>45990.531878125003</v>
      </c>
      <c r="I2525" s="1" t="s">
        <v>1944</v>
      </c>
      <c r="J2525" s="1">
        <v>724.32</v>
      </c>
      <c r="K2525" s="11"/>
      <c r="L2525" s="11"/>
    </row>
    <row r="2526" spans="1:12" x14ac:dyDescent="0.25">
      <c r="A2526" s="1" t="s">
        <v>108</v>
      </c>
      <c r="B2526" s="1" t="s">
        <v>109</v>
      </c>
      <c r="C2526" s="1" t="s">
        <v>1753</v>
      </c>
      <c r="D2526" s="1">
        <v>36.558399999999999</v>
      </c>
      <c r="E2526" s="1">
        <v>-85.0749</v>
      </c>
      <c r="F2526" s="1" t="s">
        <v>1922</v>
      </c>
      <c r="G2526" s="22">
        <v>1499.4167235334028</v>
      </c>
      <c r="H2526" s="20">
        <f ca="1">NOW() - TIME(5,30,0) + (VLOOKUP(MasterTable[[#This Row],[TimeZone]], $O$3:$P$8, 2, FALSE) / 24)</f>
        <v>45990.531878125003</v>
      </c>
      <c r="I2526" s="1" t="s">
        <v>1944</v>
      </c>
      <c r="J2526" s="1">
        <v>174.58</v>
      </c>
      <c r="K2526" s="11"/>
      <c r="L2526" s="11"/>
    </row>
    <row r="2527" spans="1:12" x14ac:dyDescent="0.25">
      <c r="A2527" s="1" t="s">
        <v>7</v>
      </c>
      <c r="B2527" s="1" t="s">
        <v>8</v>
      </c>
      <c r="C2527" s="1" t="s">
        <v>6</v>
      </c>
      <c r="D2527" s="1">
        <v>29.857800000000001</v>
      </c>
      <c r="E2527" s="1">
        <v>-95.393799999999999</v>
      </c>
      <c r="F2527" s="1" t="s">
        <v>1922</v>
      </c>
      <c r="G2527" s="22">
        <v>933.10850414879928</v>
      </c>
      <c r="H2527" s="20">
        <f ca="1">NOW() - TIME(5,30,0) + (VLOOKUP(MasterTable[[#This Row],[TimeZone]], $O$3:$P$8, 2, FALSE) / 24)</f>
        <v>45990.531878125003</v>
      </c>
      <c r="I2527" s="1" t="s">
        <v>1944</v>
      </c>
      <c r="J2527" s="1">
        <v>472.93</v>
      </c>
      <c r="K2527" s="10"/>
      <c r="L2527" s="10"/>
    </row>
    <row r="2528" spans="1:12" x14ac:dyDescent="0.25">
      <c r="A2528" s="1" t="s">
        <v>7</v>
      </c>
      <c r="B2528" s="1" t="s">
        <v>8</v>
      </c>
      <c r="C2528" s="1" t="s">
        <v>20</v>
      </c>
      <c r="D2528" s="1">
        <v>32.766599999999997</v>
      </c>
      <c r="E2528" s="1">
        <v>-96.777799999999999</v>
      </c>
      <c r="F2528" s="1" t="s">
        <v>1922</v>
      </c>
      <c r="G2528" s="22">
        <v>824.8334175099094</v>
      </c>
      <c r="H2528" s="20">
        <f ca="1">NOW() - TIME(5,30,0) + (VLOOKUP(MasterTable[[#This Row],[TimeZone]], $O$3:$P$8, 2, FALSE) / 24)</f>
        <v>45990.531878125003</v>
      </c>
      <c r="I2528" s="1" t="s">
        <v>1944</v>
      </c>
      <c r="J2528" s="1">
        <v>993.37</v>
      </c>
      <c r="K2528" s="11"/>
      <c r="L2528" s="11"/>
    </row>
    <row r="2529" spans="1:13" x14ac:dyDescent="0.25">
      <c r="A2529" s="1" t="s">
        <v>7</v>
      </c>
      <c r="B2529" s="1" t="s">
        <v>8</v>
      </c>
      <c r="C2529" s="1" t="s">
        <v>30</v>
      </c>
      <c r="D2529" s="1">
        <v>32.771900000000002</v>
      </c>
      <c r="E2529" s="1">
        <v>-97.2911</v>
      </c>
      <c r="F2529" s="1" t="s">
        <v>1922</v>
      </c>
      <c r="G2529" s="22">
        <v>795.00849855517231</v>
      </c>
      <c r="H2529" s="20">
        <f ca="1">NOW() - TIME(5,30,0) + (VLOOKUP(MasterTable[[#This Row],[TimeZone]], $O$3:$P$8, 2, FALSE) / 24)</f>
        <v>45990.531878125003</v>
      </c>
      <c r="I2529" s="1" t="s">
        <v>1944</v>
      </c>
      <c r="J2529" s="1">
        <v>897.48</v>
      </c>
      <c r="K2529" s="10"/>
      <c r="L2529" s="12"/>
      <c r="M2529" s="12"/>
    </row>
    <row r="2530" spans="1:13" x14ac:dyDescent="0.25">
      <c r="A2530" s="1" t="s">
        <v>7</v>
      </c>
      <c r="B2530" s="1" t="s">
        <v>8</v>
      </c>
      <c r="C2530" s="1" t="s">
        <v>31</v>
      </c>
      <c r="D2530" s="1">
        <v>29.448899999999998</v>
      </c>
      <c r="E2530" s="1">
        <v>-98.52</v>
      </c>
      <c r="F2530" s="1" t="s">
        <v>1922</v>
      </c>
      <c r="G2530" s="22">
        <v>760.0960932256437</v>
      </c>
      <c r="H2530" s="20">
        <f ca="1">NOW() - TIME(5,30,0) + (VLOOKUP(MasterTable[[#This Row],[TimeZone]], $O$3:$P$8, 2, FALSE) / 24)</f>
        <v>45990.531878125003</v>
      </c>
      <c r="I2530" s="1" t="s">
        <v>1944</v>
      </c>
      <c r="J2530" s="1">
        <v>1256.6600000000001</v>
      </c>
      <c r="K2530" s="11"/>
      <c r="L2530" s="13"/>
      <c r="M2530" s="13"/>
    </row>
    <row r="2531" spans="1:13" x14ac:dyDescent="0.25">
      <c r="A2531" s="1" t="s">
        <v>7</v>
      </c>
      <c r="B2531" s="1" t="s">
        <v>8</v>
      </c>
      <c r="C2531" s="1" t="s">
        <v>53</v>
      </c>
      <c r="D2531" s="1">
        <v>30.334399999999999</v>
      </c>
      <c r="E2531" s="1">
        <v>-97.781999999999996</v>
      </c>
      <c r="F2531" s="1" t="s">
        <v>1922</v>
      </c>
      <c r="G2531" s="22">
        <v>786.59639009508589</v>
      </c>
      <c r="H2531" s="20">
        <f ca="1">NOW() - TIME(5,30,0) + (VLOOKUP(MasterTable[[#This Row],[TimeZone]], $O$3:$P$8, 2, FALSE) / 24)</f>
        <v>45990.531878125003</v>
      </c>
      <c r="I2531" s="1" t="s">
        <v>1944</v>
      </c>
      <c r="J2531" s="1">
        <v>1022.08</v>
      </c>
      <c r="K2531" s="11"/>
      <c r="L2531" s="13"/>
      <c r="M2531" s="13"/>
    </row>
    <row r="2532" spans="1:13" x14ac:dyDescent="0.25">
      <c r="A2532" s="1" t="s">
        <v>7</v>
      </c>
      <c r="B2532" s="1" t="s">
        <v>8</v>
      </c>
      <c r="C2532" s="1" t="s">
        <v>71</v>
      </c>
      <c r="D2532" s="1">
        <v>33.188000000000002</v>
      </c>
      <c r="E2532" s="1">
        <v>-96.572400000000002</v>
      </c>
      <c r="F2532" s="1" t="s">
        <v>1922</v>
      </c>
      <c r="G2532" s="22">
        <v>836.59998627582479</v>
      </c>
      <c r="H2532" s="20">
        <f ca="1">NOW() - TIME(5,30,0) + (VLOOKUP(MasterTable[[#This Row],[TimeZone]], $O$3:$P$8, 2, FALSE) / 24)</f>
        <v>45990.531878125003</v>
      </c>
      <c r="I2532" s="1" t="s">
        <v>1944</v>
      </c>
      <c r="J2532" s="1">
        <v>885.85</v>
      </c>
      <c r="K2532" s="11"/>
      <c r="L2532" s="13"/>
      <c r="M2532" s="13"/>
    </row>
    <row r="2533" spans="1:13" x14ac:dyDescent="0.25">
      <c r="A2533" s="1" t="s">
        <v>7</v>
      </c>
      <c r="B2533" s="1" t="s">
        <v>8</v>
      </c>
      <c r="C2533" s="1" t="s">
        <v>101</v>
      </c>
      <c r="D2533" s="1">
        <v>33.205500000000001</v>
      </c>
      <c r="E2533" s="1">
        <v>-97.116799999999998</v>
      </c>
      <c r="F2533" s="1" t="s">
        <v>1922</v>
      </c>
      <c r="G2533" s="22">
        <v>805.14433631034706</v>
      </c>
      <c r="H2533" s="20">
        <f ca="1">NOW() - TIME(5,30,0) + (VLOOKUP(MasterTable[[#This Row],[TimeZone]], $O$3:$P$8, 2, FALSE) / 24)</f>
        <v>45990.531878125003</v>
      </c>
      <c r="I2533" s="1" t="s">
        <v>1944</v>
      </c>
      <c r="J2533" s="1">
        <v>957.88</v>
      </c>
      <c r="K2533" s="11"/>
      <c r="L2533" s="13"/>
      <c r="M2533" s="13"/>
    </row>
    <row r="2534" spans="1:13" x14ac:dyDescent="0.25">
      <c r="A2534" s="1" t="s">
        <v>7</v>
      </c>
      <c r="B2534" s="1" t="s">
        <v>8</v>
      </c>
      <c r="C2534" s="1" t="s">
        <v>111</v>
      </c>
      <c r="D2534" s="1">
        <v>26.396899999999999</v>
      </c>
      <c r="E2534" s="1">
        <v>-98.181200000000004</v>
      </c>
      <c r="F2534" s="1" t="s">
        <v>1922</v>
      </c>
      <c r="G2534" s="22">
        <v>866.10596011143298</v>
      </c>
      <c r="H2534" s="20">
        <f ca="1">NOW() - TIME(5,30,0) + (VLOOKUP(MasterTable[[#This Row],[TimeZone]], $O$3:$P$8, 2, FALSE) / 24)</f>
        <v>45990.531878125003</v>
      </c>
      <c r="I2534" s="1" t="s">
        <v>1944</v>
      </c>
      <c r="J2534" s="1">
        <v>3445.91</v>
      </c>
      <c r="K2534" s="11"/>
      <c r="L2534" s="13"/>
      <c r="M2534" s="13"/>
    </row>
    <row r="2535" spans="1:13" x14ac:dyDescent="0.25">
      <c r="A2535" s="1" t="s">
        <v>7</v>
      </c>
      <c r="B2535" s="1" t="s">
        <v>8</v>
      </c>
      <c r="C2535" s="1" t="s">
        <v>113</v>
      </c>
      <c r="D2535" s="1">
        <v>31.768599999999999</v>
      </c>
      <c r="E2535" s="1">
        <v>-106.23480000000001</v>
      </c>
      <c r="F2535" s="1" t="s">
        <v>1923</v>
      </c>
      <c r="G2535" s="22">
        <v>276.69298151861062</v>
      </c>
      <c r="H2535" s="20">
        <f ca="1">NOW() - TIME(5,30,0) + (VLOOKUP(MasterTable[[#This Row],[TimeZone]], $O$3:$P$8, 2, FALSE) / 24)</f>
        <v>45990.490211458338</v>
      </c>
      <c r="I2535" s="1" t="s">
        <v>1945</v>
      </c>
      <c r="J2535" s="1">
        <v>2129.56</v>
      </c>
      <c r="K2535" s="11"/>
      <c r="L2535" s="13"/>
      <c r="M2535" s="13"/>
    </row>
    <row r="2536" spans="1:13" x14ac:dyDescent="0.25">
      <c r="A2536" s="1" t="s">
        <v>7</v>
      </c>
      <c r="B2536" s="1" t="s">
        <v>8</v>
      </c>
      <c r="C2536" s="1" t="s">
        <v>115</v>
      </c>
      <c r="D2536" s="1">
        <v>29.5275</v>
      </c>
      <c r="E2536" s="1">
        <v>-95.770899999999997</v>
      </c>
      <c r="F2536" s="1" t="s">
        <v>1922</v>
      </c>
      <c r="G2536" s="22">
        <v>917.04620241957309</v>
      </c>
      <c r="H2536" s="20">
        <f ca="1">NOW() - TIME(5,30,0) + (VLOOKUP(MasterTable[[#This Row],[TimeZone]], $O$3:$P$8, 2, FALSE) / 24)</f>
        <v>45990.531878125003</v>
      </c>
      <c r="I2536" s="1" t="s">
        <v>1944</v>
      </c>
      <c r="J2536" s="1">
        <v>886.05</v>
      </c>
      <c r="K2536" s="11"/>
      <c r="L2536" s="13"/>
      <c r="M2536" s="13"/>
    </row>
    <row r="2537" spans="1:13" x14ac:dyDescent="0.25">
      <c r="A2537" s="1" t="s">
        <v>7</v>
      </c>
      <c r="B2537" s="1" t="s">
        <v>8</v>
      </c>
      <c r="C2537" s="1" t="s">
        <v>75</v>
      </c>
      <c r="D2537" s="1">
        <v>30.3002</v>
      </c>
      <c r="E2537" s="1">
        <v>-95.503</v>
      </c>
      <c r="F2537" s="1" t="s">
        <v>1922</v>
      </c>
      <c r="G2537" s="22">
        <v>919.79518180567777</v>
      </c>
      <c r="H2537" s="20">
        <f ca="1">NOW() - TIME(5,30,0) + (VLOOKUP(MasterTable[[#This Row],[TimeZone]], $O$3:$P$8, 2, FALSE) / 24)</f>
        <v>45990.531878125003</v>
      </c>
      <c r="I2537" s="1" t="s">
        <v>1944</v>
      </c>
      <c r="J2537" s="1">
        <v>799.76</v>
      </c>
      <c r="K2537" s="11"/>
      <c r="L2537" s="13"/>
      <c r="M2537" s="13"/>
    </row>
    <row r="2538" spans="1:13" x14ac:dyDescent="0.25">
      <c r="A2538" s="1" t="s">
        <v>7</v>
      </c>
      <c r="B2538" s="1" t="s">
        <v>8</v>
      </c>
      <c r="C2538" s="1" t="s">
        <v>161</v>
      </c>
      <c r="D2538" s="1">
        <v>30.647500000000001</v>
      </c>
      <c r="E2538" s="1">
        <v>-97.600399999999993</v>
      </c>
      <c r="F2538" s="1" t="s">
        <v>1922</v>
      </c>
      <c r="G2538" s="22">
        <v>792.62397337329992</v>
      </c>
      <c r="H2538" s="20">
        <f ca="1">NOW() - TIME(5,30,0) + (VLOOKUP(MasterTable[[#This Row],[TimeZone]], $O$3:$P$8, 2, FALSE) / 24)</f>
        <v>45990.531878125003</v>
      </c>
      <c r="I2538" s="1" t="s">
        <v>1944</v>
      </c>
      <c r="J2538" s="1">
        <v>444.38</v>
      </c>
      <c r="K2538" s="11"/>
      <c r="L2538" s="13"/>
      <c r="M2538" s="13"/>
    </row>
    <row r="2539" spans="1:13" x14ac:dyDescent="0.25">
      <c r="A2539" s="1" t="s">
        <v>7</v>
      </c>
      <c r="B2539" s="1" t="s">
        <v>8</v>
      </c>
      <c r="C2539" s="1" t="s">
        <v>230</v>
      </c>
      <c r="D2539" s="1">
        <v>26.133299999999998</v>
      </c>
      <c r="E2539" s="1">
        <v>-97.518699999999995</v>
      </c>
      <c r="F2539" s="1" t="s">
        <v>1922</v>
      </c>
      <c r="G2539" s="22">
        <v>910.70611436244201</v>
      </c>
      <c r="H2539" s="20">
        <f ca="1">NOW() - TIME(5,30,0) + (VLOOKUP(MasterTable[[#This Row],[TimeZone]], $O$3:$P$8, 2, FALSE) / 24)</f>
        <v>45990.531878125003</v>
      </c>
      <c r="I2539" s="1" t="s">
        <v>1944</v>
      </c>
      <c r="J2539" s="1">
        <v>1931.6</v>
      </c>
      <c r="K2539" s="11"/>
      <c r="L2539" s="13"/>
      <c r="M2539" s="13"/>
    </row>
    <row r="2540" spans="1:13" x14ac:dyDescent="0.25">
      <c r="A2540" s="1" t="s">
        <v>7</v>
      </c>
      <c r="B2540" s="1" t="s">
        <v>8</v>
      </c>
      <c r="C2540" s="1" t="s">
        <v>251</v>
      </c>
      <c r="D2540" s="1">
        <v>29.189800000000002</v>
      </c>
      <c r="E2540" s="1">
        <v>-95.452100000000002</v>
      </c>
      <c r="F2540" s="1" t="s">
        <v>1922</v>
      </c>
      <c r="G2540" s="22">
        <v>941.97492542993245</v>
      </c>
      <c r="H2540" s="20">
        <f ca="1">NOW() - TIME(5,30,0) + (VLOOKUP(MasterTable[[#This Row],[TimeZone]], $O$3:$P$8, 2, FALSE) / 24)</f>
        <v>45990.531878125003</v>
      </c>
      <c r="I2540" s="1" t="s">
        <v>1944</v>
      </c>
      <c r="J2540" s="1">
        <v>1597.44</v>
      </c>
      <c r="K2540" s="11"/>
      <c r="L2540" s="13"/>
      <c r="M2540" s="13"/>
    </row>
    <row r="2541" spans="1:13" x14ac:dyDescent="0.25">
      <c r="A2541" s="1" t="s">
        <v>7</v>
      </c>
      <c r="B2541" s="1" t="s">
        <v>8</v>
      </c>
      <c r="C2541" s="1" t="s">
        <v>252</v>
      </c>
      <c r="D2541" s="1">
        <v>31.037299999999998</v>
      </c>
      <c r="E2541" s="1">
        <v>-97.478800000000007</v>
      </c>
      <c r="F2541" s="1" t="s">
        <v>1922</v>
      </c>
      <c r="G2541" s="22">
        <v>794.86970858585767</v>
      </c>
      <c r="H2541" s="20">
        <f ca="1">NOW() - TIME(5,30,0) + (VLOOKUP(MasterTable[[#This Row],[TimeZone]], $O$3:$P$8, 2, FALSE) / 24)</f>
        <v>45990.531878125003</v>
      </c>
      <c r="I2541" s="1" t="s">
        <v>1944</v>
      </c>
      <c r="J2541" s="1">
        <v>361.35</v>
      </c>
      <c r="K2541" s="11"/>
      <c r="L2541" s="13"/>
      <c r="M2541" s="13"/>
    </row>
    <row r="2542" spans="1:13" x14ac:dyDescent="0.25">
      <c r="A2542" s="1" t="s">
        <v>7</v>
      </c>
      <c r="B2542" s="1" t="s">
        <v>8</v>
      </c>
      <c r="C2542" s="1" t="s">
        <v>262</v>
      </c>
      <c r="D2542" s="1">
        <v>29.394400000000001</v>
      </c>
      <c r="E2542" s="1">
        <v>-94.964200000000005</v>
      </c>
      <c r="F2542" s="1" t="s">
        <v>1922</v>
      </c>
      <c r="G2542" s="22">
        <v>966.26380607377655</v>
      </c>
      <c r="H2542" s="20">
        <f ca="1">NOW() - TIME(5,30,0) + (VLOOKUP(MasterTable[[#This Row],[TimeZone]], $O$3:$P$8, 2, FALSE) / 24)</f>
        <v>45990.531878125003</v>
      </c>
      <c r="I2542" s="1" t="s">
        <v>1944</v>
      </c>
      <c r="J2542" s="1">
        <v>872.93</v>
      </c>
      <c r="K2542" s="11"/>
      <c r="L2542" s="13"/>
      <c r="M2542" s="13"/>
    </row>
    <row r="2543" spans="1:13" x14ac:dyDescent="0.25">
      <c r="A2543" s="1" t="s">
        <v>7</v>
      </c>
      <c r="B2543" s="1" t="s">
        <v>8</v>
      </c>
      <c r="C2543" s="1" t="s">
        <v>264</v>
      </c>
      <c r="D2543" s="1">
        <v>27.7254</v>
      </c>
      <c r="E2543" s="1">
        <v>-97.613399999999999</v>
      </c>
      <c r="F2543" s="1" t="s">
        <v>1922</v>
      </c>
      <c r="G2543" s="22">
        <v>854.4946655678167</v>
      </c>
      <c r="H2543" s="20">
        <f ca="1">NOW() - TIME(5,30,0) + (VLOOKUP(MasterTable[[#This Row],[TimeZone]], $O$3:$P$8, 2, FALSE) / 24)</f>
        <v>45990.531878125003</v>
      </c>
      <c r="I2543" s="1" t="s">
        <v>1944</v>
      </c>
      <c r="J2543" s="1">
        <v>1166.42</v>
      </c>
      <c r="K2543" s="11"/>
      <c r="L2543" s="13"/>
      <c r="M2543" s="13"/>
    </row>
    <row r="2544" spans="1:13" x14ac:dyDescent="0.25">
      <c r="A2544" s="1" t="s">
        <v>7</v>
      </c>
      <c r="B2544" s="1" t="s">
        <v>8</v>
      </c>
      <c r="C2544" s="1" t="s">
        <v>283</v>
      </c>
      <c r="D2544" s="1">
        <v>33.610199999999999</v>
      </c>
      <c r="E2544" s="1">
        <v>-101.8205</v>
      </c>
      <c r="F2544" s="1" t="s">
        <v>1922</v>
      </c>
      <c r="G2544" s="22">
        <v>536.6481317175643</v>
      </c>
      <c r="H2544" s="20">
        <f ca="1">NOW() - TIME(5,30,0) + (VLOOKUP(MasterTable[[#This Row],[TimeZone]], $O$3:$P$8, 2, FALSE) / 24)</f>
        <v>45990.531878125003</v>
      </c>
      <c r="I2544" s="1" t="s">
        <v>1944</v>
      </c>
      <c r="J2544" s="1">
        <v>900.7</v>
      </c>
      <c r="K2544" s="11"/>
      <c r="L2544" s="13"/>
      <c r="M2544" s="13"/>
    </row>
    <row r="2545" spans="1:13" x14ac:dyDescent="0.25">
      <c r="A2545" s="1" t="s">
        <v>7</v>
      </c>
      <c r="B2545" s="1" t="s">
        <v>8</v>
      </c>
      <c r="C2545" s="1" t="s">
        <v>318</v>
      </c>
      <c r="D2545" s="1">
        <v>27.761099999999999</v>
      </c>
      <c r="E2545" s="1">
        <v>-99.331500000000005</v>
      </c>
      <c r="F2545" s="1" t="s">
        <v>1922</v>
      </c>
      <c r="G2545" s="22">
        <v>758.68792434215948</v>
      </c>
      <c r="H2545" s="20">
        <f ca="1">NOW() - TIME(5,30,0) + (VLOOKUP(MasterTable[[#This Row],[TimeZone]], $O$3:$P$8, 2, FALSE) / 24)</f>
        <v>45990.531878125003</v>
      </c>
      <c r="I2545" s="1" t="s">
        <v>1944</v>
      </c>
      <c r="J2545" s="1">
        <v>3375.53</v>
      </c>
      <c r="K2545" s="11"/>
      <c r="L2545" s="13"/>
      <c r="M2545" s="13"/>
    </row>
    <row r="2546" spans="1:13" x14ac:dyDescent="0.25">
      <c r="A2546" s="1" t="s">
        <v>7</v>
      </c>
      <c r="B2546" s="1" t="s">
        <v>8</v>
      </c>
      <c r="C2546" s="1" t="s">
        <v>321</v>
      </c>
      <c r="D2546" s="1">
        <v>31.552399999999999</v>
      </c>
      <c r="E2546" s="1">
        <v>-97.201800000000006</v>
      </c>
      <c r="F2546" s="1" t="s">
        <v>1922</v>
      </c>
      <c r="G2546" s="22">
        <v>806.00876681340355</v>
      </c>
      <c r="H2546" s="20">
        <f ca="1">NOW() - TIME(5,30,0) + (VLOOKUP(MasterTable[[#This Row],[TimeZone]], $O$3:$P$8, 2, FALSE) / 24)</f>
        <v>45990.531878125003</v>
      </c>
      <c r="I2546" s="1" t="s">
        <v>1944</v>
      </c>
      <c r="J2546" s="1">
        <v>1060.23</v>
      </c>
      <c r="K2546" s="11"/>
      <c r="L2546" s="13"/>
      <c r="M2546" s="13"/>
    </row>
    <row r="2547" spans="1:13" x14ac:dyDescent="0.25">
      <c r="A2547" s="1" t="s">
        <v>7</v>
      </c>
      <c r="B2547" s="1" t="s">
        <v>8</v>
      </c>
      <c r="C2547" s="1" t="s">
        <v>326</v>
      </c>
      <c r="D2547" s="1">
        <v>30.0579</v>
      </c>
      <c r="E2547" s="1">
        <v>-98.031199999999998</v>
      </c>
      <c r="F2547" s="1" t="s">
        <v>1922</v>
      </c>
      <c r="G2547" s="22">
        <v>776.64363701895502</v>
      </c>
      <c r="H2547" s="20">
        <f ca="1">NOW() - TIME(5,30,0) + (VLOOKUP(MasterTable[[#This Row],[TimeZone]], $O$3:$P$8, 2, FALSE) / 24)</f>
        <v>45990.531878125003</v>
      </c>
      <c r="I2547" s="1" t="s">
        <v>1944</v>
      </c>
      <c r="J2547" s="1">
        <v>679.79</v>
      </c>
      <c r="K2547" s="11"/>
      <c r="L2547" s="13"/>
      <c r="M2547" s="13"/>
    </row>
    <row r="2548" spans="1:13" x14ac:dyDescent="0.25">
      <c r="A2548" s="1" t="s">
        <v>7</v>
      </c>
      <c r="B2548" s="1" t="s">
        <v>8</v>
      </c>
      <c r="C2548" s="1" t="s">
        <v>129</v>
      </c>
      <c r="D2548" s="1">
        <v>29.8841</v>
      </c>
      <c r="E2548" s="1">
        <v>-94.162899999999993</v>
      </c>
      <c r="F2548" s="1" t="s">
        <v>1922</v>
      </c>
      <c r="G2548" s="22">
        <v>1004.3088742645863</v>
      </c>
      <c r="H2548" s="20">
        <f ca="1">NOW() - TIME(5,30,0) + (VLOOKUP(MasterTable[[#This Row],[TimeZone]], $O$3:$P$8, 2, FALSE) / 24)</f>
        <v>45990.531878125003</v>
      </c>
      <c r="I2548" s="1" t="s">
        <v>1944</v>
      </c>
      <c r="J2548" s="1">
        <v>1123.8</v>
      </c>
      <c r="K2548" s="11"/>
      <c r="L2548" s="13"/>
      <c r="M2548" s="13"/>
    </row>
    <row r="2549" spans="1:13" x14ac:dyDescent="0.25">
      <c r="A2549" s="1" t="s">
        <v>7</v>
      </c>
      <c r="B2549" s="1" t="s">
        <v>8</v>
      </c>
      <c r="C2549" s="1" t="s">
        <v>338</v>
      </c>
      <c r="D2549" s="1">
        <v>32.375</v>
      </c>
      <c r="E2549" s="1">
        <v>-95.269199999999998</v>
      </c>
      <c r="F2549" s="1" t="s">
        <v>1922</v>
      </c>
      <c r="G2549" s="22">
        <v>913.73414886707735</v>
      </c>
      <c r="H2549" s="20">
        <f ca="1">NOW() - TIME(5,30,0) + (VLOOKUP(MasterTable[[#This Row],[TimeZone]], $O$3:$P$8, 2, FALSE) / 24)</f>
        <v>45990.531878125003</v>
      </c>
      <c r="I2549" s="1" t="s">
        <v>1944</v>
      </c>
      <c r="J2549" s="1">
        <v>896.53</v>
      </c>
      <c r="K2549" s="11"/>
      <c r="L2549" s="13"/>
      <c r="M2549" s="13"/>
    </row>
    <row r="2550" spans="1:13" x14ac:dyDescent="0.25">
      <c r="A2550" s="1" t="s">
        <v>7</v>
      </c>
      <c r="B2550" s="1" t="s">
        <v>8</v>
      </c>
      <c r="C2550" s="1" t="s">
        <v>339</v>
      </c>
      <c r="D2550" s="1">
        <v>30.660799999999998</v>
      </c>
      <c r="E2550" s="1">
        <v>-96.302400000000006</v>
      </c>
      <c r="F2550" s="1" t="s">
        <v>1922</v>
      </c>
      <c r="G2550" s="22">
        <v>868.15463729865462</v>
      </c>
      <c r="H2550" s="20">
        <f ca="1">NOW() - TIME(5,30,0) + (VLOOKUP(MasterTable[[#This Row],[TimeZone]], $O$3:$P$8, 2, FALSE) / 24)</f>
        <v>45990.531878125003</v>
      </c>
      <c r="I2550" s="1" t="s">
        <v>1944</v>
      </c>
      <c r="J2550" s="1">
        <v>590.29</v>
      </c>
      <c r="K2550" s="11"/>
      <c r="L2550" s="13"/>
      <c r="M2550" s="13"/>
    </row>
    <row r="2551" spans="1:13" x14ac:dyDescent="0.25">
      <c r="A2551" s="1" t="s">
        <v>7</v>
      </c>
      <c r="B2551" s="1" t="s">
        <v>8</v>
      </c>
      <c r="C2551" s="1" t="s">
        <v>373</v>
      </c>
      <c r="D2551" s="1">
        <v>32.348399999999998</v>
      </c>
      <c r="E2551" s="1">
        <v>-96.794700000000006</v>
      </c>
      <c r="F2551" s="1" t="s">
        <v>1922</v>
      </c>
      <c r="G2551" s="22">
        <v>824.95832191469174</v>
      </c>
      <c r="H2551" s="20">
        <f ca="1">NOW() - TIME(5,30,0) + (VLOOKUP(MasterTable[[#This Row],[TimeZone]], $O$3:$P$8, 2, FALSE) / 24)</f>
        <v>45990.531878125003</v>
      </c>
      <c r="I2551" s="1" t="s">
        <v>1944</v>
      </c>
      <c r="J2551" s="1">
        <v>900.47</v>
      </c>
      <c r="K2551" s="11"/>
      <c r="L2551" s="13"/>
      <c r="M2551" s="18"/>
    </row>
    <row r="2552" spans="1:13" x14ac:dyDescent="0.25">
      <c r="A2552" s="1" t="s">
        <v>7</v>
      </c>
      <c r="B2552" s="1" t="s">
        <v>8</v>
      </c>
      <c r="C2552" s="1" t="s">
        <v>165</v>
      </c>
      <c r="D2552" s="1">
        <v>32.378999999999998</v>
      </c>
      <c r="E2552" s="1">
        <v>-97.366600000000005</v>
      </c>
      <c r="F2552" s="1" t="s">
        <v>1922</v>
      </c>
      <c r="G2552" s="22">
        <v>791.51469708672153</v>
      </c>
      <c r="H2552" s="20">
        <f ca="1">NOW() - TIME(5,30,0) + (VLOOKUP(MasterTable[[#This Row],[TimeZone]], $O$3:$P$8, 2, FALSE) / 24)</f>
        <v>45990.531878125003</v>
      </c>
      <c r="I2552" s="1" t="s">
        <v>1944</v>
      </c>
      <c r="J2552" s="1">
        <v>682.74</v>
      </c>
      <c r="K2552" s="11"/>
      <c r="L2552" s="13"/>
      <c r="M2552" s="13"/>
    </row>
    <row r="2553" spans="1:13" x14ac:dyDescent="0.25">
      <c r="A2553" s="1" t="s">
        <v>7</v>
      </c>
      <c r="B2553" s="1" t="s">
        <v>8</v>
      </c>
      <c r="C2553" s="1" t="s">
        <v>409</v>
      </c>
      <c r="D2553" s="1">
        <v>29.583100000000002</v>
      </c>
      <c r="E2553" s="1">
        <v>-97.948599999999999</v>
      </c>
      <c r="F2553" s="1" t="s">
        <v>1922</v>
      </c>
      <c r="G2553" s="22">
        <v>790.18765047338741</v>
      </c>
      <c r="H2553" s="20">
        <f ca="1">NOW() - TIME(5,30,0) + (VLOOKUP(MasterTable[[#This Row],[TimeZone]], $O$3:$P$8, 2, FALSE) / 24)</f>
        <v>45990.531878125003</v>
      </c>
      <c r="I2553" s="1" t="s">
        <v>1944</v>
      </c>
      <c r="J2553" s="1">
        <v>3031.58</v>
      </c>
      <c r="K2553" s="11"/>
      <c r="L2553" s="13"/>
      <c r="M2553" s="13"/>
    </row>
    <row r="2554" spans="1:13" x14ac:dyDescent="0.25">
      <c r="A2554" s="1" t="s">
        <v>7</v>
      </c>
      <c r="B2554" s="1" t="s">
        <v>8</v>
      </c>
      <c r="C2554" s="1" t="s">
        <v>417</v>
      </c>
      <c r="D2554" s="1">
        <v>29.808199999999999</v>
      </c>
      <c r="E2554" s="1">
        <v>-98.278300000000002</v>
      </c>
      <c r="F2554" s="1" t="s">
        <v>1922</v>
      </c>
      <c r="G2554" s="22">
        <v>766.84493877306022</v>
      </c>
      <c r="H2554" s="20">
        <f ca="1">NOW() - TIME(5,30,0) + (VLOOKUP(MasterTable[[#This Row],[TimeZone]], $O$3:$P$8, 2, FALSE) / 24)</f>
        <v>45990.531878125003</v>
      </c>
      <c r="I2554" s="1" t="s">
        <v>1944</v>
      </c>
      <c r="J2554" s="1">
        <v>574.59</v>
      </c>
      <c r="K2554" s="11"/>
      <c r="L2554" s="13"/>
      <c r="M2554" s="13"/>
    </row>
    <row r="2555" spans="1:13" x14ac:dyDescent="0.25">
      <c r="A2555" s="1" t="s">
        <v>7</v>
      </c>
      <c r="B2555" s="1" t="s">
        <v>8</v>
      </c>
      <c r="C2555" s="1" t="s">
        <v>425</v>
      </c>
      <c r="D2555" s="1">
        <v>31.8691</v>
      </c>
      <c r="E2555" s="1">
        <v>-102.0316</v>
      </c>
      <c r="F2555" s="1" t="s">
        <v>1922</v>
      </c>
      <c r="G2555" s="22">
        <v>521.38602464063149</v>
      </c>
      <c r="H2555" s="20">
        <f ca="1">NOW() - TIME(5,30,0) + (VLOOKUP(MasterTable[[#This Row],[TimeZone]], $O$3:$P$8, 2, FALSE) / 24)</f>
        <v>45990.531878125003</v>
      </c>
      <c r="I2555" s="1" t="s">
        <v>1944</v>
      </c>
      <c r="J2555" s="1">
        <v>527.89</v>
      </c>
      <c r="K2555" s="11"/>
      <c r="L2555" s="13"/>
      <c r="M2555" s="13"/>
    </row>
    <row r="2556" spans="1:13" x14ac:dyDescent="0.25">
      <c r="A2556" s="1" t="s">
        <v>7</v>
      </c>
      <c r="B2556" s="1" t="s">
        <v>8</v>
      </c>
      <c r="C2556" s="1" t="s">
        <v>445</v>
      </c>
      <c r="D2556" s="1">
        <v>31.869199999999999</v>
      </c>
      <c r="E2556" s="1">
        <v>-102.5429</v>
      </c>
      <c r="F2556" s="1" t="s">
        <v>1922</v>
      </c>
      <c r="G2556" s="22">
        <v>491.49787075153785</v>
      </c>
      <c r="H2556" s="20">
        <f ca="1">NOW() - TIME(5,30,0) + (VLOOKUP(MasterTable[[#This Row],[TimeZone]], $O$3:$P$8, 2, FALSE) / 24)</f>
        <v>45990.531878125003</v>
      </c>
      <c r="I2556" s="1" t="s">
        <v>1944</v>
      </c>
      <c r="J2556" s="1">
        <v>901.68</v>
      </c>
      <c r="K2556" s="11"/>
      <c r="L2556" s="13"/>
      <c r="M2556" s="13"/>
    </row>
    <row r="2557" spans="1:13" x14ac:dyDescent="0.25">
      <c r="A2557" s="1" t="s">
        <v>7</v>
      </c>
      <c r="B2557" s="1" t="s">
        <v>8</v>
      </c>
      <c r="C2557" s="1" t="s">
        <v>450</v>
      </c>
      <c r="D2557" s="1">
        <v>32.599299999999999</v>
      </c>
      <c r="E2557" s="1">
        <v>-96.287800000000004</v>
      </c>
      <c r="F2557" s="1" t="s">
        <v>1922</v>
      </c>
      <c r="G2557" s="22">
        <v>853.66257227574727</v>
      </c>
      <c r="H2557" s="20">
        <f ca="1">NOW() - TIME(5,30,0) + (VLOOKUP(MasterTable[[#This Row],[TimeZone]], $O$3:$P$8, 2, FALSE) / 24)</f>
        <v>45990.531878125003</v>
      </c>
      <c r="I2557" s="1" t="s">
        <v>1944</v>
      </c>
      <c r="J2557" s="1">
        <v>806.81</v>
      </c>
      <c r="K2557" s="11"/>
      <c r="L2557" s="13"/>
      <c r="M2557" s="13"/>
    </row>
    <row r="2558" spans="1:13" x14ac:dyDescent="0.25">
      <c r="A2558" s="1" t="s">
        <v>7</v>
      </c>
      <c r="B2558" s="1" t="s">
        <v>8</v>
      </c>
      <c r="C2558" s="1" t="s">
        <v>462</v>
      </c>
      <c r="D2558" s="1">
        <v>32.7776</v>
      </c>
      <c r="E2558" s="1">
        <v>-97.805099999999996</v>
      </c>
      <c r="F2558" s="1" t="s">
        <v>1922</v>
      </c>
      <c r="G2558" s="22">
        <v>765.14377193542589</v>
      </c>
      <c r="H2558" s="20">
        <f ca="1">NOW() - TIME(5,30,0) + (VLOOKUP(MasterTable[[#This Row],[TimeZone]], $O$3:$P$8, 2, FALSE) / 24)</f>
        <v>45990.531878125003</v>
      </c>
      <c r="I2558" s="1" t="s">
        <v>1944</v>
      </c>
      <c r="J2558" s="1">
        <v>910.09</v>
      </c>
      <c r="K2558" s="11"/>
      <c r="L2558" s="13"/>
      <c r="M2558" s="13"/>
    </row>
    <row r="2559" spans="1:13" x14ac:dyDescent="0.25">
      <c r="A2559" s="1" t="s">
        <v>7</v>
      </c>
      <c r="B2559" s="1" t="s">
        <v>8</v>
      </c>
      <c r="C2559" s="1" t="s">
        <v>480</v>
      </c>
      <c r="D2559" s="1">
        <v>32.301499999999997</v>
      </c>
      <c r="E2559" s="1">
        <v>-99.890100000000004</v>
      </c>
      <c r="F2559" s="1" t="s">
        <v>1922</v>
      </c>
      <c r="G2559" s="22">
        <v>644.59868633297617</v>
      </c>
      <c r="H2559" s="20">
        <f ca="1">NOW() - TIME(5,30,0) + (VLOOKUP(MasterTable[[#This Row],[TimeZone]], $O$3:$P$8, 2, FALSE) / 24)</f>
        <v>45990.531878125003</v>
      </c>
      <c r="I2559" s="1" t="s">
        <v>1944</v>
      </c>
      <c r="J2559" s="1">
        <v>1232.01</v>
      </c>
      <c r="K2559" s="11"/>
      <c r="L2559" s="13"/>
      <c r="M2559" s="13"/>
    </row>
    <row r="2560" spans="1:13" x14ac:dyDescent="0.25">
      <c r="A2560" s="1" t="s">
        <v>7</v>
      </c>
      <c r="B2560" s="1" t="s">
        <v>8</v>
      </c>
      <c r="C2560" s="1" t="s">
        <v>482</v>
      </c>
      <c r="D2560" s="1">
        <v>34.965899999999998</v>
      </c>
      <c r="E2560" s="1">
        <v>-101.89700000000001</v>
      </c>
      <c r="F2560" s="1" t="s">
        <v>1922</v>
      </c>
      <c r="G2560" s="22">
        <v>552.9581459962709</v>
      </c>
      <c r="H2560" s="20">
        <f ca="1">NOW() - TIME(5,30,0) + (VLOOKUP(MasterTable[[#This Row],[TimeZone]], $O$3:$P$8, 2, FALSE) / 24)</f>
        <v>45990.531878125003</v>
      </c>
      <c r="I2560" s="1" t="s">
        <v>1944</v>
      </c>
      <c r="J2560" s="1">
        <v>922.42</v>
      </c>
      <c r="K2560" s="11"/>
      <c r="L2560" s="13"/>
      <c r="M2560" s="13"/>
    </row>
    <row r="2561" spans="1:13" x14ac:dyDescent="0.25">
      <c r="A2561" s="1" t="s">
        <v>7</v>
      </c>
      <c r="B2561" s="1" t="s">
        <v>8</v>
      </c>
      <c r="C2561" s="1" t="s">
        <v>486</v>
      </c>
      <c r="D2561" s="1">
        <v>33.626800000000003</v>
      </c>
      <c r="E2561" s="1">
        <v>-96.677700000000002</v>
      </c>
      <c r="F2561" s="1" t="s">
        <v>1922</v>
      </c>
      <c r="G2561" s="22">
        <v>831.43729174817929</v>
      </c>
      <c r="H2561" s="20">
        <f ca="1">NOW() - TIME(5,30,0) + (VLOOKUP(MasterTable[[#This Row],[TimeZone]], $O$3:$P$8, 2, FALSE) / 24)</f>
        <v>45990.531878125003</v>
      </c>
      <c r="I2561" s="1" t="s">
        <v>1944</v>
      </c>
      <c r="J2561" s="1">
        <v>510.85</v>
      </c>
      <c r="K2561" s="11"/>
      <c r="L2561" s="13"/>
      <c r="M2561" s="13"/>
    </row>
    <row r="2562" spans="1:13" x14ac:dyDescent="0.25">
      <c r="A2562" s="1" t="s">
        <v>7</v>
      </c>
      <c r="B2562" s="1" t="s">
        <v>8</v>
      </c>
      <c r="C2562" s="1" t="s">
        <v>506</v>
      </c>
      <c r="D2562" s="1">
        <v>33.988</v>
      </c>
      <c r="E2562" s="1">
        <v>-98.703500000000005</v>
      </c>
      <c r="F2562" s="1" t="s">
        <v>1922</v>
      </c>
      <c r="G2562" s="22">
        <v>717.47273663512215</v>
      </c>
      <c r="H2562" s="20">
        <f ca="1">NOW() - TIME(5,30,0) + (VLOOKUP(MasterTable[[#This Row],[TimeZone]], $O$3:$P$8, 2, FALSE) / 24)</f>
        <v>45990.531878125003</v>
      </c>
      <c r="I2562" s="1" t="s">
        <v>1944</v>
      </c>
      <c r="J2562" s="1">
        <v>718.54</v>
      </c>
      <c r="K2562" s="11"/>
      <c r="L2562" s="13"/>
      <c r="M2562" s="13"/>
    </row>
    <row r="2563" spans="1:13" x14ac:dyDescent="0.25">
      <c r="A2563" s="1" t="s">
        <v>7</v>
      </c>
      <c r="B2563" s="1" t="s">
        <v>8</v>
      </c>
      <c r="C2563" s="1" t="s">
        <v>520</v>
      </c>
      <c r="D2563" s="1">
        <v>32.480499999999999</v>
      </c>
      <c r="E2563" s="1">
        <v>-94.816999999999993</v>
      </c>
      <c r="F2563" s="1" t="s">
        <v>1922</v>
      </c>
      <c r="G2563" s="22">
        <v>939.63010704344617</v>
      </c>
      <c r="H2563" s="20">
        <f ca="1">NOW() - TIME(5,30,0) + (VLOOKUP(MasterTable[[#This Row],[TimeZone]], $O$3:$P$8, 2, FALSE) / 24)</f>
        <v>45990.531878125003</v>
      </c>
      <c r="I2563" s="1" t="s">
        <v>1944</v>
      </c>
      <c r="J2563" s="1">
        <v>276.37</v>
      </c>
      <c r="K2563" s="11"/>
      <c r="L2563" s="13"/>
      <c r="M2563" s="13"/>
    </row>
    <row r="2564" spans="1:13" x14ac:dyDescent="0.25">
      <c r="A2564" s="1" t="s">
        <v>7</v>
      </c>
      <c r="B2564" s="1" t="s">
        <v>8</v>
      </c>
      <c r="C2564" s="1" t="s">
        <v>531</v>
      </c>
      <c r="D2564" s="1">
        <v>31.404399999999999</v>
      </c>
      <c r="E2564" s="1">
        <v>-100.46210000000001</v>
      </c>
      <c r="F2564" s="1" t="s">
        <v>1922</v>
      </c>
      <c r="G2564" s="22">
        <v>616.78240925656212</v>
      </c>
      <c r="H2564" s="20">
        <f ca="1">NOW() - TIME(5,30,0) + (VLOOKUP(MasterTable[[#This Row],[TimeZone]], $O$3:$P$8, 2, FALSE) / 24)</f>
        <v>45990.531878125003</v>
      </c>
      <c r="I2564" s="1" t="s">
        <v>1944</v>
      </c>
      <c r="J2564" s="1">
        <v>1540.54</v>
      </c>
      <c r="K2564" s="11"/>
      <c r="L2564" s="13"/>
      <c r="M2564" s="13"/>
    </row>
    <row r="2565" spans="1:13" x14ac:dyDescent="0.25">
      <c r="A2565" s="1" t="s">
        <v>7</v>
      </c>
      <c r="B2565" s="1" t="s">
        <v>8</v>
      </c>
      <c r="C2565" s="1" t="s">
        <v>536</v>
      </c>
      <c r="D2565" s="1">
        <v>32.897799999999997</v>
      </c>
      <c r="E2565" s="1">
        <v>-96.407899999999998</v>
      </c>
      <c r="F2565" s="1" t="s">
        <v>1922</v>
      </c>
      <c r="G2565" s="22">
        <v>846.14955767748415</v>
      </c>
      <c r="H2565" s="20">
        <f ca="1">NOW() - TIME(5,30,0) + (VLOOKUP(MasterTable[[#This Row],[TimeZone]], $O$3:$P$8, 2, FALSE) / 24)</f>
        <v>45990.531878125003</v>
      </c>
      <c r="I2565" s="1" t="s">
        <v>1944</v>
      </c>
      <c r="J2565" s="1">
        <v>148.69999999999999</v>
      </c>
      <c r="K2565" s="11"/>
      <c r="L2565" s="13"/>
      <c r="M2565" s="13"/>
    </row>
    <row r="2566" spans="1:13" x14ac:dyDescent="0.25">
      <c r="A2566" s="1" t="s">
        <v>7</v>
      </c>
      <c r="B2566" s="1" t="s">
        <v>8</v>
      </c>
      <c r="C2566" s="1" t="s">
        <v>538</v>
      </c>
      <c r="D2566" s="1">
        <v>35.401299999999999</v>
      </c>
      <c r="E2566" s="1">
        <v>-101.8939</v>
      </c>
      <c r="F2566" s="1" t="s">
        <v>1922</v>
      </c>
      <c r="G2566" s="22">
        <v>562.8968905346851</v>
      </c>
      <c r="H2566" s="20">
        <f ca="1">NOW() - TIME(5,30,0) + (VLOOKUP(MasterTable[[#This Row],[TimeZone]], $O$3:$P$8, 2, FALSE) / 24)</f>
        <v>45990.531878125003</v>
      </c>
      <c r="I2566" s="1" t="s">
        <v>1944</v>
      </c>
      <c r="J2566" s="1">
        <v>1081.42</v>
      </c>
      <c r="K2566" s="11"/>
      <c r="L2566" s="13"/>
      <c r="M2566" s="13"/>
    </row>
    <row r="2567" spans="1:13" x14ac:dyDescent="0.25">
      <c r="A2567" s="1" t="s">
        <v>7</v>
      </c>
      <c r="B2567" s="1" t="s">
        <v>8</v>
      </c>
      <c r="C2567" s="1" t="s">
        <v>572</v>
      </c>
      <c r="D2567" s="1">
        <v>33.123600000000003</v>
      </c>
      <c r="E2567" s="1">
        <v>-96.085499999999996</v>
      </c>
      <c r="F2567" s="1" t="s">
        <v>1922</v>
      </c>
      <c r="G2567" s="22">
        <v>864.73664202601935</v>
      </c>
      <c r="H2567" s="20">
        <f ca="1">NOW() - TIME(5,30,0) + (VLOOKUP(MasterTable[[#This Row],[TimeZone]], $O$3:$P$8, 2, FALSE) / 24)</f>
        <v>45990.531878125003</v>
      </c>
      <c r="I2567" s="1" t="s">
        <v>1944</v>
      </c>
      <c r="J2567" s="1">
        <v>882.02</v>
      </c>
      <c r="K2567" s="11"/>
      <c r="L2567" s="13"/>
      <c r="M2567" s="13"/>
    </row>
    <row r="2568" spans="1:13" x14ac:dyDescent="0.25">
      <c r="A2568" s="1" t="s">
        <v>7</v>
      </c>
      <c r="B2568" s="1" t="s">
        <v>8</v>
      </c>
      <c r="C2568" s="1" t="s">
        <v>584</v>
      </c>
      <c r="D2568" s="1">
        <v>30.1036</v>
      </c>
      <c r="E2568" s="1">
        <v>-97.311999999999998</v>
      </c>
      <c r="F2568" s="1" t="s">
        <v>1922</v>
      </c>
      <c r="G2568" s="22">
        <v>817.58433022998906</v>
      </c>
      <c r="H2568" s="20">
        <f ca="1">NOW() - TIME(5,30,0) + (VLOOKUP(MasterTable[[#This Row],[TimeZone]], $O$3:$P$8, 2, FALSE) / 24)</f>
        <v>45990.531878125003</v>
      </c>
      <c r="I2568" s="1" t="s">
        <v>1944</v>
      </c>
      <c r="J2568" s="1">
        <v>895.92</v>
      </c>
      <c r="K2568" s="11"/>
      <c r="L2568" s="13"/>
      <c r="M2568" s="13"/>
    </row>
    <row r="2569" spans="1:13" x14ac:dyDescent="0.25">
      <c r="A2569" s="1" t="s">
        <v>7</v>
      </c>
      <c r="B2569" s="1" t="s">
        <v>8</v>
      </c>
      <c r="C2569" s="1" t="s">
        <v>603</v>
      </c>
      <c r="D2569" s="1">
        <v>30.151599999999998</v>
      </c>
      <c r="E2569" s="1">
        <v>-94.812200000000004</v>
      </c>
      <c r="F2569" s="1" t="s">
        <v>1922</v>
      </c>
      <c r="G2569" s="22">
        <v>962.28251034278185</v>
      </c>
      <c r="H2569" s="20">
        <f ca="1">NOW() - TIME(5,30,0) + (VLOOKUP(MasterTable[[#This Row],[TimeZone]], $O$3:$P$8, 2, FALSE) / 24)</f>
        <v>45990.531878125003</v>
      </c>
      <c r="I2569" s="1" t="s">
        <v>1944</v>
      </c>
      <c r="J2569" s="1">
        <v>843.16</v>
      </c>
      <c r="K2569" s="11"/>
      <c r="L2569" s="13"/>
      <c r="M2569" s="13"/>
    </row>
    <row r="2570" spans="1:13" x14ac:dyDescent="0.25">
      <c r="A2570" s="1" t="s">
        <v>7</v>
      </c>
      <c r="B2570" s="1" t="s">
        <v>8</v>
      </c>
      <c r="C2570" s="1" t="s">
        <v>625</v>
      </c>
      <c r="D2570" s="1">
        <v>33.445799999999998</v>
      </c>
      <c r="E2570" s="1">
        <v>-94.423400000000001</v>
      </c>
      <c r="F2570" s="1" t="s">
        <v>1922</v>
      </c>
      <c r="G2570" s="22">
        <v>960.86432907744825</v>
      </c>
      <c r="H2570" s="20">
        <f ca="1">NOW() - TIME(5,30,0) + (VLOOKUP(MasterTable[[#This Row],[TimeZone]], $O$3:$P$8, 2, FALSE) / 24)</f>
        <v>45990.531878125003</v>
      </c>
      <c r="I2570" s="1" t="s">
        <v>1944</v>
      </c>
      <c r="J2570" s="1">
        <v>922.77</v>
      </c>
      <c r="K2570" s="11"/>
      <c r="L2570" s="13"/>
      <c r="M2570" s="13"/>
    </row>
    <row r="2571" spans="1:13" x14ac:dyDescent="0.25">
      <c r="A2571" s="1" t="s">
        <v>7</v>
      </c>
      <c r="B2571" s="1" t="s">
        <v>8</v>
      </c>
      <c r="C2571" s="1" t="s">
        <v>628</v>
      </c>
      <c r="D2571" s="1">
        <v>28.796399999999998</v>
      </c>
      <c r="E2571" s="1">
        <v>-96.971500000000006</v>
      </c>
      <c r="F2571" s="1" t="s">
        <v>1922</v>
      </c>
      <c r="G2571" s="22">
        <v>863.0570566973862</v>
      </c>
      <c r="H2571" s="20">
        <f ca="1">NOW() - TIME(5,30,0) + (VLOOKUP(MasterTable[[#This Row],[TimeZone]], $O$3:$P$8, 2, FALSE) / 24)</f>
        <v>45990.531878125003</v>
      </c>
      <c r="I2571" s="1" t="s">
        <v>1944</v>
      </c>
      <c r="J2571" s="1">
        <v>888.73</v>
      </c>
      <c r="K2571" s="11"/>
      <c r="L2571" s="13"/>
      <c r="M2571" s="13"/>
    </row>
    <row r="2572" spans="1:13" x14ac:dyDescent="0.25">
      <c r="A2572" s="1" t="s">
        <v>7</v>
      </c>
      <c r="B2572" s="1" t="s">
        <v>8</v>
      </c>
      <c r="C2572" s="1" t="s">
        <v>641</v>
      </c>
      <c r="D2572" s="1">
        <v>31.254799999999999</v>
      </c>
      <c r="E2572" s="1">
        <v>-94.611900000000006</v>
      </c>
      <c r="F2572" s="1" t="s">
        <v>1922</v>
      </c>
      <c r="G2572" s="22">
        <v>960.12480745849962</v>
      </c>
      <c r="H2572" s="20">
        <f ca="1">NOW() - TIME(5,30,0) + (VLOOKUP(MasterTable[[#This Row],[TimeZone]], $O$3:$P$8, 2, FALSE) / 24)</f>
        <v>45990.531878125003</v>
      </c>
      <c r="I2572" s="1" t="s">
        <v>1944</v>
      </c>
      <c r="J2572" s="1">
        <v>864.45</v>
      </c>
      <c r="K2572" s="11"/>
      <c r="L2572" s="13"/>
      <c r="M2572" s="13"/>
    </row>
    <row r="2573" spans="1:13" x14ac:dyDescent="0.25">
      <c r="A2573" s="1" t="s">
        <v>7</v>
      </c>
      <c r="B2573" s="1" t="s">
        <v>8</v>
      </c>
      <c r="C2573" s="1" t="s">
        <v>13</v>
      </c>
      <c r="D2573" s="1">
        <v>30.121300000000002</v>
      </c>
      <c r="E2573" s="1">
        <v>-93.893900000000002</v>
      </c>
      <c r="F2573" s="1" t="s">
        <v>1922</v>
      </c>
      <c r="G2573" s="22">
        <v>1016.2893573965354</v>
      </c>
      <c r="H2573" s="20">
        <f ca="1">NOW() - TIME(5,30,0) + (VLOOKUP(MasterTable[[#This Row],[TimeZone]], $O$3:$P$8, 2, FALSE) / 24)</f>
        <v>45990.531878125003</v>
      </c>
      <c r="I2573" s="1" t="s">
        <v>1944</v>
      </c>
      <c r="J2573" s="1">
        <v>947.98</v>
      </c>
      <c r="K2573" s="11"/>
      <c r="L2573" s="13"/>
      <c r="M2573" s="13"/>
    </row>
    <row r="2574" spans="1:13" x14ac:dyDescent="0.25">
      <c r="A2574" s="1" t="s">
        <v>7</v>
      </c>
      <c r="B2574" s="1" t="s">
        <v>8</v>
      </c>
      <c r="C2574" s="1" t="s">
        <v>652</v>
      </c>
      <c r="D2574" s="1">
        <v>31.390899999999998</v>
      </c>
      <c r="E2574" s="1">
        <v>-97.799300000000002</v>
      </c>
      <c r="F2574" s="1" t="s">
        <v>1922</v>
      </c>
      <c r="G2574" s="22">
        <v>772.50060023999663</v>
      </c>
      <c r="H2574" s="20">
        <f ca="1">NOW() - TIME(5,30,0) + (VLOOKUP(MasterTable[[#This Row],[TimeZone]], $O$3:$P$8, 2, FALSE) / 24)</f>
        <v>45990.531878125003</v>
      </c>
      <c r="I2574" s="1" t="s">
        <v>1944</v>
      </c>
      <c r="J2574" s="1">
        <v>1056.73</v>
      </c>
      <c r="K2574" s="11"/>
      <c r="L2574" s="13"/>
      <c r="M2574" s="13"/>
    </row>
    <row r="2575" spans="1:13" x14ac:dyDescent="0.25">
      <c r="A2575" s="1" t="s">
        <v>7</v>
      </c>
      <c r="B2575" s="1" t="s">
        <v>8</v>
      </c>
      <c r="C2575" s="1" t="s">
        <v>535</v>
      </c>
      <c r="D2575" s="1">
        <v>32.2119</v>
      </c>
      <c r="E2575" s="1">
        <v>-95.8536</v>
      </c>
      <c r="F2575" s="1" t="s">
        <v>1922</v>
      </c>
      <c r="G2575" s="22">
        <v>880.42291926505914</v>
      </c>
      <c r="H2575" s="20">
        <f ca="1">NOW() - TIME(5,30,0) + (VLOOKUP(MasterTable[[#This Row],[TimeZone]], $O$3:$P$8, 2, FALSE) / 24)</f>
        <v>45990.531878125003</v>
      </c>
      <c r="I2575" s="1" t="s">
        <v>1944</v>
      </c>
      <c r="J2575" s="1">
        <v>395.12</v>
      </c>
      <c r="K2575" s="11"/>
      <c r="L2575" s="13"/>
      <c r="M2575" s="13"/>
    </row>
    <row r="2576" spans="1:13" x14ac:dyDescent="0.25">
      <c r="A2576" s="1" t="s">
        <v>7</v>
      </c>
      <c r="B2576" s="1" t="s">
        <v>8</v>
      </c>
      <c r="C2576" s="1" t="s">
        <v>678</v>
      </c>
      <c r="D2576" s="1">
        <v>30.739000000000001</v>
      </c>
      <c r="E2576" s="1">
        <v>-95.572299999999998</v>
      </c>
      <c r="F2576" s="1" t="s">
        <v>1922</v>
      </c>
      <c r="G2576" s="22">
        <v>909.77974511470086</v>
      </c>
      <c r="H2576" s="20">
        <f ca="1">NOW() - TIME(5,30,0) + (VLOOKUP(MasterTable[[#This Row],[TimeZone]], $O$3:$P$8, 2, FALSE) / 24)</f>
        <v>45990.531878125003</v>
      </c>
      <c r="I2576" s="1" t="s">
        <v>1944</v>
      </c>
      <c r="J2576" s="1">
        <v>805.3</v>
      </c>
      <c r="K2576" s="11"/>
      <c r="L2576" s="13"/>
      <c r="M2576" s="13"/>
    </row>
    <row r="2577" spans="1:13" x14ac:dyDescent="0.25">
      <c r="A2577" s="1" t="s">
        <v>7</v>
      </c>
      <c r="B2577" s="1" t="s">
        <v>8</v>
      </c>
      <c r="C2577" s="1" t="s">
        <v>704</v>
      </c>
      <c r="D2577" s="1">
        <v>33.215899999999998</v>
      </c>
      <c r="E2577" s="1">
        <v>-97.654499999999999</v>
      </c>
      <c r="F2577" s="1" t="s">
        <v>1922</v>
      </c>
      <c r="G2577" s="22">
        <v>774.08275342107538</v>
      </c>
      <c r="H2577" s="20">
        <f ca="1">NOW() - TIME(5,30,0) + (VLOOKUP(MasterTable[[#This Row],[TimeZone]], $O$3:$P$8, 2, FALSE) / 24)</f>
        <v>45990.531878125003</v>
      </c>
      <c r="I2577" s="1" t="s">
        <v>1944</v>
      </c>
      <c r="J2577" s="1">
        <v>922.77</v>
      </c>
      <c r="K2577" s="11"/>
      <c r="L2577" s="13"/>
      <c r="M2577" s="13"/>
    </row>
    <row r="2578" spans="1:13" x14ac:dyDescent="0.25">
      <c r="A2578" s="1" t="s">
        <v>7</v>
      </c>
      <c r="B2578" s="1" t="s">
        <v>8</v>
      </c>
      <c r="C2578" s="1" t="s">
        <v>364</v>
      </c>
      <c r="D2578" s="1">
        <v>32.548099999999998</v>
      </c>
      <c r="E2578" s="1">
        <v>-94.371499999999997</v>
      </c>
      <c r="F2578" s="1" t="s">
        <v>1922</v>
      </c>
      <c r="G2578" s="22">
        <v>965.28827095570909</v>
      </c>
      <c r="H2578" s="20">
        <f ca="1">NOW() - TIME(5,30,0) + (VLOOKUP(MasterTable[[#This Row],[TimeZone]], $O$3:$P$8, 2, FALSE) / 24)</f>
        <v>45990.531878125003</v>
      </c>
      <c r="I2578" s="1" t="s">
        <v>1944</v>
      </c>
      <c r="J2578" s="1">
        <v>486.88</v>
      </c>
      <c r="K2578" s="11"/>
      <c r="L2578" s="13"/>
      <c r="M2578" s="13"/>
    </row>
    <row r="2579" spans="1:13" x14ac:dyDescent="0.25">
      <c r="A2579" s="1" t="s">
        <v>7</v>
      </c>
      <c r="B2579" s="1" t="s">
        <v>8</v>
      </c>
      <c r="C2579" s="1" t="s">
        <v>711</v>
      </c>
      <c r="D2579" s="1">
        <v>28.0092</v>
      </c>
      <c r="E2579" s="1">
        <v>-97.518799999999999</v>
      </c>
      <c r="F2579" s="1" t="s">
        <v>1922</v>
      </c>
      <c r="G2579" s="22">
        <v>851.83318887284656</v>
      </c>
      <c r="H2579" s="20">
        <f ca="1">NOW() - TIME(5,30,0) + (VLOOKUP(MasterTable[[#This Row],[TimeZone]], $O$3:$P$8, 2, FALSE) / 24)</f>
        <v>45990.531878125003</v>
      </c>
      <c r="I2579" s="1" t="s">
        <v>1944</v>
      </c>
      <c r="J2579" s="1">
        <v>707.06</v>
      </c>
      <c r="K2579" s="11"/>
      <c r="L2579" s="13"/>
      <c r="M2579" s="13"/>
    </row>
    <row r="2580" spans="1:13" x14ac:dyDescent="0.25">
      <c r="A2580" s="1" t="s">
        <v>7</v>
      </c>
      <c r="B2580" s="1" t="s">
        <v>8</v>
      </c>
      <c r="C2580" s="1" t="s">
        <v>741</v>
      </c>
      <c r="D2580" s="1">
        <v>26.562100000000001</v>
      </c>
      <c r="E2580" s="1">
        <v>-98.738699999999994</v>
      </c>
      <c r="F2580" s="1" t="s">
        <v>1922</v>
      </c>
      <c r="G2580" s="22">
        <v>830.64624423015607</v>
      </c>
      <c r="H2580" s="20">
        <f ca="1">NOW() - TIME(5,30,0) + (VLOOKUP(MasterTable[[#This Row],[TimeZone]], $O$3:$P$8, 2, FALSE) / 24)</f>
        <v>45990.531878125003</v>
      </c>
      <c r="I2580" s="1" t="s">
        <v>1944</v>
      </c>
      <c r="J2580" s="1">
        <v>1229.28</v>
      </c>
      <c r="K2580" s="11"/>
      <c r="L2580" s="13"/>
      <c r="M2580" s="13"/>
    </row>
    <row r="2581" spans="1:13" x14ac:dyDescent="0.25">
      <c r="A2581" s="1" t="s">
        <v>7</v>
      </c>
      <c r="B2581" s="1" t="s">
        <v>8</v>
      </c>
      <c r="C2581" s="1" t="s">
        <v>750</v>
      </c>
      <c r="D2581" s="1">
        <v>31.616</v>
      </c>
      <c r="E2581" s="1">
        <v>-94.615899999999996</v>
      </c>
      <c r="F2581" s="1" t="s">
        <v>1922</v>
      </c>
      <c r="G2581" s="22">
        <v>956.61300444784172</v>
      </c>
      <c r="H2581" s="20">
        <f ca="1">NOW() - TIME(5,30,0) + (VLOOKUP(MasterTable[[#This Row],[TimeZone]], $O$3:$P$8, 2, FALSE) / 24)</f>
        <v>45990.531878125003</v>
      </c>
      <c r="I2581" s="1" t="s">
        <v>1944</v>
      </c>
      <c r="J2581" s="1">
        <v>981.33</v>
      </c>
      <c r="K2581" s="11"/>
      <c r="L2581" s="13"/>
      <c r="M2581" s="13"/>
    </row>
    <row r="2582" spans="1:13" x14ac:dyDescent="0.25">
      <c r="A2582" s="1" t="s">
        <v>7</v>
      </c>
      <c r="B2582" s="1" t="s">
        <v>8</v>
      </c>
      <c r="C2582" s="1" t="s">
        <v>757</v>
      </c>
      <c r="D2582" s="1">
        <v>32.429900000000004</v>
      </c>
      <c r="E2582" s="1">
        <v>-97.832300000000004</v>
      </c>
      <c r="F2582" s="1" t="s">
        <v>1922</v>
      </c>
      <c r="G2582" s="22">
        <v>764.213235360201</v>
      </c>
      <c r="H2582" s="20">
        <f ca="1">NOW() - TIME(5,30,0) + (VLOOKUP(MasterTable[[#This Row],[TimeZone]], $O$3:$P$8, 2, FALSE) / 24)</f>
        <v>45990.531878125003</v>
      </c>
      <c r="I2582" s="1" t="s">
        <v>1944</v>
      </c>
      <c r="J2582" s="1">
        <v>436.8</v>
      </c>
      <c r="K2582" s="11"/>
      <c r="L2582" s="13"/>
      <c r="M2582" s="13"/>
    </row>
    <row r="2583" spans="1:13" x14ac:dyDescent="0.25">
      <c r="A2583" s="1" t="s">
        <v>7</v>
      </c>
      <c r="B2583" s="1" t="s">
        <v>8</v>
      </c>
      <c r="C2583" s="1" t="s">
        <v>771</v>
      </c>
      <c r="D2583" s="1">
        <v>32.563699999999997</v>
      </c>
      <c r="E2583" s="1">
        <v>-95.836500000000001</v>
      </c>
      <c r="F2583" s="1" t="s">
        <v>1922</v>
      </c>
      <c r="G2583" s="22">
        <v>880.01790203725909</v>
      </c>
      <c r="H2583" s="20">
        <f ca="1">NOW() - TIME(5,30,0) + (VLOOKUP(MasterTable[[#This Row],[TimeZone]], $O$3:$P$8, 2, FALSE) / 24)</f>
        <v>45990.531878125003</v>
      </c>
      <c r="I2583" s="1" t="s">
        <v>1944</v>
      </c>
      <c r="J2583" s="1">
        <v>859.48</v>
      </c>
      <c r="K2583" s="11"/>
      <c r="L2583" s="13"/>
      <c r="M2583" s="13"/>
    </row>
    <row r="2584" spans="1:13" x14ac:dyDescent="0.25">
      <c r="A2584" s="1" t="s">
        <v>7</v>
      </c>
      <c r="B2584" s="1" t="s">
        <v>8</v>
      </c>
      <c r="C2584" s="1" t="s">
        <v>784</v>
      </c>
      <c r="D2584" s="1">
        <v>30.0108</v>
      </c>
      <c r="E2584" s="1">
        <v>-95.9876</v>
      </c>
      <c r="F2584" s="1" t="s">
        <v>1922</v>
      </c>
      <c r="G2584" s="22">
        <v>896.05551359115441</v>
      </c>
      <c r="H2584" s="20">
        <f ca="1">NOW() - TIME(5,30,0) + (VLOOKUP(MasterTable[[#This Row],[TimeZone]], $O$3:$P$8, 2, FALSE) / 24)</f>
        <v>45990.531878125003</v>
      </c>
      <c r="I2584" s="1" t="s">
        <v>1944</v>
      </c>
      <c r="J2584" s="1">
        <v>518.49</v>
      </c>
      <c r="K2584" s="11"/>
      <c r="L2584" s="13"/>
      <c r="M2584" s="18"/>
    </row>
    <row r="2585" spans="1:13" x14ac:dyDescent="0.25">
      <c r="A2585" s="1" t="s">
        <v>7</v>
      </c>
      <c r="B2585" s="1" t="s">
        <v>8</v>
      </c>
      <c r="C2585" s="1" t="s">
        <v>369</v>
      </c>
      <c r="D2585" s="1">
        <v>31.813300000000002</v>
      </c>
      <c r="E2585" s="1">
        <v>-95.652500000000003</v>
      </c>
      <c r="F2585" s="1" t="s">
        <v>1922</v>
      </c>
      <c r="G2585" s="22">
        <v>894.54878964571378</v>
      </c>
      <c r="H2585" s="20">
        <f ca="1">NOW() - TIME(5,30,0) + (VLOOKUP(MasterTable[[#This Row],[TimeZone]], $O$3:$P$8, 2, FALSE) / 24)</f>
        <v>45990.531878125003</v>
      </c>
      <c r="I2585" s="1" t="s">
        <v>1944</v>
      </c>
      <c r="J2585" s="1">
        <v>584.29</v>
      </c>
      <c r="K2585" s="11"/>
      <c r="L2585" s="13"/>
      <c r="M2585" s="13"/>
    </row>
    <row r="2586" spans="1:13" x14ac:dyDescent="0.25">
      <c r="A2586" s="1" t="s">
        <v>7</v>
      </c>
      <c r="B2586" s="1" t="s">
        <v>8</v>
      </c>
      <c r="C2586" s="1" t="s">
        <v>796</v>
      </c>
      <c r="D2586" s="1">
        <v>28.742599999999999</v>
      </c>
      <c r="E2586" s="1">
        <v>-100.3145</v>
      </c>
      <c r="F2586" s="1" t="s">
        <v>1922</v>
      </c>
      <c r="G2586" s="22">
        <v>675.69625385578149</v>
      </c>
      <c r="H2586" s="20">
        <f ca="1">NOW() - TIME(5,30,0) + (VLOOKUP(MasterTable[[#This Row],[TimeZone]], $O$3:$P$8, 2, FALSE) / 24)</f>
        <v>45990.531878125003</v>
      </c>
      <c r="I2586" s="1" t="s">
        <v>1944</v>
      </c>
      <c r="J2586" s="1">
        <v>1291.74</v>
      </c>
      <c r="K2586" s="11"/>
      <c r="L2586" s="13"/>
      <c r="M2586" s="13"/>
    </row>
    <row r="2587" spans="1:13" x14ac:dyDescent="0.25">
      <c r="A2587" s="1" t="s">
        <v>7</v>
      </c>
      <c r="B2587" s="1" t="s">
        <v>8</v>
      </c>
      <c r="C2587" s="1" t="s">
        <v>551</v>
      </c>
      <c r="D2587" s="1">
        <v>30.3324</v>
      </c>
      <c r="E2587" s="1">
        <v>-94.390199999999993</v>
      </c>
      <c r="F2587" s="1" t="s">
        <v>1922</v>
      </c>
      <c r="G2587" s="22">
        <v>984.24170465589521</v>
      </c>
      <c r="H2587" s="20">
        <f ca="1">NOW() - TIME(5,30,0) + (VLOOKUP(MasterTable[[#This Row],[TimeZone]], $O$3:$P$8, 2, FALSE) / 24)</f>
        <v>45990.531878125003</v>
      </c>
      <c r="I2587" s="1" t="s">
        <v>1944</v>
      </c>
      <c r="J2587" s="1">
        <v>181.53</v>
      </c>
      <c r="K2587" s="11"/>
      <c r="L2587" s="13"/>
      <c r="M2587" s="13"/>
    </row>
    <row r="2588" spans="1:13" x14ac:dyDescent="0.25">
      <c r="A2588" s="1" t="s">
        <v>7</v>
      </c>
      <c r="B2588" s="1" t="s">
        <v>8</v>
      </c>
      <c r="C2588" s="1" t="s">
        <v>818</v>
      </c>
      <c r="D2588" s="1">
        <v>32.046999999999997</v>
      </c>
      <c r="E2588" s="1">
        <v>-96.472499999999997</v>
      </c>
      <c r="F2588" s="1" t="s">
        <v>1922</v>
      </c>
      <c r="G2588" s="22">
        <v>845.1814866384525</v>
      </c>
      <c r="H2588" s="20">
        <f ca="1">NOW() - TIME(5,30,0) + (VLOOKUP(MasterTable[[#This Row],[TimeZone]], $O$3:$P$8, 2, FALSE) / 24)</f>
        <v>45990.531878125003</v>
      </c>
      <c r="I2588" s="1" t="s">
        <v>1944</v>
      </c>
      <c r="J2588" s="1">
        <v>1086.17</v>
      </c>
      <c r="K2588" s="11"/>
      <c r="L2588" s="13"/>
      <c r="M2588" s="13"/>
    </row>
    <row r="2589" spans="1:13" x14ac:dyDescent="0.25">
      <c r="A2589" s="1" t="s">
        <v>7</v>
      </c>
      <c r="B2589" s="1" t="s">
        <v>8</v>
      </c>
      <c r="C2589" s="1" t="s">
        <v>822</v>
      </c>
      <c r="D2589" s="1">
        <v>30.061499999999999</v>
      </c>
      <c r="E2589" s="1">
        <v>-99.35</v>
      </c>
      <c r="F2589" s="1" t="s">
        <v>1922</v>
      </c>
      <c r="G2589" s="22">
        <v>700.32909135880072</v>
      </c>
      <c r="H2589" s="20">
        <f ca="1">NOW() - TIME(5,30,0) + (VLOOKUP(MasterTable[[#This Row],[TimeZone]], $O$3:$P$8, 2, FALSE) / 24)</f>
        <v>45990.531878125003</v>
      </c>
      <c r="I2589" s="1" t="s">
        <v>1944</v>
      </c>
      <c r="J2589" s="1">
        <v>1107.6600000000001</v>
      </c>
      <c r="K2589" s="11"/>
      <c r="L2589" s="13"/>
      <c r="M2589" s="13"/>
    </row>
    <row r="2590" spans="1:13" x14ac:dyDescent="0.25">
      <c r="A2590" s="1" t="s">
        <v>7</v>
      </c>
      <c r="B2590" s="1" t="s">
        <v>8</v>
      </c>
      <c r="C2590" s="1" t="s">
        <v>827</v>
      </c>
      <c r="D2590" s="1">
        <v>32.107700000000001</v>
      </c>
      <c r="E2590" s="1">
        <v>-94.761799999999994</v>
      </c>
      <c r="F2590" s="1" t="s">
        <v>1922</v>
      </c>
      <c r="G2590" s="22">
        <v>944.65395322063318</v>
      </c>
      <c r="H2590" s="20">
        <f ca="1">NOW() - TIME(5,30,0) + (VLOOKUP(MasterTable[[#This Row],[TimeZone]], $O$3:$P$8, 2, FALSE) / 24)</f>
        <v>45990.531878125003</v>
      </c>
      <c r="I2590" s="1" t="s">
        <v>1944</v>
      </c>
      <c r="J2590" s="1">
        <v>938.62</v>
      </c>
      <c r="K2590" s="11"/>
      <c r="L2590" s="13"/>
      <c r="M2590" s="13"/>
    </row>
    <row r="2591" spans="1:13" x14ac:dyDescent="0.25">
      <c r="A2591" s="1" t="s">
        <v>7</v>
      </c>
      <c r="B2591" s="1" t="s">
        <v>8</v>
      </c>
      <c r="C2591" s="1" t="s">
        <v>400</v>
      </c>
      <c r="D2591" s="1">
        <v>29.355699999999999</v>
      </c>
      <c r="E2591" s="1">
        <v>-99.110100000000003</v>
      </c>
      <c r="F2591" s="1" t="s">
        <v>1922</v>
      </c>
      <c r="G2591" s="22">
        <v>728.37025965317468</v>
      </c>
      <c r="H2591" s="20">
        <f ca="1">NOW() - TIME(5,30,0) + (VLOOKUP(MasterTable[[#This Row],[TimeZone]], $O$3:$P$8, 2, FALSE) / 24)</f>
        <v>45990.531878125003</v>
      </c>
      <c r="I2591" s="1" t="s">
        <v>1944</v>
      </c>
      <c r="J2591" s="1">
        <v>423.11</v>
      </c>
      <c r="K2591" s="11"/>
      <c r="L2591" s="13"/>
      <c r="M2591" s="13"/>
    </row>
    <row r="2592" spans="1:13" x14ac:dyDescent="0.25">
      <c r="A2592" s="1" t="s">
        <v>7</v>
      </c>
      <c r="B2592" s="1" t="s">
        <v>8</v>
      </c>
      <c r="C2592" s="1" t="s">
        <v>134</v>
      </c>
      <c r="D2592" s="1">
        <v>30.7927</v>
      </c>
      <c r="E2592" s="1">
        <v>-94.83</v>
      </c>
      <c r="F2592" s="1" t="s">
        <v>1922</v>
      </c>
      <c r="G2592" s="22">
        <v>952.4814231109716</v>
      </c>
      <c r="H2592" s="20">
        <f ca="1">NOW() - TIME(5,30,0) + (VLOOKUP(MasterTable[[#This Row],[TimeZone]], $O$3:$P$8, 2, FALSE) / 24)</f>
        <v>45990.531878125003</v>
      </c>
      <c r="I2592" s="1" t="s">
        <v>1944</v>
      </c>
      <c r="J2592" s="1">
        <v>862.42</v>
      </c>
      <c r="K2592" s="11"/>
      <c r="L2592" s="13"/>
      <c r="M2592" s="13"/>
    </row>
    <row r="2593" spans="1:13" x14ac:dyDescent="0.25">
      <c r="A2593" s="1" t="s">
        <v>7</v>
      </c>
      <c r="B2593" s="1" t="s">
        <v>8</v>
      </c>
      <c r="C2593" s="1" t="s">
        <v>470</v>
      </c>
      <c r="D2593" s="1">
        <v>29.173999999999999</v>
      </c>
      <c r="E2593" s="1">
        <v>-98.086600000000004</v>
      </c>
      <c r="F2593" s="1" t="s">
        <v>1922</v>
      </c>
      <c r="G2593" s="22">
        <v>790.83427955212198</v>
      </c>
      <c r="H2593" s="20">
        <f ca="1">NOW() - TIME(5,30,0) + (VLOOKUP(MasterTable[[#This Row],[TimeZone]], $O$3:$P$8, 2, FALSE) / 24)</f>
        <v>45990.531878125003</v>
      </c>
      <c r="I2593" s="1" t="s">
        <v>1944</v>
      </c>
      <c r="J2593" s="1">
        <v>574.97</v>
      </c>
      <c r="K2593" s="11"/>
      <c r="L2593" s="13"/>
      <c r="M2593" s="13"/>
    </row>
    <row r="2594" spans="1:13" x14ac:dyDescent="0.25">
      <c r="A2594" s="1" t="s">
        <v>7</v>
      </c>
      <c r="B2594" s="1" t="s">
        <v>8</v>
      </c>
      <c r="C2594" s="1" t="s">
        <v>313</v>
      </c>
      <c r="D2594" s="1">
        <v>31.837</v>
      </c>
      <c r="E2594" s="1">
        <v>-95.165199999999999</v>
      </c>
      <c r="F2594" s="1" t="s">
        <v>1922</v>
      </c>
      <c r="G2594" s="22">
        <v>922.84214608557329</v>
      </c>
      <c r="H2594" s="20">
        <f ca="1">NOW() - TIME(5,30,0) + (VLOOKUP(MasterTable[[#This Row],[TimeZone]], $O$3:$P$8, 2, FALSE) / 24)</f>
        <v>45990.531878125003</v>
      </c>
      <c r="I2594" s="1" t="s">
        <v>1944</v>
      </c>
      <c r="J2594" s="1">
        <v>599.95000000000005</v>
      </c>
      <c r="K2594" s="11"/>
      <c r="L2594" s="13"/>
      <c r="M2594" s="13"/>
    </row>
    <row r="2595" spans="1:13" x14ac:dyDescent="0.25">
      <c r="A2595" s="1" t="s">
        <v>7</v>
      </c>
      <c r="B2595" s="1" t="s">
        <v>8</v>
      </c>
      <c r="C2595" s="1" t="s">
        <v>835</v>
      </c>
      <c r="D2595" s="1">
        <v>30.788399999999999</v>
      </c>
      <c r="E2595" s="1">
        <v>-98.182299999999998</v>
      </c>
      <c r="F2595" s="1" t="s">
        <v>1922</v>
      </c>
      <c r="G2595" s="22">
        <v>756.83090414873561</v>
      </c>
      <c r="H2595" s="20">
        <f ca="1">NOW() - TIME(5,30,0) + (VLOOKUP(MasterTable[[#This Row],[TimeZone]], $O$3:$P$8, 2, FALSE) / 24)</f>
        <v>45990.531878125003</v>
      </c>
      <c r="I2595" s="1" t="s">
        <v>1944</v>
      </c>
      <c r="J2595" s="1">
        <v>1020.96</v>
      </c>
      <c r="K2595" s="11"/>
      <c r="L2595" s="13"/>
      <c r="M2595" s="13"/>
    </row>
    <row r="2596" spans="1:13" x14ac:dyDescent="0.25">
      <c r="A2596" s="1" t="s">
        <v>7</v>
      </c>
      <c r="B2596" s="1" t="s">
        <v>8</v>
      </c>
      <c r="C2596" s="1" t="s">
        <v>746</v>
      </c>
      <c r="D2596" s="1">
        <v>33.667299999999997</v>
      </c>
      <c r="E2596" s="1">
        <v>-95.571200000000005</v>
      </c>
      <c r="F2596" s="1" t="s">
        <v>1922</v>
      </c>
      <c r="G2596" s="22">
        <v>895.14591735683507</v>
      </c>
      <c r="H2596" s="20">
        <f ca="1">NOW() - TIME(5,30,0) + (VLOOKUP(MasterTable[[#This Row],[TimeZone]], $O$3:$P$8, 2, FALSE) / 24)</f>
        <v>45990.531878125003</v>
      </c>
      <c r="I2596" s="1" t="s">
        <v>1944</v>
      </c>
      <c r="J2596" s="1">
        <v>605.47</v>
      </c>
      <c r="K2596" s="11"/>
      <c r="L2596" s="13"/>
      <c r="M2596" s="13"/>
    </row>
    <row r="2597" spans="1:13" x14ac:dyDescent="0.25">
      <c r="A2597" s="1" t="s">
        <v>7</v>
      </c>
      <c r="B2597" s="1" t="s">
        <v>8</v>
      </c>
      <c r="C2597" s="1" t="s">
        <v>844</v>
      </c>
      <c r="D2597" s="1">
        <v>28.8935</v>
      </c>
      <c r="E2597" s="1">
        <v>-98.527199999999993</v>
      </c>
      <c r="F2597" s="1" t="s">
        <v>1922</v>
      </c>
      <c r="G2597" s="22">
        <v>772.22522826683928</v>
      </c>
      <c r="H2597" s="20">
        <f ca="1">NOW() - TIME(5,30,0) + (VLOOKUP(MasterTable[[#This Row],[TimeZone]], $O$3:$P$8, 2, FALSE) / 24)</f>
        <v>45990.531878125003</v>
      </c>
      <c r="I2597" s="1" t="s">
        <v>1944</v>
      </c>
      <c r="J2597" s="1">
        <v>1235.6099999999999</v>
      </c>
      <c r="K2597" s="11"/>
      <c r="L2597" s="13"/>
      <c r="M2597" s="13"/>
    </row>
    <row r="2598" spans="1:13" x14ac:dyDescent="0.25">
      <c r="A2598" s="1" t="s">
        <v>7</v>
      </c>
      <c r="B2598" s="1" t="s">
        <v>8</v>
      </c>
      <c r="C2598" s="1" t="s">
        <v>849</v>
      </c>
      <c r="D2598" s="1">
        <v>29.738399999999999</v>
      </c>
      <c r="E2598" s="1">
        <v>-94.61</v>
      </c>
      <c r="F2598" s="1" t="s">
        <v>1922</v>
      </c>
      <c r="G2598" s="22">
        <v>980.6986896077226</v>
      </c>
      <c r="H2598" s="20">
        <f ca="1">NOW() - TIME(5,30,0) + (VLOOKUP(MasterTable[[#This Row],[TimeZone]], $O$3:$P$8, 2, FALSE) / 24)</f>
        <v>45990.531878125003</v>
      </c>
      <c r="I2598" s="1" t="s">
        <v>1944</v>
      </c>
      <c r="J2598" s="1">
        <v>603.11</v>
      </c>
      <c r="K2598" s="11"/>
      <c r="L2598" s="13"/>
      <c r="M2598" s="13"/>
    </row>
    <row r="2599" spans="1:13" x14ac:dyDescent="0.25">
      <c r="A2599" s="1" t="s">
        <v>7</v>
      </c>
      <c r="B2599" s="1" t="s">
        <v>8</v>
      </c>
      <c r="C2599" s="1" t="s">
        <v>861</v>
      </c>
      <c r="D2599" s="1">
        <v>29.892900000000001</v>
      </c>
      <c r="E2599" s="1">
        <v>-101.15170000000001</v>
      </c>
      <c r="F2599" s="1" t="s">
        <v>1922</v>
      </c>
      <c r="G2599" s="22">
        <v>600.29448045469871</v>
      </c>
      <c r="H2599" s="20">
        <f ca="1">NOW() - TIME(5,30,0) + (VLOOKUP(MasterTable[[#This Row],[TimeZone]], $O$3:$P$8, 2, FALSE) / 24)</f>
        <v>45990.531878125003</v>
      </c>
      <c r="I2599" s="1" t="s">
        <v>1944</v>
      </c>
      <c r="J2599" s="1">
        <v>3232.4</v>
      </c>
      <c r="K2599" s="11"/>
      <c r="L2599" s="13"/>
      <c r="M2599" s="13"/>
    </row>
    <row r="2600" spans="1:13" x14ac:dyDescent="0.25">
      <c r="A2600" s="1" t="s">
        <v>7</v>
      </c>
      <c r="B2600" s="1" t="s">
        <v>8</v>
      </c>
      <c r="C2600" s="1" t="s">
        <v>667</v>
      </c>
      <c r="D2600" s="1">
        <v>29.8368</v>
      </c>
      <c r="E2600" s="1">
        <v>-97.619900000000001</v>
      </c>
      <c r="F2600" s="1" t="s">
        <v>1922</v>
      </c>
      <c r="G2600" s="22">
        <v>804.35446610920189</v>
      </c>
      <c r="H2600" s="20">
        <f ca="1">NOW() - TIME(5,30,0) + (VLOOKUP(MasterTable[[#This Row],[TimeZone]], $O$3:$P$8, 2, FALSE) / 24)</f>
        <v>45990.531878125003</v>
      </c>
      <c r="I2600" s="1" t="s">
        <v>1944</v>
      </c>
      <c r="J2600" s="1">
        <v>348.18</v>
      </c>
      <c r="K2600" s="11"/>
      <c r="L2600" s="13"/>
      <c r="M2600" s="18"/>
    </row>
    <row r="2601" spans="1:13" x14ac:dyDescent="0.25">
      <c r="A2601" s="1" t="s">
        <v>7</v>
      </c>
      <c r="B2601" s="1" t="s">
        <v>8</v>
      </c>
      <c r="C2601" s="1" t="s">
        <v>497</v>
      </c>
      <c r="D2601" s="1">
        <v>29.944700000000001</v>
      </c>
      <c r="E2601" s="1">
        <v>-98.711500000000001</v>
      </c>
      <c r="F2601" s="1" t="s">
        <v>1922</v>
      </c>
      <c r="G2601" s="22">
        <v>739.31023624318016</v>
      </c>
      <c r="H2601" s="20">
        <f ca="1">NOW() - TIME(5,30,0) + (VLOOKUP(MasterTable[[#This Row],[TimeZone]], $O$3:$P$8, 2, FALSE) / 24)</f>
        <v>45990.531878125003</v>
      </c>
      <c r="I2601" s="1" t="s">
        <v>1944</v>
      </c>
      <c r="J2601" s="1">
        <v>322.67</v>
      </c>
      <c r="K2601" s="11"/>
      <c r="L2601" s="13"/>
      <c r="M2601" s="13"/>
    </row>
    <row r="2602" spans="1:13" x14ac:dyDescent="0.25">
      <c r="A2602" s="1" t="s">
        <v>7</v>
      </c>
      <c r="B2602" s="1" t="s">
        <v>8</v>
      </c>
      <c r="C2602" s="1" t="s">
        <v>501</v>
      </c>
      <c r="D2602" s="1">
        <v>32.7864</v>
      </c>
      <c r="E2602" s="1">
        <v>-95.382099999999994</v>
      </c>
      <c r="F2602" s="1" t="s">
        <v>1922</v>
      </c>
      <c r="G2602" s="22">
        <v>905.85595361851256</v>
      </c>
      <c r="H2602" s="20">
        <f ca="1">NOW() - TIME(5,30,0) + (VLOOKUP(MasterTable[[#This Row],[TimeZone]], $O$3:$P$8, 2, FALSE) / 24)</f>
        <v>45990.531878125003</v>
      </c>
      <c r="I2602" s="1" t="s">
        <v>1944</v>
      </c>
      <c r="J2602" s="1">
        <v>620.54</v>
      </c>
      <c r="K2602" s="11"/>
      <c r="L2602" s="13"/>
      <c r="M2602" s="13"/>
    </row>
    <row r="2603" spans="1:13" x14ac:dyDescent="0.25">
      <c r="A2603" s="1" t="s">
        <v>7</v>
      </c>
      <c r="B2603" s="1" t="s">
        <v>8</v>
      </c>
      <c r="C2603" s="1" t="s">
        <v>915</v>
      </c>
      <c r="D2603" s="1">
        <v>32.2363</v>
      </c>
      <c r="E2603" s="1">
        <v>-98.2179</v>
      </c>
      <c r="F2603" s="1" t="s">
        <v>1922</v>
      </c>
      <c r="G2603" s="22">
        <v>742.39982174263082</v>
      </c>
      <c r="H2603" s="20">
        <f ca="1">NOW() - TIME(5,30,0) + (VLOOKUP(MasterTable[[#This Row],[TimeZone]], $O$3:$P$8, 2, FALSE) / 24)</f>
        <v>45990.531878125003</v>
      </c>
      <c r="I2603" s="1" t="s">
        <v>1944</v>
      </c>
      <c r="J2603" s="1">
        <v>1089.8</v>
      </c>
      <c r="K2603" s="11"/>
      <c r="L2603" s="13"/>
      <c r="M2603" s="13"/>
    </row>
    <row r="2604" spans="1:13" x14ac:dyDescent="0.25">
      <c r="A2604" s="1" t="s">
        <v>7</v>
      </c>
      <c r="B2604" s="1" t="s">
        <v>8</v>
      </c>
      <c r="C2604" s="1" t="s">
        <v>924</v>
      </c>
      <c r="D2604" s="1">
        <v>33.639299999999999</v>
      </c>
      <c r="E2604" s="1">
        <v>-97.212599999999995</v>
      </c>
      <c r="F2604" s="1" t="s">
        <v>1922</v>
      </c>
      <c r="G2604" s="22">
        <v>800.75202499543127</v>
      </c>
      <c r="H2604" s="20">
        <f ca="1">NOW() - TIME(5,30,0) + (VLOOKUP(MasterTable[[#This Row],[TimeZone]], $O$3:$P$8, 2, FALSE) / 24)</f>
        <v>45990.531878125003</v>
      </c>
      <c r="I2604" s="1" t="s">
        <v>1944</v>
      </c>
      <c r="J2604" s="1">
        <v>898.81</v>
      </c>
      <c r="K2604" s="11"/>
      <c r="L2604" s="13"/>
      <c r="M2604" s="13"/>
    </row>
    <row r="2605" spans="1:13" x14ac:dyDescent="0.25">
      <c r="A2605" s="1" t="s">
        <v>7</v>
      </c>
      <c r="B2605" s="1" t="s">
        <v>8</v>
      </c>
      <c r="C2605" s="1" t="s">
        <v>930</v>
      </c>
      <c r="D2605" s="1">
        <v>32.7363</v>
      </c>
      <c r="E2605" s="1">
        <v>-94.941500000000005</v>
      </c>
      <c r="F2605" s="1" t="s">
        <v>1922</v>
      </c>
      <c r="G2605" s="22">
        <v>931.56023043996026</v>
      </c>
      <c r="H2605" s="20">
        <f ca="1">NOW() - TIME(5,30,0) + (VLOOKUP(MasterTable[[#This Row],[TimeZone]], $O$3:$P$8, 2, FALSE) / 24)</f>
        <v>45990.531878125003</v>
      </c>
      <c r="I2605" s="1" t="s">
        <v>1944</v>
      </c>
      <c r="J2605" s="1">
        <v>592.66999999999996</v>
      </c>
      <c r="K2605" s="11"/>
      <c r="L2605" s="13"/>
      <c r="M2605" s="13"/>
    </row>
    <row r="2606" spans="1:13" x14ac:dyDescent="0.25">
      <c r="A2606" s="1" t="s">
        <v>7</v>
      </c>
      <c r="B2606" s="1" t="s">
        <v>8</v>
      </c>
      <c r="C2606" s="1" t="s">
        <v>932</v>
      </c>
      <c r="D2606" s="1">
        <v>29.277899999999999</v>
      </c>
      <c r="E2606" s="1">
        <v>-96.222099999999998</v>
      </c>
      <c r="F2606" s="1" t="s">
        <v>1922</v>
      </c>
      <c r="G2606" s="22">
        <v>895.76472498079397</v>
      </c>
      <c r="H2606" s="20">
        <f ca="1">NOW() - TIME(5,30,0) + (VLOOKUP(MasterTable[[#This Row],[TimeZone]], $O$3:$P$8, 2, FALSE) / 24)</f>
        <v>45990.531878125003</v>
      </c>
      <c r="I2606" s="1" t="s">
        <v>1944</v>
      </c>
      <c r="J2606" s="1">
        <v>1094.43</v>
      </c>
      <c r="K2606" s="11"/>
      <c r="L2606" s="13"/>
      <c r="M2606" s="13"/>
    </row>
    <row r="2607" spans="1:13" x14ac:dyDescent="0.25">
      <c r="A2607" s="1" t="s">
        <v>7</v>
      </c>
      <c r="B2607" s="1" t="s">
        <v>8</v>
      </c>
      <c r="C2607" s="1" t="s">
        <v>965</v>
      </c>
      <c r="D2607" s="1">
        <v>27.731400000000001</v>
      </c>
      <c r="E2607" s="1">
        <v>-98.0899</v>
      </c>
      <c r="F2607" s="1" t="s">
        <v>1922</v>
      </c>
      <c r="G2607" s="22">
        <v>827.87089026284082</v>
      </c>
      <c r="H2607" s="20">
        <f ca="1">NOW() - TIME(5,30,0) + (VLOOKUP(MasterTable[[#This Row],[TimeZone]], $O$3:$P$8, 2, FALSE) / 24)</f>
        <v>45990.531878125003</v>
      </c>
      <c r="I2607" s="1" t="s">
        <v>1944</v>
      </c>
      <c r="J2607" s="1">
        <v>868.22</v>
      </c>
      <c r="K2607" s="11"/>
      <c r="L2607" s="13"/>
      <c r="M2607" s="13"/>
    </row>
    <row r="2608" spans="1:13" x14ac:dyDescent="0.25">
      <c r="A2608" s="1" t="s">
        <v>7</v>
      </c>
      <c r="B2608" s="1" t="s">
        <v>8</v>
      </c>
      <c r="C2608" s="1" t="s">
        <v>316</v>
      </c>
      <c r="D2608" s="1">
        <v>31.7742</v>
      </c>
      <c r="E2608" s="1">
        <v>-98.999799999999993</v>
      </c>
      <c r="F2608" s="1" t="s">
        <v>1922</v>
      </c>
      <c r="G2608" s="22">
        <v>699.22211693553231</v>
      </c>
      <c r="H2608" s="20">
        <f ca="1">NOW() - TIME(5,30,0) + (VLOOKUP(MasterTable[[#This Row],[TimeZone]], $O$3:$P$8, 2, FALSE) / 24)</f>
        <v>45990.531878125003</v>
      </c>
      <c r="I2608" s="1" t="s">
        <v>1944</v>
      </c>
      <c r="J2608" s="1">
        <v>307.24</v>
      </c>
      <c r="K2608" s="11"/>
      <c r="L2608" s="13"/>
      <c r="M2608" s="13"/>
    </row>
    <row r="2609" spans="1:13" x14ac:dyDescent="0.25">
      <c r="A2609" s="1" t="s">
        <v>7</v>
      </c>
      <c r="B2609" s="1" t="s">
        <v>8</v>
      </c>
      <c r="C2609" s="1" t="s">
        <v>887</v>
      </c>
      <c r="D2609" s="1">
        <v>33.1496</v>
      </c>
      <c r="E2609" s="1">
        <v>-95.563999999999993</v>
      </c>
      <c r="F2609" s="1" t="s">
        <v>1922</v>
      </c>
      <c r="G2609" s="22">
        <v>894.91071075169464</v>
      </c>
      <c r="H2609" s="20">
        <f ca="1">NOW() - TIME(5,30,0) + (VLOOKUP(MasterTable[[#This Row],[TimeZone]], $O$3:$P$8, 2, FALSE) / 24)</f>
        <v>45990.531878125003</v>
      </c>
      <c r="I2609" s="1" t="s">
        <v>1944</v>
      </c>
      <c r="J2609" s="1">
        <v>554.23</v>
      </c>
      <c r="K2609" s="11"/>
      <c r="L2609" s="13"/>
      <c r="M2609" s="13"/>
    </row>
    <row r="2610" spans="1:13" x14ac:dyDescent="0.25">
      <c r="A2610" s="1" t="s">
        <v>7</v>
      </c>
      <c r="B2610" s="1" t="s">
        <v>8</v>
      </c>
      <c r="C2610" s="1" t="s">
        <v>997</v>
      </c>
      <c r="D2610" s="1">
        <v>31.9907</v>
      </c>
      <c r="E2610" s="1">
        <v>-97.132400000000004</v>
      </c>
      <c r="F2610" s="1" t="s">
        <v>1922</v>
      </c>
      <c r="G2610" s="22">
        <v>806.97381880563444</v>
      </c>
      <c r="H2610" s="20">
        <f ca="1">NOW() - TIME(5,30,0) + (VLOOKUP(MasterTable[[#This Row],[TimeZone]], $O$3:$P$8, 2, FALSE) / 24)</f>
        <v>45990.531878125003</v>
      </c>
      <c r="I2610" s="1" t="s">
        <v>1944</v>
      </c>
      <c r="J2610" s="1">
        <v>2916.05</v>
      </c>
      <c r="K2610" s="11"/>
      <c r="L2610" s="13"/>
      <c r="M2610" s="13"/>
    </row>
    <row r="2611" spans="1:13" x14ac:dyDescent="0.25">
      <c r="A2611" s="1" t="s">
        <v>7</v>
      </c>
      <c r="B2611" s="1" t="s">
        <v>8</v>
      </c>
      <c r="C2611" s="1" t="s">
        <v>1000</v>
      </c>
      <c r="D2611" s="1">
        <v>33.593800000000002</v>
      </c>
      <c r="E2611" s="1">
        <v>-96.106899999999996</v>
      </c>
      <c r="F2611" s="1" t="s">
        <v>1922</v>
      </c>
      <c r="G2611" s="22">
        <v>864.15398397997876</v>
      </c>
      <c r="H2611" s="20">
        <f ca="1">NOW() - TIME(5,30,0) + (VLOOKUP(MasterTable[[#This Row],[TimeZone]], $O$3:$P$8, 2, FALSE) / 24)</f>
        <v>45990.531878125003</v>
      </c>
      <c r="I2611" s="1" t="s">
        <v>1944</v>
      </c>
      <c r="J2611" s="1">
        <v>391.43</v>
      </c>
      <c r="K2611" s="11"/>
      <c r="L2611" s="13"/>
      <c r="M2611" s="13"/>
    </row>
    <row r="2612" spans="1:13" x14ac:dyDescent="0.25">
      <c r="A2612" s="1" t="s">
        <v>7</v>
      </c>
      <c r="B2612" s="1" t="s">
        <v>8</v>
      </c>
      <c r="C2612" s="1" t="s">
        <v>1005</v>
      </c>
      <c r="D2612" s="1">
        <v>28.821200000000001</v>
      </c>
      <c r="E2612" s="1">
        <v>-96.010999999999996</v>
      </c>
      <c r="F2612" s="1" t="s">
        <v>1922</v>
      </c>
      <c r="G2612" s="22">
        <v>917.50110913892945</v>
      </c>
      <c r="H2612" s="20">
        <f ca="1">NOW() - TIME(5,30,0) + (VLOOKUP(MasterTable[[#This Row],[TimeZone]], $O$3:$P$8, 2, FALSE) / 24)</f>
        <v>45990.531878125003</v>
      </c>
      <c r="I2612" s="1" t="s">
        <v>1944</v>
      </c>
      <c r="J2612" s="1">
        <v>1612.19</v>
      </c>
      <c r="K2612" s="11"/>
      <c r="L2612" s="13"/>
      <c r="M2612" s="13"/>
    </row>
    <row r="2613" spans="1:13" x14ac:dyDescent="0.25">
      <c r="A2613" s="1" t="s">
        <v>7</v>
      </c>
      <c r="B2613" s="1" t="s">
        <v>8</v>
      </c>
      <c r="C2613" s="1" t="s">
        <v>28</v>
      </c>
      <c r="D2613" s="1">
        <v>30.214500000000001</v>
      </c>
      <c r="E2613" s="1">
        <v>-96.403400000000005</v>
      </c>
      <c r="F2613" s="1" t="s">
        <v>1922</v>
      </c>
      <c r="G2613" s="22">
        <v>868.63476604948949</v>
      </c>
      <c r="H2613" s="20">
        <f ca="1">NOW() - TIME(5,30,0) + (VLOOKUP(MasterTable[[#This Row],[TimeZone]], $O$3:$P$8, 2, FALSE) / 24)</f>
        <v>45990.531878125003</v>
      </c>
      <c r="I2613" s="1" t="s">
        <v>1944</v>
      </c>
      <c r="J2613" s="1">
        <v>1088.54</v>
      </c>
      <c r="K2613" s="11"/>
      <c r="L2613" s="13"/>
      <c r="M2613" s="13"/>
    </row>
    <row r="2614" spans="1:13" x14ac:dyDescent="0.25">
      <c r="A2614" s="1" t="s">
        <v>7</v>
      </c>
      <c r="B2614" s="1" t="s">
        <v>8</v>
      </c>
      <c r="C2614" s="1" t="s">
        <v>273</v>
      </c>
      <c r="D2614" s="1">
        <v>32.306199999999997</v>
      </c>
      <c r="E2614" s="1">
        <v>-101.43559999999999</v>
      </c>
      <c r="F2614" s="1" t="s">
        <v>1922</v>
      </c>
      <c r="G2614" s="22">
        <v>554.39125498256419</v>
      </c>
      <c r="H2614" s="20">
        <f ca="1">NOW() - TIME(5,30,0) + (VLOOKUP(MasterTable[[#This Row],[TimeZone]], $O$3:$P$8, 2, FALSE) / 24)</f>
        <v>45990.531878125003</v>
      </c>
      <c r="I2614" s="1" t="s">
        <v>1944</v>
      </c>
      <c r="J2614" s="1">
        <v>595.20000000000005</v>
      </c>
      <c r="K2614" s="11"/>
      <c r="L2614" s="13"/>
      <c r="M2614" s="13"/>
    </row>
    <row r="2615" spans="1:13" x14ac:dyDescent="0.25">
      <c r="A2615" s="1" t="s">
        <v>7</v>
      </c>
      <c r="B2615" s="1" t="s">
        <v>8</v>
      </c>
      <c r="C2615" s="1" t="s">
        <v>522</v>
      </c>
      <c r="D2615" s="1">
        <v>30.744</v>
      </c>
      <c r="E2615" s="1">
        <v>-94.025099999999995</v>
      </c>
      <c r="F2615" s="1" t="s">
        <v>1922</v>
      </c>
      <c r="G2615" s="22">
        <v>1000.1111776096741</v>
      </c>
      <c r="H2615" s="20">
        <f ca="1">NOW() - TIME(5,30,0) + (VLOOKUP(MasterTable[[#This Row],[TimeZone]], $O$3:$P$8, 2, FALSE) / 24)</f>
        <v>45990.531878125003</v>
      </c>
      <c r="I2615" s="1" t="s">
        <v>1944</v>
      </c>
      <c r="J2615" s="1">
        <v>373.58</v>
      </c>
      <c r="K2615" s="11"/>
      <c r="L2615" s="13"/>
      <c r="M2615" s="13"/>
    </row>
    <row r="2616" spans="1:13" x14ac:dyDescent="0.25">
      <c r="A2616" s="1" t="s">
        <v>7</v>
      </c>
      <c r="B2616" s="1" t="s">
        <v>8</v>
      </c>
      <c r="C2616" s="1" t="s">
        <v>1043</v>
      </c>
      <c r="D2616" s="1">
        <v>34.070500000000003</v>
      </c>
      <c r="E2616" s="1">
        <v>-101.82689999999999</v>
      </c>
      <c r="F2616" s="1" t="s">
        <v>1922</v>
      </c>
      <c r="G2616" s="22">
        <v>541.51416157824883</v>
      </c>
      <c r="H2616" s="20">
        <f ca="1">NOW() - TIME(5,30,0) + (VLOOKUP(MasterTable[[#This Row],[TimeZone]], $O$3:$P$8, 2, FALSE) / 24)</f>
        <v>45990.531878125003</v>
      </c>
      <c r="I2616" s="1" t="s">
        <v>1944</v>
      </c>
      <c r="J2616" s="1">
        <v>656.47</v>
      </c>
      <c r="K2616" s="11"/>
      <c r="L2616" s="13"/>
      <c r="M2616" s="13"/>
    </row>
    <row r="2617" spans="1:13" x14ac:dyDescent="0.25">
      <c r="A2617" s="1" t="s">
        <v>7</v>
      </c>
      <c r="B2617" s="1" t="s">
        <v>8</v>
      </c>
      <c r="C2617" s="1" t="s">
        <v>1053</v>
      </c>
      <c r="D2617" s="1">
        <v>33.2166</v>
      </c>
      <c r="E2617" s="1">
        <v>-94.965699999999998</v>
      </c>
      <c r="F2617" s="1" t="s">
        <v>1922</v>
      </c>
      <c r="G2617" s="22">
        <v>929.50168275541478</v>
      </c>
      <c r="H2617" s="20">
        <f ca="1">NOW() - TIME(5,30,0) + (VLOOKUP(MasterTable[[#This Row],[TimeZone]], $O$3:$P$8, 2, FALSE) / 24)</f>
        <v>45990.531878125003</v>
      </c>
      <c r="I2617" s="1" t="s">
        <v>1944</v>
      </c>
      <c r="J2617" s="1">
        <v>425.69</v>
      </c>
      <c r="K2617" s="11"/>
      <c r="L2617" s="13"/>
      <c r="M2617" s="13"/>
    </row>
    <row r="2618" spans="1:13" x14ac:dyDescent="0.25">
      <c r="A2618" s="1" t="s">
        <v>7</v>
      </c>
      <c r="B2618" s="1" t="s">
        <v>8</v>
      </c>
      <c r="C2618" s="1" t="s">
        <v>1058</v>
      </c>
      <c r="D2618" s="1">
        <v>28.417400000000001</v>
      </c>
      <c r="E2618" s="1">
        <v>-97.741200000000006</v>
      </c>
      <c r="F2618" s="1" t="s">
        <v>1922</v>
      </c>
      <c r="G2618" s="22">
        <v>828.52778674286606</v>
      </c>
      <c r="H2618" s="20">
        <f ca="1">NOW() - TIME(5,30,0) + (VLOOKUP(MasterTable[[#This Row],[TimeZone]], $O$3:$P$8, 2, FALSE) / 24)</f>
        <v>45990.531878125003</v>
      </c>
      <c r="I2618" s="1" t="s">
        <v>1944</v>
      </c>
      <c r="J2618" s="1">
        <v>880.31</v>
      </c>
      <c r="K2618" s="11"/>
      <c r="L2618" s="13"/>
      <c r="M2618" s="13"/>
    </row>
    <row r="2619" spans="1:13" x14ac:dyDescent="0.25">
      <c r="A2619" s="1" t="s">
        <v>7</v>
      </c>
      <c r="B2619" s="1" t="s">
        <v>8</v>
      </c>
      <c r="C2619" s="1" t="s">
        <v>1064</v>
      </c>
      <c r="D2619" s="1">
        <v>29.887</v>
      </c>
      <c r="E2619" s="1">
        <v>-96.277900000000002</v>
      </c>
      <c r="F2619" s="1" t="s">
        <v>1922</v>
      </c>
      <c r="G2619" s="22">
        <v>881.25004460115633</v>
      </c>
      <c r="H2619" s="20">
        <f ca="1">NOW() - TIME(5,30,0) + (VLOOKUP(MasterTable[[#This Row],[TimeZone]], $O$3:$P$8, 2, FALSE) / 24)</f>
        <v>45990.531878125003</v>
      </c>
      <c r="I2619" s="1" t="s">
        <v>1944</v>
      </c>
      <c r="J2619" s="1">
        <v>656.37</v>
      </c>
      <c r="K2619" s="11"/>
      <c r="L2619" s="13"/>
      <c r="M2619" s="13"/>
    </row>
    <row r="2620" spans="1:13" x14ac:dyDescent="0.25">
      <c r="A2620" s="1" t="s">
        <v>7</v>
      </c>
      <c r="B2620" s="1" t="s">
        <v>8</v>
      </c>
      <c r="C2620" s="1" t="s">
        <v>1068</v>
      </c>
      <c r="D2620" s="1">
        <v>27.433700000000002</v>
      </c>
      <c r="E2620" s="1">
        <v>-97.7273</v>
      </c>
      <c r="F2620" s="1" t="s">
        <v>1922</v>
      </c>
      <c r="G2620" s="22">
        <v>856.7719515760806</v>
      </c>
      <c r="H2620" s="20">
        <f ca="1">NOW() - TIME(5,30,0) + (VLOOKUP(MasterTable[[#This Row],[TimeZone]], $O$3:$P$8, 2, FALSE) / 24)</f>
        <v>45990.531878125003</v>
      </c>
      <c r="I2620" s="1" t="s">
        <v>1944</v>
      </c>
      <c r="J2620" s="1">
        <v>1090.29</v>
      </c>
      <c r="K2620" s="11"/>
      <c r="L2620" s="13"/>
      <c r="M2620" s="13"/>
    </row>
    <row r="2621" spans="1:13" x14ac:dyDescent="0.25">
      <c r="A2621" s="1" t="s">
        <v>7</v>
      </c>
      <c r="B2621" s="1" t="s">
        <v>8</v>
      </c>
      <c r="C2621" s="1" t="s">
        <v>1073</v>
      </c>
      <c r="D2621" s="1">
        <v>30.543500000000002</v>
      </c>
      <c r="E2621" s="1">
        <v>-95.985500000000002</v>
      </c>
      <c r="F2621" s="1" t="s">
        <v>1922</v>
      </c>
      <c r="G2621" s="22">
        <v>888.21287621564954</v>
      </c>
      <c r="H2621" s="20">
        <f ca="1">NOW() - TIME(5,30,0) + (VLOOKUP(MasterTable[[#This Row],[TimeZone]], $O$3:$P$8, 2, FALSE) / 24)</f>
        <v>45990.531878125003</v>
      </c>
      <c r="I2621" s="1" t="s">
        <v>1944</v>
      </c>
      <c r="J2621" s="1">
        <v>801.16</v>
      </c>
      <c r="K2621" s="11"/>
      <c r="L2621" s="13"/>
      <c r="M2621" s="13"/>
    </row>
    <row r="2622" spans="1:13" x14ac:dyDescent="0.25">
      <c r="A2622" s="1" t="s">
        <v>7</v>
      </c>
      <c r="B2622" s="1" t="s">
        <v>8</v>
      </c>
      <c r="C2622" s="1" t="s">
        <v>1091</v>
      </c>
      <c r="D2622" s="1">
        <v>32.7532</v>
      </c>
      <c r="E2622" s="1">
        <v>-98.313000000000002</v>
      </c>
      <c r="F2622" s="1" t="s">
        <v>1922</v>
      </c>
      <c r="G2622" s="22">
        <v>735.65255167234636</v>
      </c>
      <c r="H2622" s="20">
        <f ca="1">NOW() - TIME(5,30,0) + (VLOOKUP(MasterTable[[#This Row],[TimeZone]], $O$3:$P$8, 2, FALSE) / 24)</f>
        <v>45990.531878125003</v>
      </c>
      <c r="I2622" s="1" t="s">
        <v>1944</v>
      </c>
      <c r="J2622" s="1">
        <v>985.5</v>
      </c>
      <c r="K2622" s="11"/>
      <c r="L2622" s="13"/>
      <c r="M2622" s="13"/>
    </row>
    <row r="2623" spans="1:13" x14ac:dyDescent="0.25">
      <c r="A2623" s="1" t="s">
        <v>7</v>
      </c>
      <c r="B2623" s="1" t="s">
        <v>8</v>
      </c>
      <c r="C2623" s="1" t="s">
        <v>392</v>
      </c>
      <c r="D2623" s="1">
        <v>33.077500000000001</v>
      </c>
      <c r="E2623" s="1">
        <v>-94.343500000000006</v>
      </c>
      <c r="F2623" s="1" t="s">
        <v>1922</v>
      </c>
      <c r="G2623" s="22">
        <v>965.59195779104084</v>
      </c>
      <c r="H2623" s="20">
        <f ca="1">NOW() - TIME(5,30,0) + (VLOOKUP(MasterTable[[#This Row],[TimeZone]], $O$3:$P$8, 2, FALSE) / 24)</f>
        <v>45990.531878125003</v>
      </c>
      <c r="I2623" s="1" t="s">
        <v>1944</v>
      </c>
      <c r="J2623" s="1">
        <v>383.73</v>
      </c>
      <c r="K2623" s="11"/>
      <c r="L2623" s="13"/>
      <c r="M2623" s="13"/>
    </row>
    <row r="2624" spans="1:13" x14ac:dyDescent="0.25">
      <c r="A2624" s="1" t="s">
        <v>7</v>
      </c>
      <c r="B2624" s="1" t="s">
        <v>8</v>
      </c>
      <c r="C2624" s="1" t="s">
        <v>1109</v>
      </c>
      <c r="D2624" s="1">
        <v>30.579499999999999</v>
      </c>
      <c r="E2624" s="1">
        <v>-95.166899999999998</v>
      </c>
      <c r="F2624" s="1" t="s">
        <v>1922</v>
      </c>
      <c r="G2624" s="22">
        <v>935.50862721147507</v>
      </c>
      <c r="H2624" s="20">
        <f ca="1">NOW() - TIME(5,30,0) + (VLOOKUP(MasterTable[[#This Row],[TimeZone]], $O$3:$P$8, 2, FALSE) / 24)</f>
        <v>45990.531878125003</v>
      </c>
      <c r="I2624" s="1" t="s">
        <v>1944</v>
      </c>
      <c r="J2624" s="1">
        <v>627.9</v>
      </c>
      <c r="K2624" s="11"/>
      <c r="L2624" s="13"/>
      <c r="M2624" s="13"/>
    </row>
    <row r="2625" spans="1:13" x14ac:dyDescent="0.25">
      <c r="A2625" s="1" t="s">
        <v>7</v>
      </c>
      <c r="B2625" s="1" t="s">
        <v>8</v>
      </c>
      <c r="C2625" s="1" t="s">
        <v>1121</v>
      </c>
      <c r="D2625" s="1">
        <v>30.318100000000001</v>
      </c>
      <c r="E2625" s="1">
        <v>-98.9465</v>
      </c>
      <c r="F2625" s="1" t="s">
        <v>1922</v>
      </c>
      <c r="G2625" s="22">
        <v>719.25010157436236</v>
      </c>
      <c r="H2625" s="20">
        <f ca="1">NOW() - TIME(5,30,0) + (VLOOKUP(MasterTable[[#This Row],[TimeZone]], $O$3:$P$8, 2, FALSE) / 24)</f>
        <v>45990.531878125003</v>
      </c>
      <c r="I2625" s="1" t="s">
        <v>1944</v>
      </c>
      <c r="J2625" s="1">
        <v>1061.48</v>
      </c>
      <c r="K2625" s="11"/>
      <c r="L2625" s="13"/>
      <c r="M2625" s="13"/>
    </row>
    <row r="2626" spans="1:13" x14ac:dyDescent="0.25">
      <c r="A2626" s="1" t="s">
        <v>7</v>
      </c>
      <c r="B2626" s="1" t="s">
        <v>8</v>
      </c>
      <c r="C2626" s="1" t="s">
        <v>1162</v>
      </c>
      <c r="D2626" s="1">
        <v>30.786300000000001</v>
      </c>
      <c r="E2626" s="1">
        <v>-96.976799999999997</v>
      </c>
      <c r="F2626" s="1" t="s">
        <v>1922</v>
      </c>
      <c r="G2626" s="22">
        <v>827.18206977115528</v>
      </c>
      <c r="H2626" s="20">
        <f ca="1">NOW() - TIME(5,30,0) + (VLOOKUP(MasterTable[[#This Row],[TimeZone]], $O$3:$P$8, 2, FALSE) / 24)</f>
        <v>45990.531878125003</v>
      </c>
      <c r="I2626" s="1" t="s">
        <v>1944</v>
      </c>
      <c r="J2626" s="1">
        <v>1021.67</v>
      </c>
      <c r="K2626" s="11"/>
      <c r="L2626" s="13"/>
      <c r="M2626" s="13"/>
    </row>
    <row r="2627" spans="1:13" x14ac:dyDescent="0.25">
      <c r="A2627" s="1" t="s">
        <v>7</v>
      </c>
      <c r="B2627" s="1" t="s">
        <v>8</v>
      </c>
      <c r="C2627" s="1" t="s">
        <v>1175</v>
      </c>
      <c r="D2627" s="1">
        <v>29.357299999999999</v>
      </c>
      <c r="E2627" s="1">
        <v>-99.762200000000007</v>
      </c>
      <c r="F2627" s="1" t="s">
        <v>1922</v>
      </c>
      <c r="G2627" s="22">
        <v>691.22081117507958</v>
      </c>
      <c r="H2627" s="20">
        <f ca="1">NOW() - TIME(5,30,0) + (VLOOKUP(MasterTable[[#This Row],[TimeZone]], $O$3:$P$8, 2, FALSE) / 24)</f>
        <v>45990.531878125003</v>
      </c>
      <c r="I2627" s="1" t="s">
        <v>1944</v>
      </c>
      <c r="J2627" s="1">
        <v>1558.6</v>
      </c>
      <c r="K2627" s="11"/>
      <c r="L2627" s="13"/>
      <c r="M2627" s="13"/>
    </row>
    <row r="2628" spans="1:13" x14ac:dyDescent="0.25">
      <c r="A2628" s="1" t="s">
        <v>7</v>
      </c>
      <c r="B2628" s="1" t="s">
        <v>8</v>
      </c>
      <c r="C2628" s="1" t="s">
        <v>279</v>
      </c>
      <c r="D2628" s="1">
        <v>29.876799999999999</v>
      </c>
      <c r="E2628" s="1">
        <v>-96.919799999999995</v>
      </c>
      <c r="F2628" s="1" t="s">
        <v>1922</v>
      </c>
      <c r="G2628" s="22">
        <v>844.1852055590914</v>
      </c>
      <c r="H2628" s="20">
        <f ca="1">NOW() - TIME(5,30,0) + (VLOOKUP(MasterTable[[#This Row],[TimeZone]], $O$3:$P$8, 2, FALSE) / 24)</f>
        <v>45990.531878125003</v>
      </c>
      <c r="I2628" s="1" t="s">
        <v>1944</v>
      </c>
      <c r="J2628" s="1">
        <v>629.34</v>
      </c>
      <c r="K2628" s="11"/>
      <c r="L2628" s="13"/>
      <c r="M2628" s="13"/>
    </row>
    <row r="2629" spans="1:13" x14ac:dyDescent="0.25">
      <c r="A2629" s="1" t="s">
        <v>7</v>
      </c>
      <c r="B2629" s="1" t="s">
        <v>8</v>
      </c>
      <c r="C2629" s="1" t="s">
        <v>1183</v>
      </c>
      <c r="D2629" s="1">
        <v>28.125399999999999</v>
      </c>
      <c r="E2629" s="1">
        <v>-96.993300000000005</v>
      </c>
      <c r="F2629" s="1" t="s">
        <v>1922</v>
      </c>
      <c r="G2629" s="22">
        <v>878.28470183625427</v>
      </c>
      <c r="H2629" s="20">
        <f ca="1">NOW() - TIME(5,30,0) + (VLOOKUP(MasterTable[[#This Row],[TimeZone]], $O$3:$P$8, 2, FALSE) / 24)</f>
        <v>45990.531878125003</v>
      </c>
      <c r="I2629" s="1" t="s">
        <v>1944</v>
      </c>
      <c r="J2629" s="1">
        <v>527.95000000000005</v>
      </c>
      <c r="K2629" s="11"/>
      <c r="L2629" s="13"/>
      <c r="M2629" s="13"/>
    </row>
    <row r="2630" spans="1:13" x14ac:dyDescent="0.25">
      <c r="A2630" s="1" t="s">
        <v>7</v>
      </c>
      <c r="B2630" s="1" t="s">
        <v>8</v>
      </c>
      <c r="C2630" s="1" t="s">
        <v>107</v>
      </c>
      <c r="D2630" s="1">
        <v>31.792400000000001</v>
      </c>
      <c r="E2630" s="1">
        <v>-94.144999999999996</v>
      </c>
      <c r="F2630" s="1" t="s">
        <v>1922</v>
      </c>
      <c r="G2630" s="22">
        <v>982.73759207131923</v>
      </c>
      <c r="H2630" s="20">
        <f ca="1">NOW() - TIME(5,30,0) + (VLOOKUP(MasterTable[[#This Row],[TimeZone]], $O$3:$P$8, 2, FALSE) / 24)</f>
        <v>45990.531878125003</v>
      </c>
      <c r="I2630" s="1" t="s">
        <v>1944</v>
      </c>
      <c r="J2630" s="1">
        <v>809.53</v>
      </c>
      <c r="K2630" s="11"/>
      <c r="L2630" s="13"/>
      <c r="M2630" s="13"/>
    </row>
    <row r="2631" spans="1:13" x14ac:dyDescent="0.25">
      <c r="A2631" s="1" t="s">
        <v>7</v>
      </c>
      <c r="B2631" s="1" t="s">
        <v>8</v>
      </c>
      <c r="C2631" s="1" t="s">
        <v>1040</v>
      </c>
      <c r="D2631" s="1">
        <v>32.162399999999998</v>
      </c>
      <c r="E2631" s="1">
        <v>-94.305599999999998</v>
      </c>
      <c r="F2631" s="1" t="s">
        <v>1922</v>
      </c>
      <c r="G2631" s="22">
        <v>970.94307231270795</v>
      </c>
      <c r="H2631" s="20">
        <f ca="1">NOW() - TIME(5,30,0) + (VLOOKUP(MasterTable[[#This Row],[TimeZone]], $O$3:$P$8, 2, FALSE) / 24)</f>
        <v>45990.531878125003</v>
      </c>
      <c r="I2631" s="1" t="s">
        <v>1944</v>
      </c>
      <c r="J2631" s="1">
        <v>705.13</v>
      </c>
      <c r="K2631" s="11"/>
      <c r="L2631" s="13"/>
      <c r="M2631" s="13"/>
    </row>
    <row r="2632" spans="1:13" x14ac:dyDescent="0.25">
      <c r="A2632" s="1" t="s">
        <v>7</v>
      </c>
      <c r="B2632" s="1" t="s">
        <v>8</v>
      </c>
      <c r="C2632" s="1" t="s">
        <v>1219</v>
      </c>
      <c r="D2632" s="1">
        <v>31.196200000000001</v>
      </c>
      <c r="E2632" s="1">
        <v>-98.241500000000002</v>
      </c>
      <c r="F2632" s="1" t="s">
        <v>1922</v>
      </c>
      <c r="G2632" s="22">
        <v>748.58416692059654</v>
      </c>
      <c r="H2632" s="20">
        <f ca="1">NOW() - TIME(5,30,0) + (VLOOKUP(MasterTable[[#This Row],[TimeZone]], $O$3:$P$8, 2, FALSE) / 24)</f>
        <v>45990.531878125003</v>
      </c>
      <c r="I2632" s="1" t="s">
        <v>1944</v>
      </c>
      <c r="J2632" s="1">
        <v>713.96</v>
      </c>
      <c r="K2632" s="11"/>
      <c r="L2632" s="13"/>
      <c r="M2632" s="13"/>
    </row>
    <row r="2633" spans="1:13" x14ac:dyDescent="0.25">
      <c r="A2633" s="1" t="s">
        <v>7</v>
      </c>
      <c r="B2633" s="1" t="s">
        <v>8</v>
      </c>
      <c r="C2633" s="1" t="s">
        <v>564</v>
      </c>
      <c r="D2633" s="1">
        <v>31.545500000000001</v>
      </c>
      <c r="E2633" s="1">
        <v>-96.580500000000001</v>
      </c>
      <c r="F2633" s="1" t="s">
        <v>1922</v>
      </c>
      <c r="G2633" s="22">
        <v>842.38357651772913</v>
      </c>
      <c r="H2633" s="20">
        <f ca="1">NOW() - TIME(5,30,0) + (VLOOKUP(MasterTable[[#This Row],[TimeZone]], $O$3:$P$8, 2, FALSE) / 24)</f>
        <v>45990.531878125003</v>
      </c>
      <c r="I2633" s="1" t="s">
        <v>1944</v>
      </c>
      <c r="J2633" s="1">
        <v>607.08000000000004</v>
      </c>
      <c r="K2633" s="11"/>
      <c r="L2633" s="13"/>
      <c r="M2633" s="13"/>
    </row>
    <row r="2634" spans="1:13" x14ac:dyDescent="0.25">
      <c r="A2634" s="1" t="s">
        <v>7</v>
      </c>
      <c r="B2634" s="1" t="s">
        <v>8</v>
      </c>
      <c r="C2634" s="1" t="s">
        <v>439</v>
      </c>
      <c r="D2634" s="1">
        <v>31.317699999999999</v>
      </c>
      <c r="E2634" s="1">
        <v>-95.422700000000006</v>
      </c>
      <c r="F2634" s="1" t="s">
        <v>1922</v>
      </c>
      <c r="G2634" s="22">
        <v>912.11419180166001</v>
      </c>
      <c r="H2634" s="20">
        <f ca="1">NOW() - TIME(5,30,0) + (VLOOKUP(MasterTable[[#This Row],[TimeZone]], $O$3:$P$8, 2, FALSE) / 24)</f>
        <v>45990.531878125003</v>
      </c>
      <c r="I2634" s="1" t="s">
        <v>1944</v>
      </c>
      <c r="J2634" s="1">
        <v>581.65</v>
      </c>
      <c r="K2634" s="11"/>
      <c r="L2634" s="13"/>
      <c r="M2634" s="13"/>
    </row>
    <row r="2635" spans="1:13" x14ac:dyDescent="0.25">
      <c r="A2635" s="1" t="s">
        <v>7</v>
      </c>
      <c r="B2635" s="1" t="s">
        <v>8</v>
      </c>
      <c r="C2635" s="1" t="s">
        <v>1226</v>
      </c>
      <c r="D2635" s="1">
        <v>30.7058</v>
      </c>
      <c r="E2635" s="1">
        <v>-98.684100000000001</v>
      </c>
      <c r="F2635" s="1" t="s">
        <v>1922</v>
      </c>
      <c r="G2635" s="22">
        <v>728.69273529754093</v>
      </c>
      <c r="H2635" s="20">
        <f ca="1">NOW() - TIME(5,30,0) + (VLOOKUP(MasterTable[[#This Row],[TimeZone]], $O$3:$P$8, 2, FALSE) / 24)</f>
        <v>45990.531878125003</v>
      </c>
      <c r="I2635" s="1" t="s">
        <v>1944</v>
      </c>
      <c r="J2635" s="1">
        <v>966.18</v>
      </c>
      <c r="K2635" s="11"/>
      <c r="L2635" s="13"/>
      <c r="M2635" s="13"/>
    </row>
    <row r="2636" spans="1:13" x14ac:dyDescent="0.25">
      <c r="A2636" s="1" t="s">
        <v>7</v>
      </c>
      <c r="B2636" s="1" t="s">
        <v>8</v>
      </c>
      <c r="C2636" s="1" t="s">
        <v>1230</v>
      </c>
      <c r="D2636" s="1">
        <v>32.7408</v>
      </c>
      <c r="E2636" s="1">
        <v>-102.6352</v>
      </c>
      <c r="F2636" s="1" t="s">
        <v>1922</v>
      </c>
      <c r="G2636" s="22">
        <v>484.49120726550427</v>
      </c>
      <c r="H2636" s="20">
        <f ca="1">NOW() - TIME(5,30,0) + (VLOOKUP(MasterTable[[#This Row],[TimeZone]], $O$3:$P$8, 2, FALSE) / 24)</f>
        <v>45990.531878125003</v>
      </c>
      <c r="I2636" s="1" t="s">
        <v>1944</v>
      </c>
      <c r="J2636" s="1">
        <v>1502.84</v>
      </c>
      <c r="K2636" s="11"/>
      <c r="L2636" s="13"/>
      <c r="M2636" s="13"/>
    </row>
    <row r="2637" spans="1:13" x14ac:dyDescent="0.25">
      <c r="A2637" s="1" t="s">
        <v>7</v>
      </c>
      <c r="B2637" s="1" t="s">
        <v>8</v>
      </c>
      <c r="C2637" s="1" t="s">
        <v>1239</v>
      </c>
      <c r="D2637" s="1">
        <v>29.747199999999999</v>
      </c>
      <c r="E2637" s="1">
        <v>-99.246300000000005</v>
      </c>
      <c r="F2637" s="1" t="s">
        <v>1922</v>
      </c>
      <c r="G2637" s="22">
        <v>712.30508555876224</v>
      </c>
      <c r="H2637" s="20">
        <f ca="1">NOW() - TIME(5,30,0) + (VLOOKUP(MasterTable[[#This Row],[TimeZone]], $O$3:$P$8, 2, FALSE) / 24)</f>
        <v>45990.531878125003</v>
      </c>
      <c r="I2637" s="1" t="s">
        <v>1944</v>
      </c>
      <c r="J2637" s="1">
        <v>797.54</v>
      </c>
      <c r="K2637" s="11"/>
      <c r="L2637" s="13"/>
      <c r="M2637" s="13"/>
    </row>
    <row r="2638" spans="1:13" x14ac:dyDescent="0.25">
      <c r="A2638" s="1" t="s">
        <v>7</v>
      </c>
      <c r="B2638" s="1" t="s">
        <v>8</v>
      </c>
      <c r="C2638" s="1" t="s">
        <v>1242</v>
      </c>
      <c r="D2638" s="1">
        <v>33.607599999999998</v>
      </c>
      <c r="E2638" s="1">
        <v>-102.3432</v>
      </c>
      <c r="F2638" s="1" t="s">
        <v>1922</v>
      </c>
      <c r="G2638" s="22">
        <v>506.84747097542464</v>
      </c>
      <c r="H2638" s="20">
        <f ca="1">NOW() - TIME(5,30,0) + (VLOOKUP(MasterTable[[#This Row],[TimeZone]], $O$3:$P$8, 2, FALSE) / 24)</f>
        <v>45990.531878125003</v>
      </c>
      <c r="I2638" s="1" t="s">
        <v>1944</v>
      </c>
      <c r="J2638" s="1">
        <v>908.55</v>
      </c>
      <c r="K2638" s="11"/>
      <c r="L2638" s="13"/>
      <c r="M2638" s="13"/>
    </row>
    <row r="2639" spans="1:13" x14ac:dyDescent="0.25">
      <c r="A2639" s="1" t="s">
        <v>7</v>
      </c>
      <c r="B2639" s="1" t="s">
        <v>8</v>
      </c>
      <c r="C2639" s="1" t="s">
        <v>582</v>
      </c>
      <c r="D2639" s="1">
        <v>35.837699999999998</v>
      </c>
      <c r="E2639" s="1">
        <v>-101.893</v>
      </c>
      <c r="F2639" s="1" t="s">
        <v>1922</v>
      </c>
      <c r="G2639" s="22">
        <v>574.14448074779989</v>
      </c>
      <c r="H2639" s="20">
        <f ca="1">NOW() - TIME(5,30,0) + (VLOOKUP(MasterTable[[#This Row],[TimeZone]], $O$3:$P$8, 2, FALSE) / 24)</f>
        <v>45990.531878125003</v>
      </c>
      <c r="I2639" s="1" t="s">
        <v>1944</v>
      </c>
      <c r="J2639" s="1">
        <v>705.67</v>
      </c>
      <c r="K2639" s="11"/>
      <c r="L2639" s="13"/>
      <c r="M2639" s="13"/>
    </row>
    <row r="2640" spans="1:13" x14ac:dyDescent="0.25">
      <c r="A2640" s="1" t="s">
        <v>7</v>
      </c>
      <c r="B2640" s="1" t="s">
        <v>8</v>
      </c>
      <c r="C2640" s="1" t="s">
        <v>1250</v>
      </c>
      <c r="D2640" s="1">
        <v>35.401200000000003</v>
      </c>
      <c r="E2640" s="1">
        <v>-100.8126</v>
      </c>
      <c r="F2640" s="1" t="s">
        <v>1922</v>
      </c>
      <c r="G2640" s="22">
        <v>620.44253773311573</v>
      </c>
      <c r="H2640" s="20">
        <f ca="1">NOW() - TIME(5,30,0) + (VLOOKUP(MasterTable[[#This Row],[TimeZone]], $O$3:$P$8, 2, FALSE) / 24)</f>
        <v>45990.531878125003</v>
      </c>
      <c r="I2640" s="1" t="s">
        <v>1944</v>
      </c>
      <c r="J2640" s="1">
        <v>869.34</v>
      </c>
      <c r="K2640" s="11"/>
      <c r="L2640" s="13"/>
      <c r="M2640" s="13"/>
    </row>
    <row r="2641" spans="1:13" x14ac:dyDescent="0.25">
      <c r="A2641" s="1" t="s">
        <v>7</v>
      </c>
      <c r="B2641" s="1" t="s">
        <v>8</v>
      </c>
      <c r="C2641" s="1" t="s">
        <v>138</v>
      </c>
      <c r="D2641" s="1">
        <v>29.620799999999999</v>
      </c>
      <c r="E2641" s="1">
        <v>-96.526300000000006</v>
      </c>
      <c r="F2641" s="1" t="s">
        <v>1922</v>
      </c>
      <c r="G2641" s="22">
        <v>871.5825052043931</v>
      </c>
      <c r="H2641" s="20">
        <f ca="1">NOW() - TIME(5,30,0) + (VLOOKUP(MasterTable[[#This Row],[TimeZone]], $O$3:$P$8, 2, FALSE) / 24)</f>
        <v>45990.531878125003</v>
      </c>
      <c r="I2641" s="1" t="s">
        <v>1944</v>
      </c>
      <c r="J2641" s="1">
        <v>973.59</v>
      </c>
      <c r="K2641" s="11"/>
      <c r="L2641" s="13"/>
      <c r="M2641" s="13"/>
    </row>
    <row r="2642" spans="1:13" x14ac:dyDescent="0.25">
      <c r="A2642" s="1" t="s">
        <v>7</v>
      </c>
      <c r="B2642" s="1" t="s">
        <v>8</v>
      </c>
      <c r="C2642" s="1" t="s">
        <v>1262</v>
      </c>
      <c r="D2642" s="1">
        <v>33.675699999999999</v>
      </c>
      <c r="E2642" s="1">
        <v>-97.724599999999995</v>
      </c>
      <c r="F2642" s="1" t="s">
        <v>1922</v>
      </c>
      <c r="G2642" s="22">
        <v>771.51639844059252</v>
      </c>
      <c r="H2642" s="20">
        <f ca="1">NOW() - TIME(5,30,0) + (VLOOKUP(MasterTable[[#This Row],[TimeZone]], $O$3:$P$8, 2, FALSE) / 24)</f>
        <v>45990.531878125003</v>
      </c>
      <c r="I2642" s="1" t="s">
        <v>1944</v>
      </c>
      <c r="J2642" s="1">
        <v>938.44</v>
      </c>
      <c r="K2642" s="11"/>
      <c r="L2642" s="13"/>
      <c r="M2642" s="13"/>
    </row>
    <row r="2643" spans="1:13" x14ac:dyDescent="0.25">
      <c r="A2643" s="1" t="s">
        <v>7</v>
      </c>
      <c r="B2643" s="1" t="s">
        <v>8</v>
      </c>
      <c r="C2643" s="1" t="s">
        <v>1266</v>
      </c>
      <c r="D2643" s="1">
        <v>29.3843</v>
      </c>
      <c r="E2643" s="1">
        <v>-96.930199999999999</v>
      </c>
      <c r="F2643" s="1" t="s">
        <v>1922</v>
      </c>
      <c r="G2643" s="22">
        <v>852.80603288908776</v>
      </c>
      <c r="H2643" s="20">
        <f ca="1">NOW() - TIME(5,30,0) + (VLOOKUP(MasterTable[[#This Row],[TimeZone]], $O$3:$P$8, 2, FALSE) / 24)</f>
        <v>45990.531878125003</v>
      </c>
      <c r="I2643" s="1" t="s">
        <v>1944</v>
      </c>
      <c r="J2643" s="1">
        <v>970.35</v>
      </c>
      <c r="K2643" s="11"/>
      <c r="L2643" s="13"/>
      <c r="M2643" s="13"/>
    </row>
    <row r="2644" spans="1:13" x14ac:dyDescent="0.25">
      <c r="A2644" s="1" t="s">
        <v>7</v>
      </c>
      <c r="B2644" s="1" t="s">
        <v>8</v>
      </c>
      <c r="C2644" s="1" t="s">
        <v>1268</v>
      </c>
      <c r="D2644" s="1">
        <v>35.840000000000003</v>
      </c>
      <c r="E2644" s="1">
        <v>-101.35469999999999</v>
      </c>
      <c r="F2644" s="1" t="s">
        <v>1922</v>
      </c>
      <c r="G2644" s="22">
        <v>602.06630577515364</v>
      </c>
      <c r="H2644" s="20">
        <f ca="1">NOW() - TIME(5,30,0) + (VLOOKUP(MasterTable[[#This Row],[TimeZone]], $O$3:$P$8, 2, FALSE) / 24)</f>
        <v>45990.531878125003</v>
      </c>
      <c r="I2644" s="1" t="s">
        <v>1944</v>
      </c>
      <c r="J2644" s="1">
        <v>814.37</v>
      </c>
      <c r="K2644" s="11"/>
      <c r="L2644" s="13"/>
      <c r="M2644" s="18"/>
    </row>
    <row r="2645" spans="1:13" x14ac:dyDescent="0.25">
      <c r="A2645" s="1" t="s">
        <v>7</v>
      </c>
      <c r="B2645" s="1" t="s">
        <v>8</v>
      </c>
      <c r="C2645" s="1" t="s">
        <v>1271</v>
      </c>
      <c r="D2645" s="1">
        <v>26.4693</v>
      </c>
      <c r="E2645" s="1">
        <v>-97.663200000000003</v>
      </c>
      <c r="F2645" s="1" t="s">
        <v>1922</v>
      </c>
      <c r="G2645" s="22">
        <v>891.31110121614586</v>
      </c>
      <c r="H2645" s="20">
        <f ca="1">NOW() - TIME(5,30,0) + (VLOOKUP(MasterTable[[#This Row],[TimeZone]], $O$3:$P$8, 2, FALSE) / 24)</f>
        <v>45990.531878125003</v>
      </c>
      <c r="I2645" s="1" t="s">
        <v>1944</v>
      </c>
      <c r="J2645" s="1">
        <v>784.23</v>
      </c>
      <c r="K2645" s="11"/>
      <c r="L2645" s="13"/>
      <c r="M2645" s="13"/>
    </row>
    <row r="2646" spans="1:13" x14ac:dyDescent="0.25">
      <c r="A2646" s="1" t="s">
        <v>7</v>
      </c>
      <c r="B2646" s="1" t="s">
        <v>8</v>
      </c>
      <c r="C2646" s="1" t="s">
        <v>1274</v>
      </c>
      <c r="D2646" s="1">
        <v>30.7712</v>
      </c>
      <c r="E2646" s="1">
        <v>-94.376599999999996</v>
      </c>
      <c r="F2646" s="1" t="s">
        <v>1922</v>
      </c>
      <c r="G2646" s="22">
        <v>979.2371228956074</v>
      </c>
      <c r="H2646" s="20">
        <f ca="1">NOW() - TIME(5,30,0) + (VLOOKUP(MasterTable[[#This Row],[TimeZone]], $O$3:$P$8, 2, FALSE) / 24)</f>
        <v>45990.531878125003</v>
      </c>
      <c r="I2646" s="1" t="s">
        <v>1944</v>
      </c>
      <c r="J2646" s="1">
        <v>935.71</v>
      </c>
      <c r="K2646" s="11"/>
      <c r="L2646" s="13"/>
      <c r="M2646" s="13"/>
    </row>
    <row r="2647" spans="1:13" x14ac:dyDescent="0.25">
      <c r="A2647" s="1" t="s">
        <v>7</v>
      </c>
      <c r="B2647" s="1" t="s">
        <v>8</v>
      </c>
      <c r="C2647" s="1" t="s">
        <v>733</v>
      </c>
      <c r="D2647" s="1">
        <v>32.739899999999999</v>
      </c>
      <c r="E2647" s="1">
        <v>-99.878799999999998</v>
      </c>
      <c r="F2647" s="1" t="s">
        <v>1922</v>
      </c>
      <c r="G2647" s="22">
        <v>644.65851206094339</v>
      </c>
      <c r="H2647" s="20">
        <f ca="1">NOW() - TIME(5,30,0) + (VLOOKUP(MasterTable[[#This Row],[TimeZone]], $O$3:$P$8, 2, FALSE) / 24)</f>
        <v>45990.531878125003</v>
      </c>
      <c r="I2647" s="1" t="s">
        <v>1944</v>
      </c>
      <c r="J2647" s="1">
        <v>395.39</v>
      </c>
      <c r="K2647" s="11"/>
      <c r="L2647" s="13"/>
      <c r="M2647" s="13"/>
    </row>
    <row r="2648" spans="1:13" x14ac:dyDescent="0.25">
      <c r="A2648" s="1" t="s">
        <v>7</v>
      </c>
      <c r="B2648" s="1" t="s">
        <v>8</v>
      </c>
      <c r="C2648" s="1" t="s">
        <v>498</v>
      </c>
      <c r="D2648" s="1">
        <v>28.507400000000001</v>
      </c>
      <c r="E2648" s="1">
        <v>-96.601799999999997</v>
      </c>
      <c r="F2648" s="1" t="s">
        <v>1922</v>
      </c>
      <c r="G2648" s="22">
        <v>890.91980899020814</v>
      </c>
      <c r="H2648" s="20">
        <f ca="1">NOW() - TIME(5,30,0) + (VLOOKUP(MasterTable[[#This Row],[TimeZone]], $O$3:$P$8, 2, FALSE) / 24)</f>
        <v>45990.531878125003</v>
      </c>
      <c r="I2648" s="1" t="s">
        <v>1944</v>
      </c>
      <c r="J2648" s="1">
        <v>612.32000000000005</v>
      </c>
      <c r="K2648" s="11"/>
      <c r="L2648" s="13"/>
      <c r="M2648" s="13"/>
    </row>
    <row r="2649" spans="1:13" x14ac:dyDescent="0.25">
      <c r="A2649" s="1" t="s">
        <v>7</v>
      </c>
      <c r="B2649" s="1" t="s">
        <v>8</v>
      </c>
      <c r="C2649" s="1" t="s">
        <v>1283</v>
      </c>
      <c r="D2649" s="1">
        <v>29.082100000000001</v>
      </c>
      <c r="E2649" s="1">
        <v>-97.356700000000004</v>
      </c>
      <c r="F2649" s="1" t="s">
        <v>1922</v>
      </c>
      <c r="G2649" s="22">
        <v>834.62114427323309</v>
      </c>
      <c r="H2649" s="20">
        <f ca="1">NOW() - TIME(5,30,0) + (VLOOKUP(MasterTable[[#This Row],[TimeZone]], $O$3:$P$8, 2, FALSE) / 24)</f>
        <v>45990.531878125003</v>
      </c>
      <c r="I2649" s="1" t="s">
        <v>1944</v>
      </c>
      <c r="J2649" s="1">
        <v>910.47</v>
      </c>
      <c r="K2649" s="11"/>
      <c r="L2649" s="13"/>
      <c r="M2649" s="13"/>
    </row>
    <row r="2650" spans="1:13" x14ac:dyDescent="0.25">
      <c r="A2650" s="1" t="s">
        <v>7</v>
      </c>
      <c r="B2650" s="1" t="s">
        <v>8</v>
      </c>
      <c r="C2650" s="1" t="s">
        <v>1284</v>
      </c>
      <c r="D2650" s="1">
        <v>31.704899999999999</v>
      </c>
      <c r="E2650" s="1">
        <v>-96.149100000000004</v>
      </c>
      <c r="F2650" s="1" t="s">
        <v>1922</v>
      </c>
      <c r="G2650" s="22">
        <v>866.32757999216494</v>
      </c>
      <c r="H2650" s="20">
        <f ca="1">NOW() - TIME(5,30,0) + (VLOOKUP(MasterTable[[#This Row],[TimeZone]], $O$3:$P$8, 2, FALSE) / 24)</f>
        <v>45990.531878125003</v>
      </c>
      <c r="I2650" s="1" t="s">
        <v>1944</v>
      </c>
      <c r="J2650" s="1">
        <v>892.13</v>
      </c>
      <c r="K2650" s="11"/>
      <c r="L2650" s="13"/>
      <c r="M2650" s="13"/>
    </row>
    <row r="2651" spans="1:13" x14ac:dyDescent="0.25">
      <c r="A2651" s="1" t="s">
        <v>7</v>
      </c>
      <c r="B2651" s="1" t="s">
        <v>8</v>
      </c>
      <c r="C2651" s="1" t="s">
        <v>1287</v>
      </c>
      <c r="D2651" s="1">
        <v>29.456700000000001</v>
      </c>
      <c r="E2651" s="1">
        <v>-97.492500000000007</v>
      </c>
      <c r="F2651" s="1" t="s">
        <v>1922</v>
      </c>
      <c r="G2651" s="22">
        <v>818.96533871174267</v>
      </c>
      <c r="H2651" s="20">
        <f ca="1">NOW() - TIME(5,30,0) + (VLOOKUP(MasterTable[[#This Row],[TimeZone]], $O$3:$P$8, 2, FALSE) / 24)</f>
        <v>45990.531878125003</v>
      </c>
      <c r="I2651" s="1" t="s">
        <v>1944</v>
      </c>
      <c r="J2651" s="1">
        <v>1069.82</v>
      </c>
      <c r="K2651" s="11"/>
      <c r="L2651" s="13"/>
      <c r="M2651" s="18"/>
    </row>
    <row r="2652" spans="1:13" x14ac:dyDescent="0.25">
      <c r="A2652" s="1" t="s">
        <v>7</v>
      </c>
      <c r="B2652" s="1" t="s">
        <v>8</v>
      </c>
      <c r="C2652" s="1" t="s">
        <v>1308</v>
      </c>
      <c r="D2652" s="1">
        <v>31.900400000000001</v>
      </c>
      <c r="E2652" s="1">
        <v>-97.634299999999996</v>
      </c>
      <c r="F2652" s="1" t="s">
        <v>1922</v>
      </c>
      <c r="G2652" s="22">
        <v>778.19916536495782</v>
      </c>
      <c r="H2652" s="20">
        <f ca="1">NOW() - TIME(5,30,0) + (VLOOKUP(MasterTable[[#This Row],[TimeZone]], $O$3:$P$8, 2, FALSE) / 24)</f>
        <v>45990.531878125003</v>
      </c>
      <c r="I2652" s="1" t="s">
        <v>1944</v>
      </c>
      <c r="J2652" s="1">
        <v>1002.63</v>
      </c>
      <c r="K2652" s="11"/>
      <c r="L2652" s="13"/>
      <c r="M2652" s="13"/>
    </row>
    <row r="2653" spans="1:13" x14ac:dyDescent="0.25">
      <c r="A2653" s="1" t="s">
        <v>7</v>
      </c>
      <c r="B2653" s="1" t="s">
        <v>8</v>
      </c>
      <c r="C2653" s="1" t="s">
        <v>1309</v>
      </c>
      <c r="D2653" s="1">
        <v>32.305</v>
      </c>
      <c r="E2653" s="1">
        <v>-102.6377</v>
      </c>
      <c r="F2653" s="1" t="s">
        <v>1922</v>
      </c>
      <c r="G2653" s="22">
        <v>484.22120149875741</v>
      </c>
      <c r="H2653" s="20">
        <f ca="1">NOW() - TIME(5,30,0) + (VLOOKUP(MasterTable[[#This Row],[TimeZone]], $O$3:$P$8, 2, FALSE) / 24)</f>
        <v>45990.531878125003</v>
      </c>
      <c r="I2653" s="1" t="s">
        <v>1944</v>
      </c>
      <c r="J2653" s="1">
        <v>1500.99</v>
      </c>
      <c r="K2653" s="11"/>
      <c r="L2653" s="13"/>
      <c r="M2653" s="13"/>
    </row>
    <row r="2654" spans="1:13" x14ac:dyDescent="0.25">
      <c r="A2654" s="1" t="s">
        <v>7</v>
      </c>
      <c r="B2654" s="1" t="s">
        <v>8</v>
      </c>
      <c r="C2654" s="1" t="s">
        <v>1312</v>
      </c>
      <c r="D2654" s="1">
        <v>34.966000000000001</v>
      </c>
      <c r="E2654" s="1">
        <v>-102.605</v>
      </c>
      <c r="F2654" s="1" t="s">
        <v>1922</v>
      </c>
      <c r="G2654" s="22">
        <v>514.91235665953207</v>
      </c>
      <c r="H2654" s="20">
        <f ca="1">NOW() - TIME(5,30,0) + (VLOOKUP(MasterTable[[#This Row],[TimeZone]], $O$3:$P$8, 2, FALSE) / 24)</f>
        <v>45990.531878125003</v>
      </c>
      <c r="I2654" s="1" t="s">
        <v>1944</v>
      </c>
      <c r="J2654" s="1">
        <v>1498.26</v>
      </c>
      <c r="K2654" s="11"/>
      <c r="L2654" s="13"/>
      <c r="M2654" s="13"/>
    </row>
    <row r="2655" spans="1:13" x14ac:dyDescent="0.25">
      <c r="A2655" s="1" t="s">
        <v>7</v>
      </c>
      <c r="B2655" s="1" t="s">
        <v>8</v>
      </c>
      <c r="C2655" s="1" t="s">
        <v>1315</v>
      </c>
      <c r="D2655" s="1">
        <v>30.4925</v>
      </c>
      <c r="E2655" s="1">
        <v>-96.621499999999997</v>
      </c>
      <c r="F2655" s="1" t="s">
        <v>1922</v>
      </c>
      <c r="G2655" s="22">
        <v>851.82731023352403</v>
      </c>
      <c r="H2655" s="20">
        <f ca="1">NOW() - TIME(5,30,0) + (VLOOKUP(MasterTable[[#This Row],[TimeZone]], $O$3:$P$8, 2, FALSE) / 24)</f>
        <v>45990.531878125003</v>
      </c>
      <c r="I2655" s="1" t="s">
        <v>1944</v>
      </c>
      <c r="J2655" s="1">
        <v>677.78</v>
      </c>
      <c r="K2655" s="11"/>
      <c r="L2655" s="13"/>
      <c r="M2655" s="13"/>
    </row>
    <row r="2656" spans="1:13" x14ac:dyDescent="0.25">
      <c r="A2656" s="1" t="s">
        <v>7</v>
      </c>
      <c r="B2656" s="1" t="s">
        <v>8</v>
      </c>
      <c r="C2656" s="1" t="s">
        <v>1325</v>
      </c>
      <c r="D2656" s="1">
        <v>28.867799999999999</v>
      </c>
      <c r="E2656" s="1">
        <v>-99.108199999999997</v>
      </c>
      <c r="F2656" s="1" t="s">
        <v>1922</v>
      </c>
      <c r="G2656" s="22">
        <v>739.99238225872762</v>
      </c>
      <c r="H2656" s="20">
        <f ca="1">NOW() - TIME(5,30,0) + (VLOOKUP(MasterTable[[#This Row],[TimeZone]], $O$3:$P$8, 2, FALSE) / 24)</f>
        <v>45990.531878125003</v>
      </c>
      <c r="I2656" s="1" t="s">
        <v>1944</v>
      </c>
      <c r="J2656" s="1">
        <v>1134.28</v>
      </c>
      <c r="K2656" s="11"/>
      <c r="L2656" s="13"/>
      <c r="M2656" s="13"/>
    </row>
    <row r="2657" spans="1:13" x14ac:dyDescent="0.25">
      <c r="A2657" s="1" t="s">
        <v>7</v>
      </c>
      <c r="B2657" s="1" t="s">
        <v>8</v>
      </c>
      <c r="C2657" s="1" t="s">
        <v>1327</v>
      </c>
      <c r="D2657" s="1">
        <v>33.176600000000001</v>
      </c>
      <c r="E2657" s="1">
        <v>-98.687799999999996</v>
      </c>
      <c r="F2657" s="1" t="s">
        <v>1922</v>
      </c>
      <c r="G2657" s="22">
        <v>714.28218134358337</v>
      </c>
      <c r="H2657" s="20">
        <f ca="1">NOW() - TIME(5,30,0) + (VLOOKUP(MasterTable[[#This Row],[TimeZone]], $O$3:$P$8, 2, FALSE) / 24)</f>
        <v>45990.531878125003</v>
      </c>
      <c r="I2657" s="1" t="s">
        <v>1944</v>
      </c>
      <c r="J2657" s="1">
        <v>930.84</v>
      </c>
      <c r="K2657" s="11"/>
      <c r="L2657" s="13"/>
      <c r="M2657" s="13"/>
    </row>
    <row r="2658" spans="1:13" x14ac:dyDescent="0.25">
      <c r="A2658" s="1" t="s">
        <v>7</v>
      </c>
      <c r="B2658" s="1" t="s">
        <v>8</v>
      </c>
      <c r="C2658" s="1" t="s">
        <v>1328</v>
      </c>
      <c r="D2658" s="1">
        <v>32.327100000000002</v>
      </c>
      <c r="E2658" s="1">
        <v>-98.832300000000004</v>
      </c>
      <c r="F2658" s="1" t="s">
        <v>1922</v>
      </c>
      <c r="G2658" s="22">
        <v>706.23004966800318</v>
      </c>
      <c r="H2658" s="20">
        <f ca="1">NOW() - TIME(5,30,0) + (VLOOKUP(MasterTable[[#This Row],[TimeZone]], $O$3:$P$8, 2, FALSE) / 24)</f>
        <v>45990.531878125003</v>
      </c>
      <c r="I2658" s="1" t="s">
        <v>1944</v>
      </c>
      <c r="J2658" s="1">
        <v>931.9</v>
      </c>
      <c r="K2658" s="11"/>
      <c r="L2658" s="13"/>
      <c r="M2658" s="13"/>
    </row>
    <row r="2659" spans="1:13" x14ac:dyDescent="0.25">
      <c r="A2659" s="1" t="s">
        <v>7</v>
      </c>
      <c r="B2659" s="1" t="s">
        <v>8</v>
      </c>
      <c r="C2659" s="1" t="s">
        <v>127</v>
      </c>
      <c r="D2659" s="1">
        <v>30.310700000000001</v>
      </c>
      <c r="E2659" s="1">
        <v>-96.965699999999998</v>
      </c>
      <c r="F2659" s="1" t="s">
        <v>1922</v>
      </c>
      <c r="G2659" s="22">
        <v>834.43729939509103</v>
      </c>
      <c r="H2659" s="20">
        <f ca="1">NOW() - TIME(5,30,0) + (VLOOKUP(MasterTable[[#This Row],[TimeZone]], $O$3:$P$8, 2, FALSE) / 24)</f>
        <v>45990.531878125003</v>
      </c>
      <c r="I2659" s="1" t="s">
        <v>1944</v>
      </c>
      <c r="J2659" s="1">
        <v>615.54999999999995</v>
      </c>
      <c r="K2659" s="11"/>
      <c r="L2659" s="13"/>
      <c r="M2659" s="13"/>
    </row>
    <row r="2660" spans="1:13" x14ac:dyDescent="0.25">
      <c r="A2660" s="1" t="s">
        <v>7</v>
      </c>
      <c r="B2660" s="1" t="s">
        <v>8</v>
      </c>
      <c r="C2660" s="1" t="s">
        <v>1345</v>
      </c>
      <c r="D2660" s="1">
        <v>31.253299999999999</v>
      </c>
      <c r="E2660" s="1">
        <v>-96.935900000000004</v>
      </c>
      <c r="F2660" s="1" t="s">
        <v>1922</v>
      </c>
      <c r="G2660" s="22">
        <v>824.29252316007285</v>
      </c>
      <c r="H2660" s="20">
        <f ca="1">NOW() - TIME(5,30,0) + (VLOOKUP(MasterTable[[#This Row],[TimeZone]], $O$3:$P$8, 2, FALSE) / 24)</f>
        <v>45990.531878125003</v>
      </c>
      <c r="I2660" s="1" t="s">
        <v>1944</v>
      </c>
      <c r="J2660" s="1">
        <v>773.81</v>
      </c>
      <c r="K2660" s="11"/>
      <c r="L2660" s="13"/>
      <c r="M2660" s="13"/>
    </row>
    <row r="2661" spans="1:13" x14ac:dyDescent="0.25">
      <c r="A2661" s="1" t="s">
        <v>7</v>
      </c>
      <c r="B2661" s="1" t="s">
        <v>8</v>
      </c>
      <c r="C2661" s="1" t="s">
        <v>694</v>
      </c>
      <c r="D2661" s="1">
        <v>31.027000000000001</v>
      </c>
      <c r="E2661" s="1">
        <v>-96.512900000000002</v>
      </c>
      <c r="F2661" s="1" t="s">
        <v>1922</v>
      </c>
      <c r="G2661" s="22">
        <v>851.41228109799556</v>
      </c>
      <c r="H2661" s="20">
        <f ca="1">NOW() - TIME(5,30,0) + (VLOOKUP(MasterTable[[#This Row],[TimeZone]], $O$3:$P$8, 2, FALSE) / 24)</f>
        <v>45990.531878125003</v>
      </c>
      <c r="I2661" s="1" t="s">
        <v>1944</v>
      </c>
      <c r="J2661" s="1">
        <v>100.11</v>
      </c>
      <c r="K2661" s="11"/>
      <c r="L2661" s="13"/>
      <c r="M2661" s="13"/>
    </row>
    <row r="2662" spans="1:13" x14ac:dyDescent="0.25">
      <c r="A2662" s="1" t="s">
        <v>7</v>
      </c>
      <c r="B2662" s="1" t="s">
        <v>8</v>
      </c>
      <c r="C2662" s="1" t="s">
        <v>1360</v>
      </c>
      <c r="D2662" s="1">
        <v>32.746299999999998</v>
      </c>
      <c r="E2662" s="1">
        <v>-100.9164</v>
      </c>
      <c r="F2662" s="1" t="s">
        <v>1922</v>
      </c>
      <c r="G2662" s="22">
        <v>584.36182863876752</v>
      </c>
      <c r="H2662" s="20">
        <f ca="1">NOW() - TIME(5,30,0) + (VLOOKUP(MasterTable[[#This Row],[TimeZone]], $O$3:$P$8, 2, FALSE) / 24)</f>
        <v>45990.531878125003</v>
      </c>
      <c r="I2662" s="1" t="s">
        <v>1944</v>
      </c>
      <c r="J2662" s="1">
        <v>907.53</v>
      </c>
      <c r="K2662" s="11"/>
      <c r="L2662" s="13"/>
      <c r="M2662" s="13"/>
    </row>
    <row r="2663" spans="1:13" x14ac:dyDescent="0.25">
      <c r="A2663" s="1" t="s">
        <v>7</v>
      </c>
      <c r="B2663" s="1" t="s">
        <v>8</v>
      </c>
      <c r="C2663" s="1" t="s">
        <v>297</v>
      </c>
      <c r="D2663" s="1">
        <v>31.296500000000002</v>
      </c>
      <c r="E2663" s="1">
        <v>-95.995699999999999</v>
      </c>
      <c r="F2663" s="1" t="s">
        <v>1922</v>
      </c>
      <c r="G2663" s="22">
        <v>878.82396101972483</v>
      </c>
      <c r="H2663" s="20">
        <f ca="1">NOW() - TIME(5,30,0) + (VLOOKUP(MasterTable[[#This Row],[TimeZone]], $O$3:$P$8, 2, FALSE) / 24)</f>
        <v>45990.531878125003</v>
      </c>
      <c r="I2663" s="1" t="s">
        <v>1944</v>
      </c>
      <c r="J2663" s="1">
        <v>701.78</v>
      </c>
      <c r="K2663" s="11"/>
      <c r="L2663" s="13"/>
      <c r="M2663" s="13"/>
    </row>
    <row r="2664" spans="1:13" x14ac:dyDescent="0.25">
      <c r="A2664" s="1" t="s">
        <v>7</v>
      </c>
      <c r="B2664" s="1" t="s">
        <v>8</v>
      </c>
      <c r="C2664" s="1" t="s">
        <v>140</v>
      </c>
      <c r="D2664" s="1">
        <v>28.9542</v>
      </c>
      <c r="E2664" s="1">
        <v>-96.577600000000004</v>
      </c>
      <c r="F2664" s="1" t="s">
        <v>1922</v>
      </c>
      <c r="G2664" s="22">
        <v>882.07656153440223</v>
      </c>
      <c r="H2664" s="20">
        <f ca="1">NOW() - TIME(5,30,0) + (VLOOKUP(MasterTable[[#This Row],[TimeZone]], $O$3:$P$8, 2, FALSE) / 24)</f>
        <v>45990.531878125003</v>
      </c>
      <c r="I2664" s="1" t="s">
        <v>1944</v>
      </c>
      <c r="J2664" s="1">
        <v>1126.77</v>
      </c>
      <c r="K2664" s="11"/>
      <c r="L2664" s="13"/>
      <c r="M2664" s="13"/>
    </row>
    <row r="2665" spans="1:13" x14ac:dyDescent="0.25">
      <c r="A2665" s="1" t="s">
        <v>7</v>
      </c>
      <c r="B2665" s="1" t="s">
        <v>8</v>
      </c>
      <c r="C2665" s="1" t="s">
        <v>1402</v>
      </c>
      <c r="D2665" s="1">
        <v>30.780999999999999</v>
      </c>
      <c r="E2665" s="1">
        <v>-102.7235</v>
      </c>
      <c r="F2665" s="1" t="s">
        <v>1922</v>
      </c>
      <c r="G2665" s="22">
        <v>493.28520083732644</v>
      </c>
      <c r="H2665" s="20">
        <f ca="1">NOW() - TIME(5,30,0) + (VLOOKUP(MasterTable[[#This Row],[TimeZone]], $O$3:$P$8, 2, FALSE) / 24)</f>
        <v>45990.531878125003</v>
      </c>
      <c r="I2665" s="1" t="s">
        <v>1944</v>
      </c>
      <c r="J2665" s="1">
        <v>4764.7299999999996</v>
      </c>
      <c r="K2665" s="11"/>
      <c r="L2665" s="13"/>
      <c r="M2665" s="13"/>
    </row>
    <row r="2666" spans="1:13" x14ac:dyDescent="0.25">
      <c r="A2666" s="1" t="s">
        <v>7</v>
      </c>
      <c r="B2666" s="1" t="s">
        <v>8</v>
      </c>
      <c r="C2666" s="1" t="s">
        <v>1407</v>
      </c>
      <c r="D2666" s="1">
        <v>28.9057</v>
      </c>
      <c r="E2666" s="1">
        <v>-97.859399999999994</v>
      </c>
      <c r="F2666" s="1" t="s">
        <v>1922</v>
      </c>
      <c r="G2666" s="22">
        <v>809.88714795542671</v>
      </c>
      <c r="H2666" s="20">
        <f ca="1">NOW() - TIME(5,30,0) + (VLOOKUP(MasterTable[[#This Row],[TimeZone]], $O$3:$P$8, 2, FALSE) / 24)</f>
        <v>45990.531878125003</v>
      </c>
      <c r="I2666" s="1" t="s">
        <v>1944</v>
      </c>
      <c r="J2666" s="1">
        <v>753.58</v>
      </c>
      <c r="K2666" s="11"/>
      <c r="L2666" s="13"/>
      <c r="M2666" s="13"/>
    </row>
    <row r="2667" spans="1:13" x14ac:dyDescent="0.25">
      <c r="A2667" s="1" t="s">
        <v>7</v>
      </c>
      <c r="B2667" s="1" t="s">
        <v>8</v>
      </c>
      <c r="C2667" s="1" t="s">
        <v>1415</v>
      </c>
      <c r="D2667" s="1">
        <v>32.3035</v>
      </c>
      <c r="E2667" s="1">
        <v>-100.40600000000001</v>
      </c>
      <c r="F2667" s="1" t="s">
        <v>1922</v>
      </c>
      <c r="G2667" s="22">
        <v>614.48828467329815</v>
      </c>
      <c r="H2667" s="20">
        <f ca="1">NOW() - TIME(5,30,0) + (VLOOKUP(MasterTable[[#This Row],[TimeZone]], $O$3:$P$8, 2, FALSE) / 24)</f>
        <v>45990.531878125003</v>
      </c>
      <c r="I2667" s="1" t="s">
        <v>1944</v>
      </c>
      <c r="J2667" s="1">
        <v>913.93</v>
      </c>
      <c r="K2667" s="11"/>
      <c r="L2667" s="13"/>
      <c r="M2667" s="13"/>
    </row>
    <row r="2668" spans="1:13" x14ac:dyDescent="0.25">
      <c r="A2668" s="1" t="s">
        <v>7</v>
      </c>
      <c r="B2668" s="1" t="s">
        <v>8</v>
      </c>
      <c r="C2668" s="1" t="s">
        <v>1437</v>
      </c>
      <c r="D2668" s="1">
        <v>32.297600000000003</v>
      </c>
      <c r="E2668" s="1">
        <v>-99.373500000000007</v>
      </c>
      <c r="F2668" s="1" t="s">
        <v>1922</v>
      </c>
      <c r="G2668" s="22">
        <v>674.75313556215815</v>
      </c>
      <c r="H2668" s="20">
        <f ca="1">NOW() - TIME(5,30,0) + (VLOOKUP(MasterTable[[#This Row],[TimeZone]], $O$3:$P$8, 2, FALSE) / 24)</f>
        <v>45990.531878125003</v>
      </c>
      <c r="I2668" s="1" t="s">
        <v>1944</v>
      </c>
      <c r="J2668" s="1">
        <v>901.26</v>
      </c>
      <c r="K2668" s="11"/>
      <c r="L2668" s="13"/>
      <c r="M2668" s="13"/>
    </row>
    <row r="2669" spans="1:13" x14ac:dyDescent="0.25">
      <c r="A2669" s="1" t="s">
        <v>7</v>
      </c>
      <c r="B2669" s="1" t="s">
        <v>8</v>
      </c>
      <c r="C2669" s="1" t="s">
        <v>1446</v>
      </c>
      <c r="D2669" s="1">
        <v>27.000800000000002</v>
      </c>
      <c r="E2669" s="1">
        <v>-99.168599999999998</v>
      </c>
      <c r="F2669" s="1" t="s">
        <v>1942</v>
      </c>
      <c r="G2669" s="22">
        <v>792.42842519434123</v>
      </c>
      <c r="H2669" s="20" t="e">
        <f ca="1">NOW() - TIME(5,30,0) + (VLOOKUP(MasterTable[[#This Row],[TimeZone]], $O$3:$P$8, 2, FALSE) / 24)</f>
        <v>#N/A</v>
      </c>
      <c r="I2669" s="1" t="s">
        <v>1944</v>
      </c>
      <c r="J2669" s="1">
        <v>1058.0999999999999</v>
      </c>
      <c r="K2669" s="11"/>
      <c r="L2669" s="13"/>
      <c r="M2669" s="13"/>
    </row>
    <row r="2670" spans="1:13" x14ac:dyDescent="0.25">
      <c r="A2670" s="1" t="s">
        <v>7</v>
      </c>
      <c r="B2670" s="1" t="s">
        <v>8</v>
      </c>
      <c r="C2670" s="1" t="s">
        <v>1382</v>
      </c>
      <c r="D2670" s="1">
        <v>31.088799999999999</v>
      </c>
      <c r="E2670" s="1">
        <v>-95.135499999999993</v>
      </c>
      <c r="F2670" s="1" t="s">
        <v>1922</v>
      </c>
      <c r="G2670" s="22">
        <v>931.23420479770198</v>
      </c>
      <c r="H2670" s="20">
        <f ca="1">NOW() - TIME(5,30,0) + (VLOOKUP(MasterTable[[#This Row],[TimeZone]], $O$3:$P$8, 2, FALSE) / 24)</f>
        <v>45990.531878125003</v>
      </c>
      <c r="I2670" s="1" t="s">
        <v>1944</v>
      </c>
      <c r="J2670" s="1">
        <v>3207.54</v>
      </c>
      <c r="K2670" s="11"/>
      <c r="L2670" s="13"/>
      <c r="M2670" s="13"/>
    </row>
    <row r="2671" spans="1:13" x14ac:dyDescent="0.25">
      <c r="A2671" s="1" t="s">
        <v>7</v>
      </c>
      <c r="B2671" s="1" t="s">
        <v>8</v>
      </c>
      <c r="C2671" s="1" t="s">
        <v>526</v>
      </c>
      <c r="D2671" s="1">
        <v>31.948</v>
      </c>
      <c r="E2671" s="1">
        <v>-98.558199999999999</v>
      </c>
      <c r="F2671" s="1" t="s">
        <v>1922</v>
      </c>
      <c r="G2671" s="22">
        <v>723.93474126695946</v>
      </c>
      <c r="H2671" s="20">
        <f ca="1">NOW() - TIME(5,30,0) + (VLOOKUP(MasterTable[[#This Row],[TimeZone]], $O$3:$P$8, 2, FALSE) / 24)</f>
        <v>45990.531878125003</v>
      </c>
      <c r="I2671" s="1" t="s">
        <v>1944</v>
      </c>
      <c r="J2671" s="1">
        <v>789.7</v>
      </c>
      <c r="K2671" s="11"/>
      <c r="L2671" s="13"/>
      <c r="M2671" s="13"/>
    </row>
    <row r="2672" spans="1:13" x14ac:dyDescent="0.25">
      <c r="A2672" s="1" t="s">
        <v>7</v>
      </c>
      <c r="B2672" s="1" t="s">
        <v>8</v>
      </c>
      <c r="C2672" s="1" t="s">
        <v>244</v>
      </c>
      <c r="D2672" s="1">
        <v>30.965499999999999</v>
      </c>
      <c r="E2672" s="1">
        <v>-95.928399999999996</v>
      </c>
      <c r="F2672" s="1" t="s">
        <v>1922</v>
      </c>
      <c r="G2672" s="22">
        <v>886.2609838620574</v>
      </c>
      <c r="H2672" s="20">
        <f ca="1">NOW() - TIME(5,30,0) + (VLOOKUP(MasterTable[[#This Row],[TimeZone]], $O$3:$P$8, 2, FALSE) / 24)</f>
        <v>45990.531878125003</v>
      </c>
      <c r="I2672" s="1" t="s">
        <v>1944</v>
      </c>
      <c r="J2672" s="1">
        <v>812.85</v>
      </c>
      <c r="K2672" s="11"/>
      <c r="L2672" s="13"/>
      <c r="M2672" s="13"/>
    </row>
    <row r="2673" spans="1:13" x14ac:dyDescent="0.25">
      <c r="A2673" s="1" t="s">
        <v>7</v>
      </c>
      <c r="B2673" s="1" t="s">
        <v>8</v>
      </c>
      <c r="C2673" s="1" t="s">
        <v>1459</v>
      </c>
      <c r="D2673" s="1">
        <v>31.323</v>
      </c>
      <c r="E2673" s="1">
        <v>-103.693</v>
      </c>
      <c r="F2673" s="1" t="s">
        <v>1922</v>
      </c>
      <c r="G2673" s="22">
        <v>429.34498200172362</v>
      </c>
      <c r="H2673" s="20">
        <f ca="1">NOW() - TIME(5,30,0) + (VLOOKUP(MasterTable[[#This Row],[TimeZone]], $O$3:$P$8, 2, FALSE) / 24)</f>
        <v>45990.531878125003</v>
      </c>
      <c r="I2673" s="1" t="s">
        <v>1944</v>
      </c>
      <c r="J2673" s="1">
        <v>2641.95</v>
      </c>
      <c r="K2673" s="11"/>
      <c r="L2673" s="13"/>
      <c r="M2673" s="13"/>
    </row>
    <row r="2674" spans="1:13" x14ac:dyDescent="0.25">
      <c r="A2674" s="1" t="s">
        <v>7</v>
      </c>
      <c r="B2674" s="1" t="s">
        <v>8</v>
      </c>
      <c r="C2674" s="1" t="s">
        <v>1469</v>
      </c>
      <c r="D2674" s="1">
        <v>34.068600000000004</v>
      </c>
      <c r="E2674" s="1">
        <v>-102.35169999999999</v>
      </c>
      <c r="F2674" s="1" t="s">
        <v>1922</v>
      </c>
      <c r="G2674" s="22">
        <v>512.06114968573729</v>
      </c>
      <c r="H2674" s="20">
        <f ca="1">NOW() - TIME(5,30,0) + (VLOOKUP(MasterTable[[#This Row],[TimeZone]], $O$3:$P$8, 2, FALSE) / 24)</f>
        <v>45990.531878125003</v>
      </c>
      <c r="I2674" s="1" t="s">
        <v>1944</v>
      </c>
      <c r="J2674" s="1">
        <v>1017.73</v>
      </c>
      <c r="K2674" s="11"/>
      <c r="L2674" s="13"/>
      <c r="M2674" s="13"/>
    </row>
    <row r="2675" spans="1:13" x14ac:dyDescent="0.25">
      <c r="A2675" s="1" t="s">
        <v>7</v>
      </c>
      <c r="B2675" s="1" t="s">
        <v>8</v>
      </c>
      <c r="C2675" s="1" t="s">
        <v>1474</v>
      </c>
      <c r="D2675" s="1">
        <v>34.080800000000004</v>
      </c>
      <c r="E2675" s="1">
        <v>-99.241</v>
      </c>
      <c r="F2675" s="1" t="s">
        <v>1922</v>
      </c>
      <c r="G2675" s="22">
        <v>687.69811498546892</v>
      </c>
      <c r="H2675" s="20">
        <f ca="1">NOW() - TIME(5,30,0) + (VLOOKUP(MasterTable[[#This Row],[TimeZone]], $O$3:$P$8, 2, FALSE) / 24)</f>
        <v>45990.531878125003</v>
      </c>
      <c r="I2675" s="1" t="s">
        <v>1944</v>
      </c>
      <c r="J2675" s="1">
        <v>978.1</v>
      </c>
      <c r="K2675" s="11"/>
      <c r="L2675" s="13"/>
      <c r="M2675" s="13"/>
    </row>
    <row r="2676" spans="1:13" x14ac:dyDescent="0.25">
      <c r="A2676" s="1" t="s">
        <v>7</v>
      </c>
      <c r="B2676" s="1" t="s">
        <v>8</v>
      </c>
      <c r="C2676" s="1" t="s">
        <v>1478</v>
      </c>
      <c r="D2676" s="1">
        <v>32.973199999999999</v>
      </c>
      <c r="E2676" s="1">
        <v>-94.978499999999997</v>
      </c>
      <c r="F2676" s="1" t="s">
        <v>1922</v>
      </c>
      <c r="G2676" s="22">
        <v>928.94547536777088</v>
      </c>
      <c r="H2676" s="20">
        <f ca="1">NOW() - TIME(5,30,0) + (VLOOKUP(MasterTable[[#This Row],[TimeZone]], $O$3:$P$8, 2, FALSE) / 24)</f>
        <v>45990.531878125003</v>
      </c>
      <c r="I2676" s="1" t="s">
        <v>1944</v>
      </c>
      <c r="J2676" s="1">
        <v>203.2</v>
      </c>
      <c r="K2676" s="11"/>
      <c r="L2676" s="13"/>
      <c r="M2676" s="13"/>
    </row>
    <row r="2677" spans="1:13" x14ac:dyDescent="0.25">
      <c r="A2677" s="1" t="s">
        <v>7</v>
      </c>
      <c r="B2677" s="1" t="s">
        <v>8</v>
      </c>
      <c r="C2677" s="1" t="s">
        <v>1482</v>
      </c>
      <c r="D2677" s="1">
        <v>32.8703</v>
      </c>
      <c r="E2677" s="1">
        <v>-95.793400000000005</v>
      </c>
      <c r="F2677" s="1" t="s">
        <v>1922</v>
      </c>
      <c r="G2677" s="22">
        <v>881.83398402883347</v>
      </c>
      <c r="H2677" s="20">
        <f ca="1">NOW() - TIME(5,30,0) + (VLOOKUP(MasterTable[[#This Row],[TimeZone]], $O$3:$P$8, 2, FALSE) / 24)</f>
        <v>45990.531878125003</v>
      </c>
      <c r="I2677" s="1" t="s">
        <v>1944</v>
      </c>
      <c r="J2677" s="1">
        <v>258.87</v>
      </c>
      <c r="K2677" s="11"/>
      <c r="L2677" s="13"/>
      <c r="M2677" s="13"/>
    </row>
    <row r="2678" spans="1:13" x14ac:dyDescent="0.25">
      <c r="A2678" s="1" t="s">
        <v>7</v>
      </c>
      <c r="B2678" s="1" t="s">
        <v>8</v>
      </c>
      <c r="C2678" s="1" t="s">
        <v>1095</v>
      </c>
      <c r="D2678" s="1">
        <v>32.742600000000003</v>
      </c>
      <c r="E2678" s="1">
        <v>-101.94759999999999</v>
      </c>
      <c r="F2678" s="1" t="s">
        <v>1922</v>
      </c>
      <c r="G2678" s="22">
        <v>524.43887879458896</v>
      </c>
      <c r="H2678" s="20">
        <f ca="1">NOW() - TIME(5,30,0) + (VLOOKUP(MasterTable[[#This Row],[TimeZone]], $O$3:$P$8, 2, FALSE) / 24)</f>
        <v>45990.531878125003</v>
      </c>
      <c r="I2678" s="1" t="s">
        <v>1944</v>
      </c>
      <c r="J2678" s="1">
        <v>213.93</v>
      </c>
      <c r="K2678" s="11"/>
      <c r="L2678" s="13"/>
      <c r="M2678" s="13"/>
    </row>
    <row r="2679" spans="1:13" x14ac:dyDescent="0.25">
      <c r="A2679" s="1" t="s">
        <v>7</v>
      </c>
      <c r="B2679" s="1" t="s">
        <v>8</v>
      </c>
      <c r="C2679" s="1" t="s">
        <v>539</v>
      </c>
      <c r="D2679" s="1">
        <v>30.786300000000001</v>
      </c>
      <c r="E2679" s="1">
        <v>-93.744799999999998</v>
      </c>
      <c r="F2679" s="1" t="s">
        <v>1922</v>
      </c>
      <c r="G2679" s="22">
        <v>1015.9772592530558</v>
      </c>
      <c r="H2679" s="20">
        <f ca="1">NOW() - TIME(5,30,0) + (VLOOKUP(MasterTable[[#This Row],[TimeZone]], $O$3:$P$8, 2, FALSE) / 24)</f>
        <v>45990.531878125003</v>
      </c>
      <c r="I2679" s="1" t="s">
        <v>1944</v>
      </c>
      <c r="J2679" s="1">
        <v>823.18</v>
      </c>
      <c r="K2679" s="11"/>
      <c r="L2679" s="13"/>
      <c r="M2679" s="13"/>
    </row>
    <row r="2680" spans="1:13" x14ac:dyDescent="0.25">
      <c r="A2680" s="1" t="s">
        <v>7</v>
      </c>
      <c r="B2680" s="1" t="s">
        <v>8</v>
      </c>
      <c r="C2680" s="1" t="s">
        <v>197</v>
      </c>
      <c r="D2680" s="1">
        <v>33.113500000000002</v>
      </c>
      <c r="E2680" s="1">
        <v>-94.732600000000005</v>
      </c>
      <c r="F2680" s="1" t="s">
        <v>1922</v>
      </c>
      <c r="G2680" s="22">
        <v>943.0338448332277</v>
      </c>
      <c r="H2680" s="20">
        <f ca="1">NOW() - TIME(5,30,0) + (VLOOKUP(MasterTable[[#This Row],[TimeZone]], $O$3:$P$8, 2, FALSE) / 24)</f>
        <v>45990.531878125003</v>
      </c>
      <c r="I2680" s="1" t="s">
        <v>1944</v>
      </c>
      <c r="J2680" s="1">
        <v>702.84</v>
      </c>
      <c r="K2680" s="11"/>
      <c r="L2680" s="13"/>
      <c r="M2680" s="13"/>
    </row>
    <row r="2681" spans="1:13" x14ac:dyDescent="0.25">
      <c r="A2681" s="1" t="s">
        <v>7</v>
      </c>
      <c r="B2681" s="1" t="s">
        <v>8</v>
      </c>
      <c r="C2681" s="1" t="s">
        <v>1499</v>
      </c>
      <c r="D2681" s="1">
        <v>30.266400000000001</v>
      </c>
      <c r="E2681" s="1">
        <v>-98.399900000000002</v>
      </c>
      <c r="F2681" s="1" t="s">
        <v>1922</v>
      </c>
      <c r="G2681" s="22">
        <v>751.78863095001168</v>
      </c>
      <c r="H2681" s="20">
        <f ca="1">NOW() - TIME(5,30,0) + (VLOOKUP(MasterTable[[#This Row],[TimeZone]], $O$3:$P$8, 2, FALSE) / 24)</f>
        <v>45990.531878125003</v>
      </c>
      <c r="I2681" s="1" t="s">
        <v>1944</v>
      </c>
      <c r="J2681" s="1">
        <v>713.41</v>
      </c>
      <c r="K2681" s="11"/>
      <c r="L2681" s="13"/>
      <c r="M2681" s="13"/>
    </row>
    <row r="2682" spans="1:13" x14ac:dyDescent="0.25">
      <c r="A2682" s="1" t="s">
        <v>7</v>
      </c>
      <c r="B2682" s="1" t="s">
        <v>8</v>
      </c>
      <c r="C2682" s="1" t="s">
        <v>1507</v>
      </c>
      <c r="D2682" s="1">
        <v>33.1738</v>
      </c>
      <c r="E2682" s="1">
        <v>-102.3352</v>
      </c>
      <c r="F2682" s="1" t="s">
        <v>1922</v>
      </c>
      <c r="G2682" s="22">
        <v>503.73025970574787</v>
      </c>
      <c r="H2682" s="20">
        <f ca="1">NOW() - TIME(5,30,0) + (VLOOKUP(MasterTable[[#This Row],[TimeZone]], $O$3:$P$8, 2, FALSE) / 24)</f>
        <v>45990.531878125003</v>
      </c>
      <c r="I2682" s="1" t="s">
        <v>1944</v>
      </c>
      <c r="J2682" s="1">
        <v>890.93</v>
      </c>
      <c r="K2682" s="11"/>
      <c r="L2682" s="13"/>
      <c r="M2682" s="13"/>
    </row>
    <row r="2683" spans="1:13" x14ac:dyDescent="0.25">
      <c r="A2683" s="1" t="s">
        <v>7</v>
      </c>
      <c r="B2683" s="1" t="s">
        <v>8</v>
      </c>
      <c r="C2683" s="1" t="s">
        <v>1509</v>
      </c>
      <c r="D2683" s="1">
        <v>33.620699999999999</v>
      </c>
      <c r="E2683" s="1">
        <v>-95.050299999999993</v>
      </c>
      <c r="F2683" s="1" t="s">
        <v>1922</v>
      </c>
      <c r="G2683" s="22">
        <v>924.98708610026608</v>
      </c>
      <c r="H2683" s="20">
        <f ca="1">NOW() - TIME(5,30,0) + (VLOOKUP(MasterTable[[#This Row],[TimeZone]], $O$3:$P$8, 2, FALSE) / 24)</f>
        <v>45990.531878125003</v>
      </c>
      <c r="I2683" s="1" t="s">
        <v>1944</v>
      </c>
      <c r="J2683" s="1">
        <v>402.08</v>
      </c>
      <c r="K2683" s="11"/>
      <c r="L2683" s="13"/>
      <c r="M2683" s="13"/>
    </row>
    <row r="2684" spans="1:13" x14ac:dyDescent="0.25">
      <c r="A2684" s="1" t="s">
        <v>7</v>
      </c>
      <c r="B2684" s="1" t="s">
        <v>8</v>
      </c>
      <c r="C2684" s="1" t="s">
        <v>1515</v>
      </c>
      <c r="D2684" s="1">
        <v>28.351400000000002</v>
      </c>
      <c r="E2684" s="1">
        <v>-98.124799999999993</v>
      </c>
      <c r="F2684" s="1" t="s">
        <v>1922</v>
      </c>
      <c r="G2684" s="22">
        <v>808.63711847186005</v>
      </c>
      <c r="H2684" s="20">
        <f ca="1">NOW() - TIME(5,30,0) + (VLOOKUP(MasterTable[[#This Row],[TimeZone]], $O$3:$P$8, 2, FALSE) / 24)</f>
        <v>45990.531878125003</v>
      </c>
      <c r="I2684" s="1" t="s">
        <v>1944</v>
      </c>
      <c r="J2684" s="1">
        <v>1078.83</v>
      </c>
      <c r="K2684" s="11"/>
      <c r="L2684" s="13"/>
      <c r="M2684" s="13"/>
    </row>
    <row r="2685" spans="1:13" x14ac:dyDescent="0.25">
      <c r="A2685" s="1" t="s">
        <v>7</v>
      </c>
      <c r="B2685" s="1" t="s">
        <v>8</v>
      </c>
      <c r="C2685" s="1" t="s">
        <v>714</v>
      </c>
      <c r="D2685" s="1">
        <v>31.509499999999999</v>
      </c>
      <c r="E2685" s="1">
        <v>-103.10250000000001</v>
      </c>
      <c r="F2685" s="1" t="s">
        <v>1922</v>
      </c>
      <c r="G2685" s="22">
        <v>461.66648572990584</v>
      </c>
      <c r="H2685" s="20">
        <f ca="1">NOW() - TIME(5,30,0) + (VLOOKUP(MasterTable[[#This Row],[TimeZone]], $O$3:$P$8, 2, FALSE) / 24)</f>
        <v>45990.531878125003</v>
      </c>
      <c r="I2685" s="1" t="s">
        <v>1944</v>
      </c>
      <c r="J2685" s="1">
        <v>2056.25</v>
      </c>
      <c r="K2685" s="11"/>
      <c r="L2685" s="13"/>
      <c r="M2685" s="13"/>
    </row>
    <row r="2686" spans="1:13" x14ac:dyDescent="0.25">
      <c r="A2686" s="1" t="s">
        <v>7</v>
      </c>
      <c r="B2686" s="1" t="s">
        <v>8</v>
      </c>
      <c r="C2686" s="1" t="s">
        <v>50</v>
      </c>
      <c r="D2686" s="1">
        <v>33.1755</v>
      </c>
      <c r="E2686" s="1">
        <v>-95.218400000000003</v>
      </c>
      <c r="F2686" s="1" t="s">
        <v>1922</v>
      </c>
      <c r="G2686" s="22">
        <v>914.89739541339679</v>
      </c>
      <c r="H2686" s="20">
        <f ca="1">NOW() - TIME(5,30,0) + (VLOOKUP(MasterTable[[#This Row],[TimeZone]], $O$3:$P$8, 2, FALSE) / 24)</f>
        <v>45990.531878125003</v>
      </c>
      <c r="I2686" s="1" t="s">
        <v>1944</v>
      </c>
      <c r="J2686" s="1">
        <v>646.51</v>
      </c>
      <c r="K2686" s="11"/>
      <c r="L2686" s="13"/>
      <c r="M2686" s="13"/>
    </row>
    <row r="2687" spans="1:13" x14ac:dyDescent="0.25">
      <c r="A2687" s="1" t="s">
        <v>7</v>
      </c>
      <c r="B2687" s="1" t="s">
        <v>8</v>
      </c>
      <c r="C2687" s="1" t="s">
        <v>327</v>
      </c>
      <c r="D2687" s="1">
        <v>33.785499999999999</v>
      </c>
      <c r="E2687" s="1">
        <v>-98.208500000000001</v>
      </c>
      <c r="F2687" s="1" t="s">
        <v>1922</v>
      </c>
      <c r="G2687" s="22">
        <v>744.36178974708287</v>
      </c>
      <c r="H2687" s="20">
        <f ca="1">NOW() - TIME(5,30,0) + (VLOOKUP(MasterTable[[#This Row],[TimeZone]], $O$3:$P$8, 2, FALSE) / 24)</f>
        <v>45990.531878125003</v>
      </c>
      <c r="I2687" s="1" t="s">
        <v>1944</v>
      </c>
      <c r="J2687" s="1">
        <v>606</v>
      </c>
      <c r="K2687" s="11"/>
      <c r="L2687" s="13"/>
      <c r="M2687" s="13"/>
    </row>
    <row r="2688" spans="1:13" x14ac:dyDescent="0.25">
      <c r="A2688" s="1" t="s">
        <v>7</v>
      </c>
      <c r="B2688" s="1" t="s">
        <v>8</v>
      </c>
      <c r="C2688" s="1" t="s">
        <v>1221</v>
      </c>
      <c r="D2688" s="1">
        <v>31.3432</v>
      </c>
      <c r="E2688" s="1">
        <v>-93.851799999999997</v>
      </c>
      <c r="F2688" s="1" t="s">
        <v>1922</v>
      </c>
      <c r="G2688" s="22">
        <v>1003.6915032263114</v>
      </c>
      <c r="H2688" s="20">
        <f ca="1">NOW() - TIME(5,30,0) + (VLOOKUP(MasterTable[[#This Row],[TimeZone]], $O$3:$P$8, 2, FALSE) / 24)</f>
        <v>45990.531878125003</v>
      </c>
      <c r="I2688" s="1" t="s">
        <v>1944</v>
      </c>
      <c r="J2688" s="1">
        <v>1011.51</v>
      </c>
      <c r="K2688" s="11"/>
      <c r="L2688" s="13"/>
      <c r="M2688" s="13"/>
    </row>
    <row r="2689" spans="1:13" x14ac:dyDescent="0.25">
      <c r="A2689" s="1" t="s">
        <v>7</v>
      </c>
      <c r="B2689" s="1" t="s">
        <v>8</v>
      </c>
      <c r="C2689" s="1" t="s">
        <v>1558</v>
      </c>
      <c r="D2689" s="1">
        <v>31.831099999999999</v>
      </c>
      <c r="E2689" s="1">
        <v>-99.976200000000006</v>
      </c>
      <c r="F2689" s="1" t="s">
        <v>1922</v>
      </c>
      <c r="G2689" s="22">
        <v>641.77150790248936</v>
      </c>
      <c r="H2689" s="20">
        <f ca="1">NOW() - TIME(5,30,0) + (VLOOKUP(MasterTable[[#This Row],[TimeZone]], $O$3:$P$8, 2, FALSE) / 24)</f>
        <v>45990.531878125003</v>
      </c>
      <c r="I2689" s="1" t="s">
        <v>1944</v>
      </c>
      <c r="J2689" s="1">
        <v>1057.1300000000001</v>
      </c>
      <c r="K2689" s="11"/>
      <c r="L2689" s="13"/>
      <c r="M2689" s="13"/>
    </row>
    <row r="2690" spans="1:13" x14ac:dyDescent="0.25">
      <c r="A2690" s="1" t="s">
        <v>7</v>
      </c>
      <c r="B2690" s="1" t="s">
        <v>8</v>
      </c>
      <c r="C2690" s="1" t="s">
        <v>1559</v>
      </c>
      <c r="D2690" s="1">
        <v>36.278399999999998</v>
      </c>
      <c r="E2690" s="1">
        <v>-100.81570000000001</v>
      </c>
      <c r="F2690" s="1" t="s">
        <v>1922</v>
      </c>
      <c r="G2690" s="22">
        <v>641.44350491813566</v>
      </c>
      <c r="H2690" s="20">
        <f ca="1">NOW() - TIME(5,30,0) + (VLOOKUP(MasterTable[[#This Row],[TimeZone]], $O$3:$P$8, 2, FALSE) / 24)</f>
        <v>45990.531878125003</v>
      </c>
      <c r="I2690" s="1" t="s">
        <v>1944</v>
      </c>
      <c r="J2690" s="1">
        <v>918.07</v>
      </c>
      <c r="K2690" s="11"/>
      <c r="L2690" s="13"/>
      <c r="M2690" s="13"/>
    </row>
    <row r="2691" spans="1:13" x14ac:dyDescent="0.25">
      <c r="A2691" s="1" t="s">
        <v>7</v>
      </c>
      <c r="B2691" s="1" t="s">
        <v>8</v>
      </c>
      <c r="C2691" s="1" t="s">
        <v>80</v>
      </c>
      <c r="D2691" s="1">
        <v>27.6814</v>
      </c>
      <c r="E2691" s="1">
        <v>-98.508899999999997</v>
      </c>
      <c r="F2691" s="1" t="s">
        <v>1922</v>
      </c>
      <c r="G2691" s="22">
        <v>806.22531501745857</v>
      </c>
      <c r="H2691" s="20">
        <f ca="1">NOW() - TIME(5,30,0) + (VLOOKUP(MasterTable[[#This Row],[TimeZone]], $O$3:$P$8, 2, FALSE) / 24)</f>
        <v>45990.531878125003</v>
      </c>
      <c r="I2691" s="1" t="s">
        <v>1944</v>
      </c>
      <c r="J2691" s="1">
        <v>918.24</v>
      </c>
      <c r="K2691" s="11"/>
      <c r="L2691" s="13"/>
      <c r="M2691" s="13"/>
    </row>
    <row r="2692" spans="1:13" x14ac:dyDescent="0.25">
      <c r="A2692" s="1" t="s">
        <v>7</v>
      </c>
      <c r="B2692" s="1" t="s">
        <v>8</v>
      </c>
      <c r="C2692" s="1" t="s">
        <v>1562</v>
      </c>
      <c r="D2692" s="1">
        <v>34.530099999999997</v>
      </c>
      <c r="E2692" s="1">
        <v>-102.78449999999999</v>
      </c>
      <c r="F2692" s="1" t="s">
        <v>1922</v>
      </c>
      <c r="G2692" s="22">
        <v>495.96509762067865</v>
      </c>
      <c r="H2692" s="20">
        <f ca="1">NOW() - TIME(5,30,0) + (VLOOKUP(MasterTable[[#This Row],[TimeZone]], $O$3:$P$8, 2, FALSE) / 24)</f>
        <v>45990.531878125003</v>
      </c>
      <c r="I2692" s="1" t="s">
        <v>1944</v>
      </c>
      <c r="J2692" s="1">
        <v>885.17</v>
      </c>
      <c r="K2692" s="11"/>
      <c r="L2692" s="13"/>
      <c r="M2692" s="13"/>
    </row>
    <row r="2693" spans="1:13" x14ac:dyDescent="0.25">
      <c r="A2693" s="1" t="s">
        <v>7</v>
      </c>
      <c r="B2693" s="1" t="s">
        <v>8</v>
      </c>
      <c r="C2693" s="1" t="s">
        <v>88</v>
      </c>
      <c r="D2693" s="1">
        <v>32.798000000000002</v>
      </c>
      <c r="E2693" s="1">
        <v>-94.357200000000006</v>
      </c>
      <c r="F2693" s="1" t="s">
        <v>1922</v>
      </c>
      <c r="G2693" s="22">
        <v>965.32727176893025</v>
      </c>
      <c r="H2693" s="20">
        <f ca="1">NOW() - TIME(5,30,0) + (VLOOKUP(MasterTable[[#This Row],[TimeZone]], $O$3:$P$8, 2, FALSE) / 24)</f>
        <v>45990.531878125003</v>
      </c>
      <c r="I2693" s="1" t="s">
        <v>1944</v>
      </c>
      <c r="J2693" s="1">
        <v>743.57</v>
      </c>
      <c r="K2693" s="11"/>
      <c r="L2693" s="13"/>
      <c r="M2693" s="13"/>
    </row>
    <row r="2694" spans="1:13" x14ac:dyDescent="0.25">
      <c r="A2694" s="1" t="s">
        <v>7</v>
      </c>
      <c r="B2694" s="1" t="s">
        <v>8</v>
      </c>
      <c r="C2694" s="1" t="s">
        <v>1568</v>
      </c>
      <c r="D2694" s="1">
        <v>28.866199999999999</v>
      </c>
      <c r="E2694" s="1">
        <v>-99.760499999999993</v>
      </c>
      <c r="F2694" s="1" t="s">
        <v>1922</v>
      </c>
      <c r="G2694" s="22">
        <v>703.33241388916952</v>
      </c>
      <c r="H2694" s="20">
        <f ca="1">NOW() - TIME(5,30,0) + (VLOOKUP(MasterTable[[#This Row],[TimeZone]], $O$3:$P$8, 2, FALSE) / 24)</f>
        <v>45990.531878125003</v>
      </c>
      <c r="I2694" s="1" t="s">
        <v>1944</v>
      </c>
      <c r="J2694" s="1">
        <v>1301.72</v>
      </c>
      <c r="K2694" s="11"/>
      <c r="L2694" s="13"/>
      <c r="M2694" s="13"/>
    </row>
    <row r="2695" spans="1:13" x14ac:dyDescent="0.25">
      <c r="A2695" s="1" t="s">
        <v>7</v>
      </c>
      <c r="B2695" s="1" t="s">
        <v>8</v>
      </c>
      <c r="C2695" s="1" t="s">
        <v>1570</v>
      </c>
      <c r="D2695" s="1">
        <v>32.222200000000001</v>
      </c>
      <c r="E2695" s="1">
        <v>-97.774600000000007</v>
      </c>
      <c r="F2695" s="1" t="s">
        <v>1922</v>
      </c>
      <c r="G2695" s="22">
        <v>768.32317097693499</v>
      </c>
      <c r="H2695" s="20">
        <f ca="1">NOW() - TIME(5,30,0) + (VLOOKUP(MasterTable[[#This Row],[TimeZone]], $O$3:$P$8, 2, FALSE) / 24)</f>
        <v>45990.531878125003</v>
      </c>
      <c r="I2695" s="1" t="s">
        <v>1944</v>
      </c>
      <c r="J2695" s="1">
        <v>191.9</v>
      </c>
      <c r="K2695" s="11"/>
      <c r="L2695" s="13"/>
      <c r="M2695" s="13"/>
    </row>
    <row r="2696" spans="1:13" x14ac:dyDescent="0.25">
      <c r="A2696" s="1" t="s">
        <v>7</v>
      </c>
      <c r="B2696" s="1" t="s">
        <v>8</v>
      </c>
      <c r="C2696" s="1" t="s">
        <v>1574</v>
      </c>
      <c r="D2696" s="1">
        <v>29.811900000000001</v>
      </c>
      <c r="E2696" s="1">
        <v>-103.2517</v>
      </c>
      <c r="F2696" s="1" t="s">
        <v>1923</v>
      </c>
      <c r="G2696" s="22">
        <v>483.87655007164807</v>
      </c>
      <c r="H2696" s="20">
        <f ca="1">NOW() - TIME(5,30,0) + (VLOOKUP(MasterTable[[#This Row],[TimeZone]], $O$3:$P$8, 2, FALSE) / 24)</f>
        <v>45990.490211458338</v>
      </c>
      <c r="I2696" s="1" t="s">
        <v>1944</v>
      </c>
      <c r="J2696" s="1">
        <v>6192.78</v>
      </c>
      <c r="K2696" s="11"/>
      <c r="L2696" s="13"/>
      <c r="M2696" s="13"/>
    </row>
    <row r="2697" spans="1:13" x14ac:dyDescent="0.25">
      <c r="A2697" s="1" t="s">
        <v>7</v>
      </c>
      <c r="B2697" s="1" t="s">
        <v>8</v>
      </c>
      <c r="C2697" s="1" t="s">
        <v>913</v>
      </c>
      <c r="D2697" s="1">
        <v>32.735900000000001</v>
      </c>
      <c r="E2697" s="1">
        <v>-98.836200000000005</v>
      </c>
      <c r="F2697" s="1" t="s">
        <v>1922</v>
      </c>
      <c r="G2697" s="22">
        <v>705.25626705177274</v>
      </c>
      <c r="H2697" s="20">
        <f ca="1">NOW() - TIME(5,30,0) + (VLOOKUP(MasterTable[[#This Row],[TimeZone]], $O$3:$P$8, 2, FALSE) / 24)</f>
        <v>45990.531878125003</v>
      </c>
      <c r="I2697" s="1" t="s">
        <v>1944</v>
      </c>
      <c r="J2697" s="1">
        <v>184.23</v>
      </c>
      <c r="K2697" s="11"/>
      <c r="L2697" s="13"/>
      <c r="M2697" s="13"/>
    </row>
    <row r="2698" spans="1:13" x14ac:dyDescent="0.25">
      <c r="A2698" s="1" t="s">
        <v>7</v>
      </c>
      <c r="B2698" s="1" t="s">
        <v>8</v>
      </c>
      <c r="C2698" s="1" t="s">
        <v>1243</v>
      </c>
      <c r="D2698" s="1">
        <v>32.306199999999997</v>
      </c>
      <c r="E2698" s="1">
        <v>-100.9211</v>
      </c>
      <c r="F2698" s="1" t="s">
        <v>1922</v>
      </c>
      <c r="G2698" s="22">
        <v>584.42016620920538</v>
      </c>
      <c r="H2698" s="20">
        <f ca="1">NOW() - TIME(5,30,0) + (VLOOKUP(MasterTable[[#This Row],[TimeZone]], $O$3:$P$8, 2, FALSE) / 24)</f>
        <v>45990.531878125003</v>
      </c>
      <c r="I2698" s="1" t="s">
        <v>1944</v>
      </c>
      <c r="J2698" s="1">
        <v>513.80999999999995</v>
      </c>
      <c r="K2698" s="11"/>
      <c r="L2698" s="13"/>
      <c r="M2698" s="13"/>
    </row>
    <row r="2699" spans="1:13" x14ac:dyDescent="0.25">
      <c r="A2699" s="1" t="s">
        <v>7</v>
      </c>
      <c r="B2699" s="1" t="s">
        <v>8</v>
      </c>
      <c r="C2699" s="1" t="s">
        <v>1599</v>
      </c>
      <c r="D2699" s="1">
        <v>33.615299999999998</v>
      </c>
      <c r="E2699" s="1">
        <v>-98.687700000000007</v>
      </c>
      <c r="F2699" s="1" t="s">
        <v>1922</v>
      </c>
      <c r="G2699" s="22">
        <v>715.96010005437506</v>
      </c>
      <c r="H2699" s="20">
        <f ca="1">NOW() - TIME(5,30,0) + (VLOOKUP(MasterTable[[#This Row],[TimeZone]], $O$3:$P$8, 2, FALSE) / 24)</f>
        <v>45990.531878125003</v>
      </c>
      <c r="I2699" s="1" t="s">
        <v>1944</v>
      </c>
      <c r="J2699" s="1">
        <v>925.78</v>
      </c>
      <c r="K2699" s="11"/>
      <c r="L2699" s="13"/>
      <c r="M2699" s="13"/>
    </row>
    <row r="2700" spans="1:13" x14ac:dyDescent="0.25">
      <c r="A2700" s="1" t="s">
        <v>7</v>
      </c>
      <c r="B2700" s="1" t="s">
        <v>8</v>
      </c>
      <c r="C2700" s="1" t="s">
        <v>1602</v>
      </c>
      <c r="D2700" s="1">
        <v>33.233499999999999</v>
      </c>
      <c r="E2700" s="1">
        <v>-98.172499999999999</v>
      </c>
      <c r="F2700" s="1" t="s">
        <v>1922</v>
      </c>
      <c r="G2700" s="22">
        <v>744.19005803024436</v>
      </c>
      <c r="H2700" s="20">
        <f ca="1">NOW() - TIME(5,30,0) + (VLOOKUP(MasterTable[[#This Row],[TimeZone]], $O$3:$P$8, 2, FALSE) / 24)</f>
        <v>45990.531878125003</v>
      </c>
      <c r="I2700" s="1" t="s">
        <v>1944</v>
      </c>
      <c r="J2700" s="1">
        <v>920.11</v>
      </c>
      <c r="K2700" s="11"/>
      <c r="L2700" s="13"/>
      <c r="M2700" s="13"/>
    </row>
    <row r="2701" spans="1:13" x14ac:dyDescent="0.25">
      <c r="A2701" s="1" t="s">
        <v>7</v>
      </c>
      <c r="B2701" s="1" t="s">
        <v>8</v>
      </c>
      <c r="C2701" s="1" t="s">
        <v>1608</v>
      </c>
      <c r="D2701" s="1">
        <v>28.422599999999999</v>
      </c>
      <c r="E2701" s="1">
        <v>-99.756600000000006</v>
      </c>
      <c r="F2701" s="1" t="s">
        <v>1922</v>
      </c>
      <c r="G2701" s="22">
        <v>715.60004354429816</v>
      </c>
      <c r="H2701" s="20">
        <f ca="1">NOW() - TIME(5,30,0) + (VLOOKUP(MasterTable[[#This Row],[TimeZone]], $O$3:$P$8, 2, FALSE) / 24)</f>
        <v>45990.531878125003</v>
      </c>
      <c r="I2701" s="1" t="s">
        <v>1944</v>
      </c>
      <c r="J2701" s="1">
        <v>1334.48</v>
      </c>
      <c r="K2701" s="11"/>
      <c r="L2701" s="13"/>
      <c r="M2701" s="13"/>
    </row>
    <row r="2702" spans="1:13" x14ac:dyDescent="0.25">
      <c r="A2702" s="1" t="s">
        <v>7</v>
      </c>
      <c r="B2702" s="1" t="s">
        <v>8</v>
      </c>
      <c r="C2702" s="1" t="s">
        <v>121</v>
      </c>
      <c r="D2702" s="1">
        <v>31.704799999999999</v>
      </c>
      <c r="E2702" s="1">
        <v>-98.110699999999994</v>
      </c>
      <c r="F2702" s="1" t="s">
        <v>1922</v>
      </c>
      <c r="G2702" s="22">
        <v>751.68513397942377</v>
      </c>
      <c r="H2702" s="20">
        <f ca="1">NOW() - TIME(5,30,0) + (VLOOKUP(MasterTable[[#This Row],[TimeZone]], $O$3:$P$8, 2, FALSE) / 24)</f>
        <v>45990.531878125003</v>
      </c>
      <c r="I2702" s="1" t="s">
        <v>1944</v>
      </c>
      <c r="J2702" s="1">
        <v>519.30999999999995</v>
      </c>
      <c r="K2702" s="11"/>
      <c r="L2702" s="13"/>
      <c r="M2702" s="13"/>
    </row>
    <row r="2703" spans="1:13" x14ac:dyDescent="0.25">
      <c r="A2703" s="1" t="s">
        <v>7</v>
      </c>
      <c r="B2703" s="1" t="s">
        <v>8</v>
      </c>
      <c r="C2703" s="1" t="s">
        <v>1629</v>
      </c>
      <c r="D2703" s="1">
        <v>31.394200000000001</v>
      </c>
      <c r="E2703" s="1">
        <v>-94.168199999999999</v>
      </c>
      <c r="F2703" s="1" t="s">
        <v>1922</v>
      </c>
      <c r="G2703" s="22">
        <v>984.71817708197614</v>
      </c>
      <c r="H2703" s="20">
        <f ca="1">NOW() - TIME(5,30,0) + (VLOOKUP(MasterTable[[#This Row],[TimeZone]], $O$3:$P$8, 2, FALSE) / 24)</f>
        <v>45990.531878125003</v>
      </c>
      <c r="I2703" s="1" t="s">
        <v>1944</v>
      </c>
      <c r="J2703" s="1">
        <v>592.21</v>
      </c>
      <c r="K2703" s="13"/>
      <c r="L2703" s="13"/>
      <c r="M2703" s="13"/>
    </row>
    <row r="2704" spans="1:13" x14ac:dyDescent="0.25">
      <c r="A2704" s="1" t="s">
        <v>7</v>
      </c>
      <c r="B2704" s="1" t="s">
        <v>8</v>
      </c>
      <c r="C2704" s="1" t="s">
        <v>1635</v>
      </c>
      <c r="D2704" s="1">
        <v>31.773199999999999</v>
      </c>
      <c r="E2704" s="1">
        <v>-99.453599999999994</v>
      </c>
      <c r="F2704" s="1" t="s">
        <v>1922</v>
      </c>
      <c r="G2704" s="22">
        <v>672.70280496225132</v>
      </c>
      <c r="H2704" s="20">
        <f ca="1">NOW() - TIME(5,30,0) + (VLOOKUP(MasterTable[[#This Row],[TimeZone]], $O$3:$P$8, 2, FALSE) / 24)</f>
        <v>45990.531878125003</v>
      </c>
      <c r="I2704" s="1" t="s">
        <v>1944</v>
      </c>
      <c r="J2704" s="1">
        <v>1281.45</v>
      </c>
      <c r="K2704" s="11"/>
      <c r="L2704" s="13"/>
      <c r="M2704" s="13"/>
    </row>
    <row r="2705" spans="1:13" x14ac:dyDescent="0.25">
      <c r="A2705" s="1" t="s">
        <v>7</v>
      </c>
      <c r="B2705" s="1" t="s">
        <v>8</v>
      </c>
      <c r="C2705" s="1" t="s">
        <v>1642</v>
      </c>
      <c r="D2705" s="1">
        <v>33.173000000000002</v>
      </c>
      <c r="E2705" s="1">
        <v>-102.8278</v>
      </c>
      <c r="F2705" s="1" t="s">
        <v>1922</v>
      </c>
      <c r="G2705" s="22">
        <v>475.36389982810147</v>
      </c>
      <c r="H2705" s="20">
        <f ca="1">NOW() - TIME(5,30,0) + (VLOOKUP(MasterTable[[#This Row],[TimeZone]], $O$3:$P$8, 2, FALSE) / 24)</f>
        <v>45990.531878125003</v>
      </c>
      <c r="I2705" s="1" t="s">
        <v>1944</v>
      </c>
      <c r="J2705" s="1">
        <v>799.76</v>
      </c>
      <c r="K2705" s="11"/>
      <c r="L2705" s="13"/>
      <c r="M2705" s="13"/>
    </row>
    <row r="2706" spans="1:13" x14ac:dyDescent="0.25">
      <c r="A2706" s="1" t="s">
        <v>7</v>
      </c>
      <c r="B2706" s="1" t="s">
        <v>8</v>
      </c>
      <c r="C2706" s="1" t="s">
        <v>1644</v>
      </c>
      <c r="D2706" s="1">
        <v>31.198899999999998</v>
      </c>
      <c r="E2706" s="1">
        <v>-99.347499999999997</v>
      </c>
      <c r="F2706" s="1" t="s">
        <v>1922</v>
      </c>
      <c r="G2706" s="22">
        <v>683.96291876026999</v>
      </c>
      <c r="H2706" s="20">
        <f ca="1">NOW() - TIME(5,30,0) + (VLOOKUP(MasterTable[[#This Row],[TimeZone]], $O$3:$P$8, 2, FALSE) / 24)</f>
        <v>45990.531878125003</v>
      </c>
      <c r="I2706" s="1" t="s">
        <v>1944</v>
      </c>
      <c r="J2706" s="1">
        <v>1073.3499999999999</v>
      </c>
      <c r="K2706" s="11"/>
      <c r="L2706" s="13"/>
      <c r="M2706" s="13"/>
    </row>
    <row r="2707" spans="1:13" x14ac:dyDescent="0.25">
      <c r="A2707" s="1" t="s">
        <v>7</v>
      </c>
      <c r="B2707" s="1" t="s">
        <v>8</v>
      </c>
      <c r="C2707" s="1" t="s">
        <v>1645</v>
      </c>
      <c r="D2707" s="1">
        <v>31.850100000000001</v>
      </c>
      <c r="E2707" s="1">
        <v>-103.0483</v>
      </c>
      <c r="F2707" s="1" t="s">
        <v>1922</v>
      </c>
      <c r="G2707" s="22">
        <v>462.0762920016773</v>
      </c>
      <c r="H2707" s="20">
        <f ca="1">NOW() - TIME(5,30,0) + (VLOOKUP(MasterTable[[#This Row],[TimeZone]], $O$3:$P$8, 2, FALSE) / 24)</f>
        <v>45990.531878125003</v>
      </c>
      <c r="I2707" s="1" t="s">
        <v>1944</v>
      </c>
      <c r="J2707" s="1">
        <v>841.24</v>
      </c>
      <c r="K2707" s="11"/>
      <c r="L2707" s="13"/>
      <c r="M2707" s="13"/>
    </row>
    <row r="2708" spans="1:13" x14ac:dyDescent="0.25">
      <c r="A2708" s="1" t="s">
        <v>7</v>
      </c>
      <c r="B2708" s="1" t="s">
        <v>8</v>
      </c>
      <c r="C2708" s="1" t="s">
        <v>1656</v>
      </c>
      <c r="D2708" s="1">
        <v>34.529899999999998</v>
      </c>
      <c r="E2708" s="1">
        <v>-102.2617</v>
      </c>
      <c r="F2708" s="1" t="s">
        <v>1922</v>
      </c>
      <c r="G2708" s="22">
        <v>524.58719423408513</v>
      </c>
      <c r="H2708" s="20">
        <f ca="1">NOW() - TIME(5,30,0) + (VLOOKUP(MasterTable[[#This Row],[TimeZone]], $O$3:$P$8, 2, FALSE) / 24)</f>
        <v>45990.531878125003</v>
      </c>
      <c r="I2708" s="1" t="s">
        <v>1944</v>
      </c>
      <c r="J2708" s="1">
        <v>899.32</v>
      </c>
      <c r="K2708" s="11"/>
      <c r="L2708" s="13"/>
      <c r="M2708" s="13"/>
    </row>
    <row r="2709" spans="1:13" x14ac:dyDescent="0.25">
      <c r="A2709" s="1" t="s">
        <v>7</v>
      </c>
      <c r="B2709" s="1" t="s">
        <v>8</v>
      </c>
      <c r="C2709" s="1" t="s">
        <v>1661</v>
      </c>
      <c r="D2709" s="1">
        <v>36.277900000000002</v>
      </c>
      <c r="E2709" s="1">
        <v>-102.6022</v>
      </c>
      <c r="F2709" s="1" t="s">
        <v>1922</v>
      </c>
      <c r="G2709" s="22">
        <v>551.5892830624083</v>
      </c>
      <c r="H2709" s="20">
        <f ca="1">NOW() - TIME(5,30,0) + (VLOOKUP(MasterTable[[#This Row],[TimeZone]], $O$3:$P$8, 2, FALSE) / 24)</f>
        <v>45990.531878125003</v>
      </c>
      <c r="I2709" s="1" t="s">
        <v>1944</v>
      </c>
      <c r="J2709" s="1">
        <v>1505.26</v>
      </c>
      <c r="K2709" s="11"/>
      <c r="L2709" s="13"/>
      <c r="M2709" s="13"/>
    </row>
    <row r="2710" spans="1:13" x14ac:dyDescent="0.25">
      <c r="A2710" s="1" t="s">
        <v>7</v>
      </c>
      <c r="B2710" s="1" t="s">
        <v>8</v>
      </c>
      <c r="C2710" s="1" t="s">
        <v>1665</v>
      </c>
      <c r="D2710" s="1">
        <v>28.6571</v>
      </c>
      <c r="E2710" s="1">
        <v>-97.426400000000001</v>
      </c>
      <c r="F2710" s="1" t="s">
        <v>1922</v>
      </c>
      <c r="G2710" s="22">
        <v>840.40853448626513</v>
      </c>
      <c r="H2710" s="20">
        <f ca="1">NOW() - TIME(5,30,0) + (VLOOKUP(MasterTable[[#This Row],[TimeZone]], $O$3:$P$8, 2, FALSE) / 24)</f>
        <v>45990.531878125003</v>
      </c>
      <c r="I2710" s="1" t="s">
        <v>1944</v>
      </c>
      <c r="J2710" s="1">
        <v>859.35</v>
      </c>
      <c r="K2710" s="11"/>
      <c r="L2710" s="13"/>
      <c r="M2710" s="13"/>
    </row>
    <row r="2711" spans="1:13" x14ac:dyDescent="0.25">
      <c r="A2711" s="1" t="s">
        <v>7</v>
      </c>
      <c r="B2711" s="1" t="s">
        <v>8</v>
      </c>
      <c r="C2711" s="1" t="s">
        <v>1666</v>
      </c>
      <c r="D2711" s="1">
        <v>34.068600000000004</v>
      </c>
      <c r="E2711" s="1">
        <v>-102.82989999999999</v>
      </c>
      <c r="F2711" s="1" t="s">
        <v>1922</v>
      </c>
      <c r="G2711" s="22">
        <v>485.34083002094621</v>
      </c>
      <c r="H2711" s="20">
        <f ca="1">NOW() - TIME(5,30,0) + (VLOOKUP(MasterTable[[#This Row],[TimeZone]], $O$3:$P$8, 2, FALSE) / 24)</f>
        <v>45990.531878125003</v>
      </c>
      <c r="I2711" s="1" t="s">
        <v>1944</v>
      </c>
      <c r="J2711" s="1">
        <v>827.38</v>
      </c>
      <c r="K2711" s="11"/>
      <c r="L2711" s="13"/>
      <c r="M2711" s="13"/>
    </row>
    <row r="2712" spans="1:13" x14ac:dyDescent="0.25">
      <c r="A2712" s="1" t="s">
        <v>7</v>
      </c>
      <c r="B2712" s="1" t="s">
        <v>8</v>
      </c>
      <c r="C2712" s="1" t="s">
        <v>1371</v>
      </c>
      <c r="D2712" s="1">
        <v>27.031600000000001</v>
      </c>
      <c r="E2712" s="1">
        <v>-98.218699999999998</v>
      </c>
      <c r="F2712" s="1" t="s">
        <v>1922</v>
      </c>
      <c r="G2712" s="22">
        <v>842.51997213414575</v>
      </c>
      <c r="H2712" s="20">
        <f ca="1">NOW() - TIME(5,30,0) + (VLOOKUP(MasterTable[[#This Row],[TimeZone]], $O$3:$P$8, 2, FALSE) / 24)</f>
        <v>45990.531878125003</v>
      </c>
      <c r="I2712" s="1" t="s">
        <v>1944</v>
      </c>
      <c r="J2712" s="1">
        <v>497.77</v>
      </c>
      <c r="K2712" s="11"/>
      <c r="L2712" s="13"/>
      <c r="M2712" s="13"/>
    </row>
    <row r="2713" spans="1:13" x14ac:dyDescent="0.25">
      <c r="A2713" s="1" t="s">
        <v>7</v>
      </c>
      <c r="B2713" s="1" t="s">
        <v>8</v>
      </c>
      <c r="C2713" s="1" t="s">
        <v>1669</v>
      </c>
      <c r="D2713" s="1">
        <v>34.5304</v>
      </c>
      <c r="E2713" s="1">
        <v>-101.735</v>
      </c>
      <c r="F2713" s="1" t="s">
        <v>1922</v>
      </c>
      <c r="G2713" s="22">
        <v>553.59439372852535</v>
      </c>
      <c r="H2713" s="20">
        <f ca="1">NOW() - TIME(5,30,0) + (VLOOKUP(MasterTable[[#This Row],[TimeZone]], $O$3:$P$8, 2, FALSE) / 24)</f>
        <v>45990.531878125003</v>
      </c>
      <c r="I2713" s="1" t="s">
        <v>1944</v>
      </c>
      <c r="J2713" s="1">
        <v>900.68</v>
      </c>
      <c r="K2713" s="11"/>
      <c r="L2713" s="13"/>
      <c r="M2713" s="13"/>
    </row>
    <row r="2714" spans="1:13" x14ac:dyDescent="0.25">
      <c r="A2714" s="1" t="s">
        <v>7</v>
      </c>
      <c r="B2714" s="1" t="s">
        <v>8</v>
      </c>
      <c r="C2714" s="1" t="s">
        <v>1674</v>
      </c>
      <c r="D2714" s="1">
        <v>28.345199999999998</v>
      </c>
      <c r="E2714" s="1">
        <v>-99.099599999999995</v>
      </c>
      <c r="F2714" s="1" t="s">
        <v>1922</v>
      </c>
      <c r="G2714" s="22">
        <v>754.26568027021995</v>
      </c>
      <c r="H2714" s="20">
        <f ca="1">NOW() - TIME(5,30,0) + (VLOOKUP(MasterTable[[#This Row],[TimeZone]], $O$3:$P$8, 2, FALSE) / 24)</f>
        <v>45990.531878125003</v>
      </c>
      <c r="I2714" s="1" t="s">
        <v>1944</v>
      </c>
      <c r="J2714" s="1">
        <v>662.36</v>
      </c>
      <c r="K2714" s="11"/>
      <c r="L2714" s="13"/>
      <c r="M2714" s="13"/>
    </row>
    <row r="2715" spans="1:13" x14ac:dyDescent="0.25">
      <c r="A2715" s="1" t="s">
        <v>7</v>
      </c>
      <c r="B2715" s="1" t="s">
        <v>8</v>
      </c>
      <c r="C2715" s="1" t="s">
        <v>1679</v>
      </c>
      <c r="D2715" s="1">
        <v>34.5291</v>
      </c>
      <c r="E2715" s="1">
        <v>-100.2076</v>
      </c>
      <c r="F2715" s="1" t="s">
        <v>1922</v>
      </c>
      <c r="G2715" s="22">
        <v>638.36584062876227</v>
      </c>
      <c r="H2715" s="20">
        <f ca="1">NOW() - TIME(5,30,0) + (VLOOKUP(MasterTable[[#This Row],[TimeZone]], $O$3:$P$8, 2, FALSE) / 24)</f>
        <v>45990.531878125003</v>
      </c>
      <c r="I2715" s="1" t="s">
        <v>1944</v>
      </c>
      <c r="J2715" s="1">
        <v>713.61</v>
      </c>
      <c r="K2715" s="11"/>
      <c r="L2715" s="13"/>
      <c r="M2715" s="13"/>
    </row>
    <row r="2716" spans="1:13" x14ac:dyDescent="0.25">
      <c r="A2716" s="1" t="s">
        <v>7</v>
      </c>
      <c r="B2716" s="1" t="s">
        <v>8</v>
      </c>
      <c r="C2716" s="1" t="s">
        <v>1686</v>
      </c>
      <c r="D2716" s="1">
        <v>28.325299999999999</v>
      </c>
      <c r="E2716" s="1">
        <v>-97.165599999999998</v>
      </c>
      <c r="F2716" s="1" t="s">
        <v>1922</v>
      </c>
      <c r="G2716" s="22">
        <v>863.40285798041771</v>
      </c>
      <c r="H2716" s="20">
        <f ca="1">NOW() - TIME(5,30,0) + (VLOOKUP(MasterTable[[#This Row],[TimeZone]], $O$3:$P$8, 2, FALSE) / 24)</f>
        <v>45990.531878125003</v>
      </c>
      <c r="I2716" s="1" t="s">
        <v>1944</v>
      </c>
      <c r="J2716" s="1">
        <v>818.64</v>
      </c>
      <c r="K2716" s="11"/>
      <c r="L2716" s="13"/>
      <c r="M2716" s="13"/>
    </row>
    <row r="2717" spans="1:13" x14ac:dyDescent="0.25">
      <c r="A2717" s="1" t="s">
        <v>7</v>
      </c>
      <c r="B2717" s="1" t="s">
        <v>8</v>
      </c>
      <c r="C2717" s="1" t="s">
        <v>1710</v>
      </c>
      <c r="D2717" s="1">
        <v>29.9998</v>
      </c>
      <c r="E2717" s="1">
        <v>-104.2405</v>
      </c>
      <c r="F2717" s="1" t="s">
        <v>1923</v>
      </c>
      <c r="G2717" s="22">
        <v>424.18563847355443</v>
      </c>
      <c r="H2717" s="20">
        <f ca="1">NOW() - TIME(5,30,0) + (VLOOKUP(MasterTable[[#This Row],[TimeZone]], $O$3:$P$8, 2, FALSE) / 24)</f>
        <v>45990.490211458338</v>
      </c>
      <c r="I2717" s="1" t="s">
        <v>1944</v>
      </c>
      <c r="J2717" s="1">
        <v>3856.26</v>
      </c>
      <c r="K2717" s="11"/>
      <c r="L2717" s="13"/>
      <c r="M2717" s="13"/>
    </row>
    <row r="2718" spans="1:13" x14ac:dyDescent="0.25">
      <c r="A2718" s="1" t="s">
        <v>7</v>
      </c>
      <c r="B2718" s="1" t="s">
        <v>8</v>
      </c>
      <c r="C2718" s="1" t="s">
        <v>1719</v>
      </c>
      <c r="D2718" s="1">
        <v>31.155200000000001</v>
      </c>
      <c r="E2718" s="1">
        <v>-98.817599999999999</v>
      </c>
      <c r="F2718" s="1" t="s">
        <v>1922</v>
      </c>
      <c r="G2718" s="22">
        <v>715.37560179514333</v>
      </c>
      <c r="H2718" s="20">
        <f ca="1">NOW() - TIME(5,30,0) + (VLOOKUP(MasterTable[[#This Row],[TimeZone]], $O$3:$P$8, 2, FALSE) / 24)</f>
        <v>45990.531878125003</v>
      </c>
      <c r="I2718" s="1" t="s">
        <v>1944</v>
      </c>
      <c r="J2718" s="1">
        <v>1138.25</v>
      </c>
      <c r="K2718" s="11"/>
      <c r="L2718" s="13"/>
      <c r="M2718" s="18"/>
    </row>
    <row r="2719" spans="1:13" x14ac:dyDescent="0.25">
      <c r="A2719" s="1" t="s">
        <v>7</v>
      </c>
      <c r="B2719" s="1" t="s">
        <v>8</v>
      </c>
      <c r="C2719" s="1" t="s">
        <v>1720</v>
      </c>
      <c r="D2719" s="1">
        <v>35.403500000000001</v>
      </c>
      <c r="E2719" s="1">
        <v>-101.35420000000001</v>
      </c>
      <c r="F2719" s="1" t="s">
        <v>1922</v>
      </c>
      <c r="G2719" s="22">
        <v>591.55939897479709</v>
      </c>
      <c r="H2719" s="20">
        <f ca="1">NOW() - TIME(5,30,0) + (VLOOKUP(MasterTable[[#This Row],[TimeZone]], $O$3:$P$8, 2, FALSE) / 24)</f>
        <v>45990.531878125003</v>
      </c>
      <c r="I2719" s="1" t="s">
        <v>1944</v>
      </c>
      <c r="J2719" s="1">
        <v>924.1</v>
      </c>
      <c r="K2719" s="11"/>
      <c r="L2719" s="13"/>
      <c r="M2719" s="13"/>
    </row>
    <row r="2720" spans="1:13" x14ac:dyDescent="0.25">
      <c r="A2720" s="1" t="s">
        <v>7</v>
      </c>
      <c r="B2720" s="1" t="s">
        <v>8</v>
      </c>
      <c r="C2720" s="1" t="s">
        <v>1726</v>
      </c>
      <c r="D2720" s="1">
        <v>33.1768</v>
      </c>
      <c r="E2720" s="1">
        <v>-101.81610000000001</v>
      </c>
      <c r="F2720" s="1" t="s">
        <v>1922</v>
      </c>
      <c r="G2720" s="22">
        <v>533.66056601576474</v>
      </c>
      <c r="H2720" s="20">
        <f ca="1">NOW() - TIME(5,30,0) + (VLOOKUP(MasterTable[[#This Row],[TimeZone]], $O$3:$P$8, 2, FALSE) / 24)</f>
        <v>45990.531878125003</v>
      </c>
      <c r="I2720" s="1" t="s">
        <v>1944</v>
      </c>
      <c r="J2720" s="1">
        <v>893.46</v>
      </c>
      <c r="K2720" s="11"/>
      <c r="L2720" s="13"/>
      <c r="M2720" s="13"/>
    </row>
    <row r="2721" spans="1:13" x14ac:dyDescent="0.25">
      <c r="A2721" s="1" t="s">
        <v>7</v>
      </c>
      <c r="B2721" s="1" t="s">
        <v>8</v>
      </c>
      <c r="C2721" s="1" t="s">
        <v>1738</v>
      </c>
      <c r="D2721" s="1">
        <v>33.179900000000004</v>
      </c>
      <c r="E2721" s="1">
        <v>-101.2984</v>
      </c>
      <c r="F2721" s="1" t="s">
        <v>1922</v>
      </c>
      <c r="G2721" s="22">
        <v>563.52974908445321</v>
      </c>
      <c r="H2721" s="20">
        <f ca="1">NOW() - TIME(5,30,0) + (VLOOKUP(MasterTable[[#This Row],[TimeZone]], $O$3:$P$8, 2, FALSE) / 24)</f>
        <v>45990.531878125003</v>
      </c>
      <c r="I2721" s="1" t="s">
        <v>1944</v>
      </c>
      <c r="J2721" s="1">
        <v>896.19</v>
      </c>
      <c r="K2721" s="11"/>
      <c r="L2721" s="13"/>
      <c r="M2721" s="13"/>
    </row>
    <row r="2722" spans="1:13" x14ac:dyDescent="0.25">
      <c r="A2722" s="1" t="s">
        <v>7</v>
      </c>
      <c r="B2722" s="1" t="s">
        <v>8</v>
      </c>
      <c r="C2722" s="1" t="s">
        <v>1508</v>
      </c>
      <c r="D2722" s="1">
        <v>33.178199999999997</v>
      </c>
      <c r="E2722" s="1">
        <v>-99.7303</v>
      </c>
      <c r="F2722" s="1" t="s">
        <v>1922</v>
      </c>
      <c r="G2722" s="22">
        <v>654.04654327811613</v>
      </c>
      <c r="H2722" s="20">
        <f ca="1">NOW() - TIME(5,30,0) + (VLOOKUP(MasterTable[[#This Row],[TimeZone]], $O$3:$P$8, 2, FALSE) / 24)</f>
        <v>45990.531878125003</v>
      </c>
      <c r="I2722" s="1" t="s">
        <v>1944</v>
      </c>
      <c r="J2722" s="1">
        <v>577.73</v>
      </c>
      <c r="K2722" s="11"/>
      <c r="L2722" s="13"/>
      <c r="M2722" s="13"/>
    </row>
    <row r="2723" spans="1:13" x14ac:dyDescent="0.25">
      <c r="A2723" s="1" t="s">
        <v>7</v>
      </c>
      <c r="B2723" s="1" t="s">
        <v>8</v>
      </c>
      <c r="C2723" s="1" t="s">
        <v>991</v>
      </c>
      <c r="D2723" s="1">
        <v>33.386299999999999</v>
      </c>
      <c r="E2723" s="1">
        <v>-95.672300000000007</v>
      </c>
      <c r="F2723" s="1" t="s">
        <v>1922</v>
      </c>
      <c r="G2723" s="22">
        <v>888.78566465873939</v>
      </c>
      <c r="H2723" s="20">
        <f ca="1">NOW() - TIME(5,30,0) + (VLOOKUP(MasterTable[[#This Row],[TimeZone]], $O$3:$P$8, 2, FALSE) / 24)</f>
        <v>45990.531878125003</v>
      </c>
      <c r="I2723" s="1" t="s">
        <v>1944</v>
      </c>
      <c r="J2723" s="1">
        <v>1148.52</v>
      </c>
      <c r="K2723" s="11"/>
      <c r="L2723" s="13"/>
      <c r="M2723" s="13"/>
    </row>
    <row r="2724" spans="1:13" x14ac:dyDescent="0.25">
      <c r="A2724" s="1" t="s">
        <v>7</v>
      </c>
      <c r="B2724" s="1" t="s">
        <v>8</v>
      </c>
      <c r="C2724" s="1" t="s">
        <v>1741</v>
      </c>
      <c r="D2724" s="1">
        <v>35.840000000000003</v>
      </c>
      <c r="E2724" s="1">
        <v>-102.60290000000001</v>
      </c>
      <c r="F2724" s="1" t="s">
        <v>1922</v>
      </c>
      <c r="G2724" s="22">
        <v>537.94924805091262</v>
      </c>
      <c r="H2724" s="20">
        <f ca="1">NOW() - TIME(5,30,0) + (VLOOKUP(MasterTable[[#This Row],[TimeZone]], $O$3:$P$8, 2, FALSE) / 24)</f>
        <v>45990.531878125003</v>
      </c>
      <c r="I2724" s="1" t="s">
        <v>1944</v>
      </c>
      <c r="J2724" s="1">
        <v>1463.2</v>
      </c>
      <c r="K2724" s="11"/>
      <c r="L2724" s="13"/>
      <c r="M2724" s="13"/>
    </row>
    <row r="2725" spans="1:13" x14ac:dyDescent="0.25">
      <c r="A2725" s="1" t="s">
        <v>7</v>
      </c>
      <c r="B2725" s="1" t="s">
        <v>8</v>
      </c>
      <c r="C2725" s="1" t="s">
        <v>595</v>
      </c>
      <c r="D2725" s="1">
        <v>34.072400000000002</v>
      </c>
      <c r="E2725" s="1">
        <v>-101.3032</v>
      </c>
      <c r="F2725" s="1" t="s">
        <v>1922</v>
      </c>
      <c r="G2725" s="22">
        <v>570.99277545026075</v>
      </c>
      <c r="H2725" s="20">
        <f ca="1">NOW() - TIME(5,30,0) + (VLOOKUP(MasterTable[[#This Row],[TimeZone]], $O$3:$P$8, 2, FALSE) / 24)</f>
        <v>45990.531878125003</v>
      </c>
      <c r="I2725" s="1" t="s">
        <v>1944</v>
      </c>
      <c r="J2725" s="1">
        <v>518.46</v>
      </c>
      <c r="K2725" s="11"/>
      <c r="L2725" s="13"/>
      <c r="M2725" s="13"/>
    </row>
    <row r="2726" spans="1:13" x14ac:dyDescent="0.25">
      <c r="A2726" s="1" t="s">
        <v>7</v>
      </c>
      <c r="B2726" s="1" t="s">
        <v>8</v>
      </c>
      <c r="C2726" s="1" t="s">
        <v>452</v>
      </c>
      <c r="D2726" s="1">
        <v>32.305999999999997</v>
      </c>
      <c r="E2726" s="1">
        <v>-101.9513</v>
      </c>
      <c r="F2726" s="1" t="s">
        <v>1922</v>
      </c>
      <c r="G2726" s="22">
        <v>524.28969594972921</v>
      </c>
      <c r="H2726" s="20">
        <f ca="1">NOW() - TIME(5,30,0) + (VLOOKUP(MasterTable[[#This Row],[TimeZone]], $O$3:$P$8, 2, FALSE) / 24)</f>
        <v>45990.531878125003</v>
      </c>
      <c r="I2726" s="1" t="s">
        <v>1944</v>
      </c>
      <c r="J2726" s="1">
        <v>752.79</v>
      </c>
      <c r="K2726" s="11"/>
      <c r="L2726" s="13"/>
      <c r="M2726" s="13"/>
    </row>
    <row r="2727" spans="1:13" x14ac:dyDescent="0.25">
      <c r="A2727" s="1" t="s">
        <v>7</v>
      </c>
      <c r="B2727" s="1" t="s">
        <v>8</v>
      </c>
      <c r="C2727" s="1" t="s">
        <v>1747</v>
      </c>
      <c r="D2727" s="1">
        <v>36.2774</v>
      </c>
      <c r="E2727" s="1">
        <v>-101.3546</v>
      </c>
      <c r="F2727" s="1" t="s">
        <v>1922</v>
      </c>
      <c r="G2727" s="22">
        <v>613.92316435950283</v>
      </c>
      <c r="H2727" s="20">
        <f ca="1">NOW() - TIME(5,30,0) + (VLOOKUP(MasterTable[[#This Row],[TimeZone]], $O$3:$P$8, 2, FALSE) / 24)</f>
        <v>45990.531878125003</v>
      </c>
      <c r="I2727" s="1" t="s">
        <v>1944</v>
      </c>
      <c r="J2727" s="1">
        <v>920.4</v>
      </c>
      <c r="K2727" s="11"/>
      <c r="L2727" s="13"/>
      <c r="M2727" s="13"/>
    </row>
    <row r="2728" spans="1:13" x14ac:dyDescent="0.25">
      <c r="A2728" s="1" t="s">
        <v>7</v>
      </c>
      <c r="B2728" s="1" t="s">
        <v>8</v>
      </c>
      <c r="C2728" s="1" t="s">
        <v>1751</v>
      </c>
      <c r="D2728" s="1">
        <v>33.614699999999999</v>
      </c>
      <c r="E2728" s="1">
        <v>-101.3</v>
      </c>
      <c r="F2728" s="1" t="s">
        <v>1922</v>
      </c>
      <c r="G2728" s="22">
        <v>566.38662908318497</v>
      </c>
      <c r="H2728" s="20">
        <f ca="1">NOW() - TIME(5,30,0) + (VLOOKUP(MasterTable[[#This Row],[TimeZone]], $O$3:$P$8, 2, FALSE) / 24)</f>
        <v>45990.531878125003</v>
      </c>
      <c r="I2728" s="1" t="s">
        <v>1944</v>
      </c>
      <c r="J2728" s="1">
        <v>901.69</v>
      </c>
      <c r="K2728" s="11"/>
      <c r="L2728" s="13"/>
      <c r="M2728" s="13"/>
    </row>
    <row r="2729" spans="1:13" x14ac:dyDescent="0.25">
      <c r="A2729" s="1" t="s">
        <v>7</v>
      </c>
      <c r="B2729" s="1" t="s">
        <v>8</v>
      </c>
      <c r="C2729" s="1" t="s">
        <v>1650</v>
      </c>
      <c r="D2729" s="1">
        <v>35.401200000000003</v>
      </c>
      <c r="E2729" s="1">
        <v>-100.2698</v>
      </c>
      <c r="F2729" s="1" t="s">
        <v>1922</v>
      </c>
      <c r="G2729" s="22">
        <v>649.633778501297</v>
      </c>
      <c r="H2729" s="20">
        <f ca="1">NOW() - TIME(5,30,0) + (VLOOKUP(MasterTable[[#This Row],[TimeZone]], $O$3:$P$8, 2, FALSE) / 24)</f>
        <v>45990.531878125003</v>
      </c>
      <c r="I2729" s="1" t="s">
        <v>1944</v>
      </c>
      <c r="J2729" s="1">
        <v>300.14</v>
      </c>
      <c r="K2729" s="11"/>
      <c r="L2729" s="13"/>
      <c r="M2729" s="13"/>
    </row>
    <row r="2730" spans="1:13" x14ac:dyDescent="0.25">
      <c r="A2730" s="1" t="s">
        <v>7</v>
      </c>
      <c r="B2730" s="1" t="s">
        <v>8</v>
      </c>
      <c r="C2730" s="1" t="s">
        <v>1759</v>
      </c>
      <c r="D2730" s="1">
        <v>27.043399999999998</v>
      </c>
      <c r="E2730" s="1">
        <v>-98.697299999999998</v>
      </c>
      <c r="F2730" s="1" t="s">
        <v>1922</v>
      </c>
      <c r="G2730" s="22">
        <v>816.25972335880681</v>
      </c>
      <c r="H2730" s="20">
        <f ca="1">NOW() - TIME(5,30,0) + (VLOOKUP(MasterTable[[#This Row],[TimeZone]], $O$3:$P$8, 2, FALSE) / 24)</f>
        <v>45990.531878125003</v>
      </c>
      <c r="I2730" s="1" t="s">
        <v>1944</v>
      </c>
      <c r="J2730" s="1">
        <v>1136.1600000000001</v>
      </c>
      <c r="K2730" s="11"/>
      <c r="L2730" s="13"/>
      <c r="M2730" s="13"/>
    </row>
    <row r="2731" spans="1:13" x14ac:dyDescent="0.25">
      <c r="A2731" s="1" t="s">
        <v>7</v>
      </c>
      <c r="B2731" s="1" t="s">
        <v>8</v>
      </c>
      <c r="C2731" s="1" t="s">
        <v>1765</v>
      </c>
      <c r="D2731" s="1">
        <v>31.428599999999999</v>
      </c>
      <c r="E2731" s="1">
        <v>-102.51560000000001</v>
      </c>
      <c r="F2731" s="1" t="s">
        <v>1922</v>
      </c>
      <c r="G2731" s="22">
        <v>496.70051363185627</v>
      </c>
      <c r="H2731" s="20">
        <f ca="1">NOW() - TIME(5,30,0) + (VLOOKUP(MasterTable[[#This Row],[TimeZone]], $O$3:$P$8, 2, FALSE) / 24)</f>
        <v>45990.531878125003</v>
      </c>
      <c r="I2731" s="1" t="s">
        <v>1944</v>
      </c>
      <c r="J2731" s="1">
        <v>785.59</v>
      </c>
      <c r="K2731" s="11"/>
      <c r="L2731" s="13"/>
      <c r="M2731" s="13"/>
    </row>
    <row r="2732" spans="1:13" x14ac:dyDescent="0.25">
      <c r="A2732" s="1" t="s">
        <v>7</v>
      </c>
      <c r="B2732" s="1" t="s">
        <v>8</v>
      </c>
      <c r="C2732" s="1" t="s">
        <v>1416</v>
      </c>
      <c r="D2732" s="1">
        <v>31.495200000000001</v>
      </c>
      <c r="E2732" s="1">
        <v>-98.595399999999998</v>
      </c>
      <c r="F2732" s="1" t="s">
        <v>1922</v>
      </c>
      <c r="G2732" s="22">
        <v>725.03109951208558</v>
      </c>
      <c r="H2732" s="20">
        <f ca="1">NOW() - TIME(5,30,0) + (VLOOKUP(MasterTable[[#This Row],[TimeZone]], $O$3:$P$8, 2, FALSE) / 24)</f>
        <v>45990.531878125003</v>
      </c>
      <c r="I2732" s="1" t="s">
        <v>1944</v>
      </c>
      <c r="J2732" s="1">
        <v>439.67</v>
      </c>
      <c r="K2732" s="13"/>
      <c r="L2732" s="13"/>
      <c r="M2732" s="13"/>
    </row>
    <row r="2733" spans="1:13" x14ac:dyDescent="0.25">
      <c r="A2733" s="1" t="s">
        <v>7</v>
      </c>
      <c r="B2733" s="1" t="s">
        <v>8</v>
      </c>
      <c r="C2733" s="1" t="s">
        <v>1771</v>
      </c>
      <c r="D2733" s="1">
        <v>30.486799999999999</v>
      </c>
      <c r="E2733" s="1">
        <v>-99.748699999999999</v>
      </c>
      <c r="F2733" s="1" t="s">
        <v>1922</v>
      </c>
      <c r="G2733" s="22">
        <v>670.04233809293532</v>
      </c>
      <c r="H2733" s="20">
        <f ca="1">NOW() - TIME(5,30,0) + (VLOOKUP(MasterTable[[#This Row],[TimeZone]], $O$3:$P$8, 2, FALSE) / 24)</f>
        <v>45990.531878125003</v>
      </c>
      <c r="I2733" s="1" t="s">
        <v>1944</v>
      </c>
      <c r="J2733" s="1">
        <v>1250.92</v>
      </c>
      <c r="K2733" s="11"/>
      <c r="L2733" s="13"/>
      <c r="M2733" s="13"/>
    </row>
    <row r="2734" spans="1:13" x14ac:dyDescent="0.25">
      <c r="A2734" s="1" t="s">
        <v>7</v>
      </c>
      <c r="B2734" s="1" t="s">
        <v>8</v>
      </c>
      <c r="C2734" s="1" t="s">
        <v>730</v>
      </c>
      <c r="D2734" s="1">
        <v>30.717700000000001</v>
      </c>
      <c r="E2734" s="1">
        <v>-99.226100000000002</v>
      </c>
      <c r="F2734" s="1" t="s">
        <v>1922</v>
      </c>
      <c r="G2734" s="22">
        <v>696.97841730319192</v>
      </c>
      <c r="H2734" s="20">
        <f ca="1">NOW() - TIME(5,30,0) + (VLOOKUP(MasterTable[[#This Row],[TimeZone]], $O$3:$P$8, 2, FALSE) / 24)</f>
        <v>45990.531878125003</v>
      </c>
      <c r="I2734" s="1" t="s">
        <v>1944</v>
      </c>
      <c r="J2734" s="1">
        <v>563.37</v>
      </c>
      <c r="K2734" s="11"/>
      <c r="L2734" s="13"/>
      <c r="M2734" s="13"/>
    </row>
    <row r="2735" spans="1:13" x14ac:dyDescent="0.25">
      <c r="A2735" s="1" t="s">
        <v>7</v>
      </c>
      <c r="B2735" s="1" t="s">
        <v>8</v>
      </c>
      <c r="C2735" s="1" t="s">
        <v>1794</v>
      </c>
      <c r="D2735" s="1">
        <v>32.742800000000003</v>
      </c>
      <c r="E2735" s="1">
        <v>-100.40219999999999</v>
      </c>
      <c r="F2735" s="1" t="s">
        <v>1922</v>
      </c>
      <c r="G2735" s="22">
        <v>614.24069580935156</v>
      </c>
      <c r="H2735" s="20">
        <f ca="1">NOW() - TIME(5,30,0) + (VLOOKUP(MasterTable[[#This Row],[TimeZone]], $O$3:$P$8, 2, FALSE) / 24)</f>
        <v>45990.531878125003</v>
      </c>
      <c r="I2735" s="1" t="s">
        <v>1944</v>
      </c>
      <c r="J2735" s="1">
        <v>901.74</v>
      </c>
      <c r="K2735" s="11"/>
      <c r="L2735" s="13"/>
      <c r="M2735" s="13"/>
    </row>
    <row r="2736" spans="1:13" x14ac:dyDescent="0.25">
      <c r="A2736" s="1" t="s">
        <v>7</v>
      </c>
      <c r="B2736" s="1" t="s">
        <v>8</v>
      </c>
      <c r="C2736" s="1" t="s">
        <v>1156</v>
      </c>
      <c r="D2736" s="1">
        <v>34.290199999999999</v>
      </c>
      <c r="E2736" s="1">
        <v>-99.745699999999999</v>
      </c>
      <c r="F2736" s="1" t="s">
        <v>1922</v>
      </c>
      <c r="G2736" s="22">
        <v>661.28385411180818</v>
      </c>
      <c r="H2736" s="20">
        <f ca="1">NOW() - TIME(5,30,0) + (VLOOKUP(MasterTable[[#This Row],[TimeZone]], $O$3:$P$8, 2, FALSE) / 24)</f>
        <v>45990.531878125003</v>
      </c>
      <c r="I2736" s="1" t="s">
        <v>1944</v>
      </c>
      <c r="J2736" s="1">
        <v>670.39</v>
      </c>
      <c r="K2736" s="11"/>
      <c r="L2736" s="13"/>
      <c r="M2736" s="13"/>
    </row>
    <row r="2737" spans="1:13" x14ac:dyDescent="0.25">
      <c r="A2737" s="1" t="s">
        <v>7</v>
      </c>
      <c r="B2737" s="1" t="s">
        <v>8</v>
      </c>
      <c r="C2737" s="1" t="s">
        <v>1799</v>
      </c>
      <c r="D2737" s="1">
        <v>33.616500000000002</v>
      </c>
      <c r="E2737" s="1">
        <v>-99.213499999999996</v>
      </c>
      <c r="F2737" s="1" t="s">
        <v>1922</v>
      </c>
      <c r="G2737" s="22">
        <v>685.80883737381919</v>
      </c>
      <c r="H2737" s="20">
        <f ca="1">NOW() - TIME(5,30,0) + (VLOOKUP(MasterTable[[#This Row],[TimeZone]], $O$3:$P$8, 2, FALSE) / 24)</f>
        <v>45990.531878125003</v>
      </c>
      <c r="I2737" s="1" t="s">
        <v>1944</v>
      </c>
      <c r="J2737" s="1">
        <v>901.01</v>
      </c>
      <c r="K2737" s="11"/>
      <c r="L2737" s="13"/>
      <c r="M2737" s="13"/>
    </row>
    <row r="2738" spans="1:13" x14ac:dyDescent="0.25">
      <c r="A2738" s="1" t="s">
        <v>7</v>
      </c>
      <c r="B2738" s="1" t="s">
        <v>8</v>
      </c>
      <c r="C2738" s="1" t="s">
        <v>1809</v>
      </c>
      <c r="D2738" s="1">
        <v>31.456199999999999</v>
      </c>
      <c r="E2738" s="1">
        <v>-105.3865</v>
      </c>
      <c r="F2738" s="1" t="s">
        <v>1923</v>
      </c>
      <c r="G2738" s="22">
        <v>329.43582172749007</v>
      </c>
      <c r="H2738" s="20">
        <f ca="1">NOW() - TIME(5,30,0) + (VLOOKUP(MasterTable[[#This Row],[TimeZone]], $O$3:$P$8, 2, FALSE) / 24)</f>
        <v>45990.490211458338</v>
      </c>
      <c r="I2738" s="1" t="s">
        <v>1944</v>
      </c>
      <c r="J2738" s="1">
        <v>4571.93</v>
      </c>
      <c r="K2738" s="11"/>
      <c r="L2738" s="13"/>
      <c r="M2738" s="13"/>
    </row>
    <row r="2739" spans="1:13" x14ac:dyDescent="0.25">
      <c r="A2739" s="1" t="s">
        <v>7</v>
      </c>
      <c r="B2739" s="1" t="s">
        <v>8</v>
      </c>
      <c r="C2739" s="1" t="s">
        <v>205</v>
      </c>
      <c r="D2739" s="1">
        <v>33.606099999999998</v>
      </c>
      <c r="E2739" s="1">
        <v>-99.741399999999999</v>
      </c>
      <c r="F2739" s="1" t="s">
        <v>1922</v>
      </c>
      <c r="G2739" s="22">
        <v>655.48653709199527</v>
      </c>
      <c r="H2739" s="20">
        <f ca="1">NOW() - TIME(5,30,0) + (VLOOKUP(MasterTable[[#This Row],[TimeZone]], $O$3:$P$8, 2, FALSE) / 24)</f>
        <v>45990.531878125003</v>
      </c>
      <c r="I2739" s="1" t="s">
        <v>1944</v>
      </c>
      <c r="J2739" s="1">
        <v>719.7</v>
      </c>
      <c r="K2739" s="11"/>
      <c r="L2739" s="13"/>
      <c r="M2739" s="13"/>
    </row>
    <row r="2740" spans="1:13" x14ac:dyDescent="0.25">
      <c r="A2740" s="1" t="s">
        <v>7</v>
      </c>
      <c r="B2740" s="1" t="s">
        <v>8</v>
      </c>
      <c r="C2740" s="1" t="s">
        <v>1810</v>
      </c>
      <c r="D2740" s="1">
        <v>31.8886</v>
      </c>
      <c r="E2740" s="1">
        <v>-100.53</v>
      </c>
      <c r="F2740" s="1" t="s">
        <v>1922</v>
      </c>
      <c r="G2740" s="22">
        <v>609.04557116558021</v>
      </c>
      <c r="H2740" s="20">
        <f ca="1">NOW() - TIME(5,30,0) + (VLOOKUP(MasterTable[[#This Row],[TimeZone]], $O$3:$P$8, 2, FALSE) / 24)</f>
        <v>45990.531878125003</v>
      </c>
      <c r="I2740" s="1" t="s">
        <v>1944</v>
      </c>
      <c r="J2740" s="1">
        <v>927.97</v>
      </c>
      <c r="K2740" s="11"/>
      <c r="L2740" s="13"/>
      <c r="M2740" s="13"/>
    </row>
    <row r="2741" spans="1:13" x14ac:dyDescent="0.25">
      <c r="A2741" s="1" t="s">
        <v>7</v>
      </c>
      <c r="B2741" s="1" t="s">
        <v>8</v>
      </c>
      <c r="C2741" s="1" t="s">
        <v>1811</v>
      </c>
      <c r="D2741" s="1">
        <v>35.837600000000002</v>
      </c>
      <c r="E2741" s="1">
        <v>-100.2706</v>
      </c>
      <c r="F2741" s="1" t="s">
        <v>1922</v>
      </c>
      <c r="G2741" s="22">
        <v>658.89692047178414</v>
      </c>
      <c r="H2741" s="20">
        <f ca="1">NOW() - TIME(5,30,0) + (VLOOKUP(MasterTable[[#This Row],[TimeZone]], $O$3:$P$8, 2, FALSE) / 24)</f>
        <v>45990.531878125003</v>
      </c>
      <c r="I2741" s="1" t="s">
        <v>1944</v>
      </c>
      <c r="J2741" s="1">
        <v>912.06</v>
      </c>
      <c r="K2741" s="11"/>
      <c r="L2741" s="13"/>
      <c r="M2741" s="13"/>
    </row>
    <row r="2742" spans="1:13" x14ac:dyDescent="0.25">
      <c r="A2742" s="1" t="s">
        <v>7</v>
      </c>
      <c r="B2742" s="1" t="s">
        <v>8</v>
      </c>
      <c r="C2742" s="1" t="s">
        <v>1812</v>
      </c>
      <c r="D2742" s="1">
        <v>30.4984</v>
      </c>
      <c r="E2742" s="1">
        <v>-100.5382</v>
      </c>
      <c r="F2742" s="1" t="s">
        <v>1922</v>
      </c>
      <c r="G2742" s="22">
        <v>624.13238966655604</v>
      </c>
      <c r="H2742" s="20">
        <f ca="1">NOW() - TIME(5,30,0) + (VLOOKUP(MasterTable[[#This Row],[TimeZone]], $O$3:$P$8, 2, FALSE) / 24)</f>
        <v>45990.531878125003</v>
      </c>
      <c r="I2742" s="1" t="s">
        <v>1944</v>
      </c>
      <c r="J2742" s="1">
        <v>1454.4</v>
      </c>
      <c r="K2742" s="11"/>
      <c r="L2742" s="13"/>
      <c r="M2742" s="13"/>
    </row>
    <row r="2743" spans="1:13" x14ac:dyDescent="0.25">
      <c r="A2743" s="1" t="s">
        <v>7</v>
      </c>
      <c r="B2743" s="1" t="s">
        <v>8</v>
      </c>
      <c r="C2743" s="1" t="s">
        <v>1813</v>
      </c>
      <c r="D2743" s="1">
        <v>31.326599999999999</v>
      </c>
      <c r="E2743" s="1">
        <v>-99.864000000000004</v>
      </c>
      <c r="F2743" s="1" t="s">
        <v>1922</v>
      </c>
      <c r="G2743" s="22">
        <v>652.47605369750204</v>
      </c>
      <c r="H2743" s="20">
        <f ca="1">NOW() - TIME(5,30,0) + (VLOOKUP(MasterTable[[#This Row],[TimeZone]], $O$3:$P$8, 2, FALSE) / 24)</f>
        <v>45990.531878125003</v>
      </c>
      <c r="I2743" s="1" t="s">
        <v>1944</v>
      </c>
      <c r="J2743" s="1">
        <v>993.69</v>
      </c>
      <c r="K2743" s="11"/>
      <c r="L2743" s="13"/>
      <c r="M2743" s="13"/>
    </row>
    <row r="2744" spans="1:13" x14ac:dyDescent="0.25">
      <c r="A2744" s="1" t="s">
        <v>7</v>
      </c>
      <c r="B2744" s="1" t="s">
        <v>8</v>
      </c>
      <c r="C2744" s="1" t="s">
        <v>1815</v>
      </c>
      <c r="D2744" s="1">
        <v>34.965400000000002</v>
      </c>
      <c r="E2744" s="1">
        <v>-100.81399999999999</v>
      </c>
      <c r="F2744" s="1" t="s">
        <v>1922</v>
      </c>
      <c r="G2744" s="22">
        <v>611.80049160901308</v>
      </c>
      <c r="H2744" s="20">
        <f ca="1">NOW() - TIME(5,30,0) + (VLOOKUP(MasterTable[[#This Row],[TimeZone]], $O$3:$P$8, 2, FALSE) / 24)</f>
        <v>45990.531878125003</v>
      </c>
      <c r="I2744" s="1" t="s">
        <v>1944</v>
      </c>
      <c r="J2744" s="1">
        <v>933.05</v>
      </c>
      <c r="K2744" s="11"/>
      <c r="L2744" s="13"/>
      <c r="M2744" s="13"/>
    </row>
    <row r="2745" spans="1:13" x14ac:dyDescent="0.25">
      <c r="A2745" s="1" t="s">
        <v>7</v>
      </c>
      <c r="B2745" s="1" t="s">
        <v>8</v>
      </c>
      <c r="C2745" s="1" t="s">
        <v>1817</v>
      </c>
      <c r="D2745" s="1">
        <v>31.366099999999999</v>
      </c>
      <c r="E2745" s="1">
        <v>-101.5231</v>
      </c>
      <c r="F2745" s="1" t="s">
        <v>1922</v>
      </c>
      <c r="G2745" s="22">
        <v>555.22916747725719</v>
      </c>
      <c r="H2745" s="20">
        <f ca="1">NOW() - TIME(5,30,0) + (VLOOKUP(MasterTable[[#This Row],[TimeZone]], $O$3:$P$8, 2, FALSE) / 24)</f>
        <v>45990.531878125003</v>
      </c>
      <c r="I2745" s="1" t="s">
        <v>1944</v>
      </c>
      <c r="J2745" s="1">
        <v>1175.98</v>
      </c>
      <c r="K2745" s="11"/>
      <c r="L2745" s="13"/>
      <c r="M2745" s="13"/>
    </row>
    <row r="2746" spans="1:13" x14ac:dyDescent="0.25">
      <c r="A2746" s="1" t="s">
        <v>7</v>
      </c>
      <c r="B2746" s="1" t="s">
        <v>8</v>
      </c>
      <c r="C2746" s="1" t="s">
        <v>1818</v>
      </c>
      <c r="D2746" s="1">
        <v>31.3688</v>
      </c>
      <c r="E2746" s="1">
        <v>-102.0431</v>
      </c>
      <c r="F2746" s="1" t="s">
        <v>1922</v>
      </c>
      <c r="G2746" s="22">
        <v>524.87257559600459</v>
      </c>
      <c r="H2746" s="20">
        <f ca="1">NOW() - TIME(5,30,0) + (VLOOKUP(MasterTable[[#This Row],[TimeZone]], $O$3:$P$8, 2, FALSE) / 24)</f>
        <v>45990.531878125003</v>
      </c>
      <c r="I2746" s="1" t="s">
        <v>1944</v>
      </c>
      <c r="J2746" s="1">
        <v>1241.83</v>
      </c>
      <c r="K2746" s="11"/>
      <c r="L2746" s="13"/>
      <c r="M2746" s="13"/>
    </row>
    <row r="2747" spans="1:13" x14ac:dyDescent="0.25">
      <c r="A2747" s="1" t="s">
        <v>7</v>
      </c>
      <c r="B2747" s="1" t="s">
        <v>8</v>
      </c>
      <c r="C2747" s="1" t="s">
        <v>1819</v>
      </c>
      <c r="D2747" s="1">
        <v>32.735900000000001</v>
      </c>
      <c r="E2747" s="1">
        <v>-99.353999999999999</v>
      </c>
      <c r="F2747" s="1" t="s">
        <v>1922</v>
      </c>
      <c r="G2747" s="22">
        <v>675.16050151845059</v>
      </c>
      <c r="H2747" s="20">
        <f ca="1">NOW() - TIME(5,30,0) + (VLOOKUP(MasterTable[[#This Row],[TimeZone]], $O$3:$P$8, 2, FALSE) / 24)</f>
        <v>45990.531878125003</v>
      </c>
      <c r="I2747" s="1" t="s">
        <v>1944</v>
      </c>
      <c r="J2747" s="1">
        <v>915.54</v>
      </c>
      <c r="K2747" s="11"/>
      <c r="L2747" s="13"/>
      <c r="M2747" s="13"/>
    </row>
    <row r="2748" spans="1:13" x14ac:dyDescent="0.25">
      <c r="A2748" s="1" t="s">
        <v>7</v>
      </c>
      <c r="B2748" s="1" t="s">
        <v>8</v>
      </c>
      <c r="C2748" s="1" t="s">
        <v>1820</v>
      </c>
      <c r="D2748" s="1">
        <v>29.350200000000001</v>
      </c>
      <c r="E2748" s="1">
        <v>-100.41800000000001</v>
      </c>
      <c r="F2748" s="1" t="s">
        <v>1922</v>
      </c>
      <c r="G2748" s="22">
        <v>654.24006878528621</v>
      </c>
      <c r="H2748" s="20">
        <f ca="1">NOW() - TIME(5,30,0) + (VLOOKUP(MasterTable[[#This Row],[TimeZone]], $O$3:$P$8, 2, FALSE) / 24)</f>
        <v>45990.531878125003</v>
      </c>
      <c r="I2748" s="1" t="s">
        <v>1944</v>
      </c>
      <c r="J2748" s="1">
        <v>1365.31</v>
      </c>
      <c r="K2748" s="11"/>
      <c r="L2748" s="13"/>
      <c r="M2748" s="13"/>
    </row>
    <row r="2749" spans="1:13" x14ac:dyDescent="0.25">
      <c r="A2749" s="1" t="s">
        <v>7</v>
      </c>
      <c r="B2749" s="1" t="s">
        <v>8</v>
      </c>
      <c r="C2749" s="1" t="s">
        <v>1825</v>
      </c>
      <c r="D2749" s="1">
        <v>36.2776</v>
      </c>
      <c r="E2749" s="1">
        <v>-100.2731</v>
      </c>
      <c r="F2749" s="1" t="s">
        <v>1922</v>
      </c>
      <c r="G2749" s="22">
        <v>669.38434964325688</v>
      </c>
      <c r="H2749" s="20">
        <f ca="1">NOW() - TIME(5,30,0) + (VLOOKUP(MasterTable[[#This Row],[TimeZone]], $O$3:$P$8, 2, FALSE) / 24)</f>
        <v>45990.531878125003</v>
      </c>
      <c r="I2749" s="1" t="s">
        <v>1944</v>
      </c>
      <c r="J2749" s="1">
        <v>932.22</v>
      </c>
      <c r="K2749" s="11"/>
      <c r="L2749" s="13"/>
      <c r="M2749" s="13"/>
    </row>
    <row r="2750" spans="1:13" x14ac:dyDescent="0.25">
      <c r="A2750" s="1" t="s">
        <v>7</v>
      </c>
      <c r="B2750" s="1" t="s">
        <v>8</v>
      </c>
      <c r="C2750" s="1" t="s">
        <v>1439</v>
      </c>
      <c r="D2750" s="1">
        <v>30.723099999999999</v>
      </c>
      <c r="E2750" s="1">
        <v>-101.41200000000001</v>
      </c>
      <c r="F2750" s="1" t="s">
        <v>1922</v>
      </c>
      <c r="G2750" s="22">
        <v>569.99062735471364</v>
      </c>
      <c r="H2750" s="20">
        <f ca="1">NOW() - TIME(5,30,0) + (VLOOKUP(MasterTable[[#This Row],[TimeZone]], $O$3:$P$8, 2, FALSE) / 24)</f>
        <v>45990.531878125003</v>
      </c>
      <c r="I2750" s="1" t="s">
        <v>1944</v>
      </c>
      <c r="J2750" s="1">
        <v>265.47000000000003</v>
      </c>
      <c r="K2750" s="11"/>
      <c r="L2750" s="13"/>
      <c r="M2750" s="13"/>
    </row>
    <row r="2751" spans="1:13" x14ac:dyDescent="0.25">
      <c r="A2751" s="1" t="s">
        <v>7</v>
      </c>
      <c r="B2751" s="1" t="s">
        <v>8</v>
      </c>
      <c r="C2751" s="1" t="s">
        <v>367</v>
      </c>
      <c r="D2751" s="1">
        <v>34.530799999999999</v>
      </c>
      <c r="E2751" s="1">
        <v>-100.6811</v>
      </c>
      <c r="F2751" s="1" t="s">
        <v>1922</v>
      </c>
      <c r="G2751" s="22">
        <v>612.01025534029395</v>
      </c>
      <c r="H2751" s="20">
        <f ca="1">NOW() - TIME(5,30,0) + (VLOOKUP(MasterTable[[#This Row],[TimeZone]], $O$3:$P$8, 2, FALSE) / 24)</f>
        <v>45990.531878125003</v>
      </c>
      <c r="I2751" s="1" t="s">
        <v>1944</v>
      </c>
      <c r="J2751" s="1">
        <v>429.19</v>
      </c>
      <c r="K2751" s="11"/>
      <c r="L2751" s="13"/>
      <c r="M2751" s="13"/>
    </row>
    <row r="2752" spans="1:13" x14ac:dyDescent="0.25">
      <c r="A2752" s="1" t="s">
        <v>7</v>
      </c>
      <c r="B2752" s="1" t="s">
        <v>8</v>
      </c>
      <c r="C2752" s="1" t="s">
        <v>1829</v>
      </c>
      <c r="D2752" s="1">
        <v>29.831800000000001</v>
      </c>
      <c r="E2752" s="1">
        <v>-99.822199999999995</v>
      </c>
      <c r="F2752" s="1" t="s">
        <v>1922</v>
      </c>
      <c r="G2752" s="22">
        <v>677.5611061668443</v>
      </c>
      <c r="H2752" s="20">
        <f ca="1">NOW() - TIME(5,30,0) + (VLOOKUP(MasterTable[[#This Row],[TimeZone]], $O$3:$P$8, 2, FALSE) / 24)</f>
        <v>45990.531878125003</v>
      </c>
      <c r="I2752" s="1" t="s">
        <v>1944</v>
      </c>
      <c r="J2752" s="1">
        <v>700.04</v>
      </c>
      <c r="K2752" s="11"/>
      <c r="L2752" s="13"/>
      <c r="M2752" s="13"/>
    </row>
    <row r="2753" spans="1:13" x14ac:dyDescent="0.25">
      <c r="A2753" s="1" t="s">
        <v>7</v>
      </c>
      <c r="B2753" s="1" t="s">
        <v>8</v>
      </c>
      <c r="C2753" s="1" t="s">
        <v>1833</v>
      </c>
      <c r="D2753" s="1">
        <v>34.964799999999997</v>
      </c>
      <c r="E2753" s="1">
        <v>-100.27</v>
      </c>
      <c r="F2753" s="1" t="s">
        <v>1922</v>
      </c>
      <c r="G2753" s="22">
        <v>641.58914999715216</v>
      </c>
      <c r="H2753" s="20">
        <f ca="1">NOW() - TIME(5,30,0) + (VLOOKUP(MasterTable[[#This Row],[TimeZone]], $O$3:$P$8, 2, FALSE) / 24)</f>
        <v>45990.531878125003</v>
      </c>
      <c r="I2753" s="1" t="s">
        <v>1944</v>
      </c>
      <c r="J2753" s="1">
        <v>919.44</v>
      </c>
      <c r="K2753" s="11"/>
      <c r="L2753" s="13"/>
      <c r="M2753" s="13"/>
    </row>
    <row r="2754" spans="1:13" x14ac:dyDescent="0.25">
      <c r="A2754" s="1" t="s">
        <v>7</v>
      </c>
      <c r="B2754" s="1" t="s">
        <v>8</v>
      </c>
      <c r="C2754" s="1" t="s">
        <v>1841</v>
      </c>
      <c r="D2754" s="1">
        <v>33.604199999999999</v>
      </c>
      <c r="E2754" s="1">
        <v>-102.82850000000001</v>
      </c>
      <c r="F2754" s="1" t="s">
        <v>1922</v>
      </c>
      <c r="G2754" s="22">
        <v>479.21887102456412</v>
      </c>
      <c r="H2754" s="20">
        <f ca="1">NOW() - TIME(5,30,0) + (VLOOKUP(MasterTable[[#This Row],[TimeZone]], $O$3:$P$8, 2, FALSE) / 24)</f>
        <v>45990.531878125003</v>
      </c>
      <c r="I2754" s="1" t="s">
        <v>1944</v>
      </c>
      <c r="J2754" s="1">
        <v>775.31</v>
      </c>
      <c r="K2754" s="11"/>
      <c r="L2754" s="13"/>
      <c r="M2754" s="13"/>
    </row>
    <row r="2755" spans="1:13" x14ac:dyDescent="0.25">
      <c r="A2755" s="1" t="s">
        <v>7</v>
      </c>
      <c r="B2755" s="1" t="s">
        <v>8</v>
      </c>
      <c r="C2755" s="1" t="s">
        <v>1712</v>
      </c>
      <c r="D2755" s="1">
        <v>36.277700000000003</v>
      </c>
      <c r="E2755" s="1">
        <v>-101.8934</v>
      </c>
      <c r="F2755" s="1" t="s">
        <v>1922</v>
      </c>
      <c r="G2755" s="22">
        <v>586.76153815736291</v>
      </c>
      <c r="H2755" s="20">
        <f ca="1">NOW() - TIME(5,30,0) + (VLOOKUP(MasterTable[[#This Row],[TimeZone]], $O$3:$P$8, 2, FALSE) / 24)</f>
        <v>45990.531878125003</v>
      </c>
      <c r="I2755" s="1" t="s">
        <v>1944</v>
      </c>
      <c r="J2755" s="1">
        <v>1056.01</v>
      </c>
      <c r="K2755" s="11"/>
      <c r="L2755" s="13"/>
      <c r="M2755" s="13"/>
    </row>
    <row r="2756" spans="1:13" x14ac:dyDescent="0.25">
      <c r="A2756" s="1" t="s">
        <v>7</v>
      </c>
      <c r="B2756" s="1" t="s">
        <v>8</v>
      </c>
      <c r="C2756" s="1" t="s">
        <v>1844</v>
      </c>
      <c r="D2756" s="1">
        <v>30.897400000000001</v>
      </c>
      <c r="E2756" s="1">
        <v>-100.53830000000001</v>
      </c>
      <c r="F2756" s="1" t="s">
        <v>1922</v>
      </c>
      <c r="G2756" s="22">
        <v>618.18553600102382</v>
      </c>
      <c r="H2756" s="20">
        <f ca="1">NOW() - TIME(5,30,0) + (VLOOKUP(MasterTable[[#This Row],[TimeZone]], $O$3:$P$8, 2, FALSE) / 24)</f>
        <v>45990.531878125003</v>
      </c>
      <c r="I2756" s="1" t="s">
        <v>1944</v>
      </c>
      <c r="J2756" s="1">
        <v>1310.6500000000001</v>
      </c>
      <c r="K2756" s="11"/>
      <c r="L2756" s="13"/>
      <c r="M2756" s="13"/>
    </row>
    <row r="2757" spans="1:13" x14ac:dyDescent="0.25">
      <c r="A2757" s="1" t="s">
        <v>7</v>
      </c>
      <c r="B2757" s="1" t="s">
        <v>8</v>
      </c>
      <c r="C2757" s="1" t="s">
        <v>1855</v>
      </c>
      <c r="D2757" s="1">
        <v>31.446999999999999</v>
      </c>
      <c r="E2757" s="1">
        <v>-104.51730000000001</v>
      </c>
      <c r="F2757" s="1" t="s">
        <v>1923</v>
      </c>
      <c r="G2757" s="22">
        <v>379.97240085995941</v>
      </c>
      <c r="H2757" s="20">
        <f ca="1">NOW() - TIME(5,30,0) + (VLOOKUP(MasterTable[[#This Row],[TimeZone]], $O$3:$P$8, 2, FALSE) / 24)</f>
        <v>45990.490211458338</v>
      </c>
      <c r="I2757" s="1" t="s">
        <v>1944</v>
      </c>
      <c r="J2757" s="1">
        <v>3812.71</v>
      </c>
      <c r="K2757" s="11"/>
      <c r="L2757" s="13"/>
      <c r="M2757" s="13"/>
    </row>
    <row r="2758" spans="1:13" x14ac:dyDescent="0.25">
      <c r="A2758" s="1" t="s">
        <v>7</v>
      </c>
      <c r="B2758" s="1" t="s">
        <v>8</v>
      </c>
      <c r="C2758" s="1" t="s">
        <v>717</v>
      </c>
      <c r="D2758" s="1">
        <v>35.405000000000001</v>
      </c>
      <c r="E2758" s="1">
        <v>-102.6028</v>
      </c>
      <c r="F2758" s="1" t="s">
        <v>1922</v>
      </c>
      <c r="G2758" s="22">
        <v>525.80740152777958</v>
      </c>
      <c r="H2758" s="20">
        <f ca="1">NOW() - TIME(5,30,0) + (VLOOKUP(MasterTable[[#This Row],[TimeZone]], $O$3:$P$8, 2, FALSE) / 24)</f>
        <v>45990.531878125003</v>
      </c>
      <c r="I2758" s="1" t="s">
        <v>1944</v>
      </c>
      <c r="J2758" s="1">
        <v>196.54</v>
      </c>
      <c r="K2758" s="11"/>
      <c r="L2758" s="13"/>
      <c r="M2758" s="13"/>
    </row>
    <row r="2759" spans="1:13" x14ac:dyDescent="0.25">
      <c r="A2759" s="1" t="s">
        <v>7</v>
      </c>
      <c r="B2759" s="1" t="s">
        <v>8</v>
      </c>
      <c r="C2759" s="1" t="s">
        <v>1496</v>
      </c>
      <c r="D2759" s="1">
        <v>30.889800000000001</v>
      </c>
      <c r="E2759" s="1">
        <v>-99.820599999999999</v>
      </c>
      <c r="F2759" s="1" t="s">
        <v>1922</v>
      </c>
      <c r="G2759" s="22">
        <v>660.05274479872207</v>
      </c>
      <c r="H2759" s="20">
        <f ca="1">NOW() - TIME(5,30,0) + (VLOOKUP(MasterTable[[#This Row],[TimeZone]], $O$3:$P$8, 2, FALSE) / 24)</f>
        <v>45990.531878125003</v>
      </c>
      <c r="I2759" s="1" t="s">
        <v>1944</v>
      </c>
      <c r="J2759" s="1">
        <v>315.37</v>
      </c>
      <c r="K2759" s="11"/>
      <c r="L2759" s="13"/>
      <c r="M2759" s="13"/>
    </row>
    <row r="2760" spans="1:13" x14ac:dyDescent="0.25">
      <c r="A2760" s="1" t="s">
        <v>7</v>
      </c>
      <c r="B2760" s="1" t="s">
        <v>8</v>
      </c>
      <c r="C2760" s="1" t="s">
        <v>747</v>
      </c>
      <c r="D2760" s="1">
        <v>34.9649</v>
      </c>
      <c r="E2760" s="1">
        <v>-101.3574</v>
      </c>
      <c r="F2760" s="1" t="s">
        <v>1922</v>
      </c>
      <c r="G2760" s="22">
        <v>582.17454426393783</v>
      </c>
      <c r="H2760" s="20">
        <f ca="1">NOW() - TIME(5,30,0) + (VLOOKUP(MasterTable[[#This Row],[TimeZone]], $O$3:$P$8, 2, FALSE) / 24)</f>
        <v>45990.531878125003</v>
      </c>
      <c r="I2760" s="1" t="s">
        <v>1944</v>
      </c>
      <c r="J2760" s="1">
        <v>664.44</v>
      </c>
      <c r="K2760" s="11"/>
      <c r="L2760" s="13"/>
      <c r="M2760" s="13"/>
    </row>
    <row r="2761" spans="1:13" x14ac:dyDescent="0.25">
      <c r="A2761" s="1" t="s">
        <v>7</v>
      </c>
      <c r="B2761" s="1" t="s">
        <v>8</v>
      </c>
      <c r="C2761" s="1" t="s">
        <v>1406</v>
      </c>
      <c r="D2761" s="1">
        <v>30.715399999999999</v>
      </c>
      <c r="E2761" s="1">
        <v>-104.14</v>
      </c>
      <c r="F2761" s="1" t="s">
        <v>1923</v>
      </c>
      <c r="G2761" s="22">
        <v>413.19888512420761</v>
      </c>
      <c r="H2761" s="20">
        <f ca="1">NOW() - TIME(5,30,0) + (VLOOKUP(MasterTable[[#This Row],[TimeZone]], $O$3:$P$8, 2, FALSE) / 24)</f>
        <v>45990.490211458338</v>
      </c>
      <c r="I2761" s="1" t="s">
        <v>1944</v>
      </c>
      <c r="J2761" s="1">
        <v>335.42</v>
      </c>
      <c r="K2761" s="11"/>
      <c r="L2761" s="13"/>
      <c r="M2761" s="13"/>
    </row>
    <row r="2762" spans="1:13" x14ac:dyDescent="0.25">
      <c r="A2762" s="1" t="s">
        <v>7</v>
      </c>
      <c r="B2762" s="1" t="s">
        <v>8</v>
      </c>
      <c r="C2762" s="1" t="s">
        <v>1881</v>
      </c>
      <c r="D2762" s="1">
        <v>33.616500000000002</v>
      </c>
      <c r="E2762" s="1">
        <v>-100.77889999999999</v>
      </c>
      <c r="F2762" s="1" t="s">
        <v>1922</v>
      </c>
      <c r="G2762" s="22">
        <v>596.17438905352913</v>
      </c>
      <c r="H2762" s="20">
        <f ca="1">NOW() - TIME(5,30,0) + (VLOOKUP(MasterTable[[#This Row],[TimeZone]], $O$3:$P$8, 2, FALSE) / 24)</f>
        <v>45990.531878125003</v>
      </c>
      <c r="I2762" s="1" t="s">
        <v>1944</v>
      </c>
      <c r="J2762" s="1">
        <v>905.21</v>
      </c>
      <c r="K2762" s="11"/>
      <c r="L2762" s="13"/>
      <c r="M2762" s="13"/>
    </row>
    <row r="2763" spans="1:13" x14ac:dyDescent="0.25">
      <c r="A2763" s="1" t="s">
        <v>7</v>
      </c>
      <c r="B2763" s="1" t="s">
        <v>8</v>
      </c>
      <c r="C2763" s="1" t="s">
        <v>1883</v>
      </c>
      <c r="D2763" s="1">
        <v>33.177500000000002</v>
      </c>
      <c r="E2763" s="1">
        <v>-99.212299999999999</v>
      </c>
      <c r="F2763" s="1" t="s">
        <v>1922</v>
      </c>
      <c r="G2763" s="22">
        <v>683.9722878107126</v>
      </c>
      <c r="H2763" s="20">
        <f ca="1">NOW() - TIME(5,30,0) + (VLOOKUP(MasterTable[[#This Row],[TimeZone]], $O$3:$P$8, 2, FALSE) / 24)</f>
        <v>45990.531878125003</v>
      </c>
      <c r="I2763" s="1" t="s">
        <v>1944</v>
      </c>
      <c r="J2763" s="1">
        <v>915.47</v>
      </c>
      <c r="K2763" s="11"/>
      <c r="L2763" s="13"/>
      <c r="M2763" s="13"/>
    </row>
    <row r="2764" spans="1:13" x14ac:dyDescent="0.25">
      <c r="A2764" s="1" t="s">
        <v>7</v>
      </c>
      <c r="B2764" s="1" t="s">
        <v>8</v>
      </c>
      <c r="C2764" s="1" t="s">
        <v>1888</v>
      </c>
      <c r="D2764" s="1">
        <v>31.303899999999999</v>
      </c>
      <c r="E2764" s="1">
        <v>-100.9824</v>
      </c>
      <c r="F2764" s="1" t="s">
        <v>1922</v>
      </c>
      <c r="G2764" s="22">
        <v>587.42378569576636</v>
      </c>
      <c r="H2764" s="20">
        <f ca="1">NOW() - TIME(5,30,0) + (VLOOKUP(MasterTable[[#This Row],[TimeZone]], $O$3:$P$8, 2, FALSE) / 24)</f>
        <v>45990.531878125003</v>
      </c>
      <c r="I2764" s="1" t="s">
        <v>1944</v>
      </c>
      <c r="J2764" s="1">
        <v>1051.5899999999999</v>
      </c>
      <c r="K2764" s="11"/>
      <c r="L2764" s="13"/>
      <c r="M2764" s="13"/>
    </row>
    <row r="2765" spans="1:13" x14ac:dyDescent="0.25">
      <c r="A2765" s="1" t="s">
        <v>7</v>
      </c>
      <c r="B2765" s="1" t="s">
        <v>8</v>
      </c>
      <c r="C2765" s="1" t="s">
        <v>1708</v>
      </c>
      <c r="D2765" s="1">
        <v>29.982700000000001</v>
      </c>
      <c r="E2765" s="1">
        <v>-100.3048</v>
      </c>
      <c r="F2765" s="1" t="s">
        <v>1922</v>
      </c>
      <c r="G2765" s="22">
        <v>646.87721692243906</v>
      </c>
      <c r="H2765" s="20">
        <f ca="1">NOW() - TIME(5,30,0) + (VLOOKUP(MasterTable[[#This Row],[TimeZone]], $O$3:$P$8, 2, FALSE) / 24)</f>
        <v>45990.531878125003</v>
      </c>
      <c r="I2765" s="1" t="s">
        <v>1944</v>
      </c>
      <c r="J2765" s="1">
        <v>222.66</v>
      </c>
      <c r="K2765" s="11"/>
      <c r="L2765" s="13"/>
      <c r="M2765" s="13"/>
    </row>
    <row r="2766" spans="1:13" x14ac:dyDescent="0.25">
      <c r="A2766" s="1" t="s">
        <v>7</v>
      </c>
      <c r="B2766" s="1" t="s">
        <v>8</v>
      </c>
      <c r="C2766" s="1" t="s">
        <v>1889</v>
      </c>
      <c r="D2766" s="1">
        <v>31.8278</v>
      </c>
      <c r="E2766" s="1">
        <v>-101.0501</v>
      </c>
      <c r="F2766" s="1" t="s">
        <v>1922</v>
      </c>
      <c r="G2766" s="22">
        <v>579.01749763652799</v>
      </c>
      <c r="H2766" s="20">
        <f ca="1">NOW() - TIME(5,30,0) + (VLOOKUP(MasterTable[[#This Row],[TimeZone]], $O$3:$P$8, 2, FALSE) / 24)</f>
        <v>45990.531878125003</v>
      </c>
      <c r="I2766" s="1" t="s">
        <v>1944</v>
      </c>
      <c r="J2766" s="1">
        <v>923.49</v>
      </c>
      <c r="K2766" s="11"/>
      <c r="L2766" s="13"/>
      <c r="M2766" s="13"/>
    </row>
    <row r="2767" spans="1:13" x14ac:dyDescent="0.25">
      <c r="A2767" s="1" t="s">
        <v>7</v>
      </c>
      <c r="B2767" s="1" t="s">
        <v>8</v>
      </c>
      <c r="C2767" s="1" t="s">
        <v>1891</v>
      </c>
      <c r="D2767" s="1">
        <v>34.077599999999997</v>
      </c>
      <c r="E2767" s="1">
        <v>-100.2788</v>
      </c>
      <c r="F2767" s="1" t="s">
        <v>1922</v>
      </c>
      <c r="G2767" s="22">
        <v>628.87340313994423</v>
      </c>
      <c r="H2767" s="20">
        <f ca="1">NOW() - TIME(5,30,0) + (VLOOKUP(MasterTable[[#This Row],[TimeZone]], $O$3:$P$8, 2, FALSE) / 24)</f>
        <v>45990.531878125003</v>
      </c>
      <c r="I2767" s="1" t="s">
        <v>1944</v>
      </c>
      <c r="J2767" s="1">
        <v>901.59</v>
      </c>
      <c r="K2767" s="11"/>
      <c r="L2767" s="13"/>
      <c r="M2767" s="13"/>
    </row>
    <row r="2768" spans="1:13" x14ac:dyDescent="0.25">
      <c r="A2768" s="1" t="s">
        <v>7</v>
      </c>
      <c r="B2768" s="1" t="s">
        <v>8</v>
      </c>
      <c r="C2768" s="1" t="s">
        <v>1892</v>
      </c>
      <c r="D2768" s="1">
        <v>34.074100000000001</v>
      </c>
      <c r="E2768" s="1">
        <v>-100.77979999999999</v>
      </c>
      <c r="F2768" s="1" t="s">
        <v>1922</v>
      </c>
      <c r="G2768" s="22">
        <v>600.52572470431062</v>
      </c>
      <c r="H2768" s="20">
        <f ca="1">NOW() - TIME(5,30,0) + (VLOOKUP(MasterTable[[#This Row],[TimeZone]], $O$3:$P$8, 2, FALSE) / 24)</f>
        <v>45990.531878125003</v>
      </c>
      <c r="I2768" s="1" t="s">
        <v>1944</v>
      </c>
      <c r="J2768" s="1">
        <v>989.81</v>
      </c>
      <c r="K2768" s="11"/>
      <c r="L2768" s="13"/>
      <c r="M2768" s="13"/>
    </row>
    <row r="2769" spans="1:13" x14ac:dyDescent="0.25">
      <c r="A2769" s="1" t="s">
        <v>7</v>
      </c>
      <c r="B2769" s="1" t="s">
        <v>8</v>
      </c>
      <c r="C2769" s="1" t="s">
        <v>1893</v>
      </c>
      <c r="D2769" s="1">
        <v>33.179200000000002</v>
      </c>
      <c r="E2769" s="1">
        <v>-100.2534</v>
      </c>
      <c r="F2769" s="1" t="s">
        <v>1922</v>
      </c>
      <c r="G2769" s="22">
        <v>623.83840511579854</v>
      </c>
      <c r="H2769" s="20">
        <f ca="1">NOW() - TIME(5,30,0) + (VLOOKUP(MasterTable[[#This Row],[TimeZone]], $O$3:$P$8, 2, FALSE) / 24)</f>
        <v>45990.531878125003</v>
      </c>
      <c r="I2769" s="1" t="s">
        <v>1944</v>
      </c>
      <c r="J2769" s="1">
        <v>920.23</v>
      </c>
      <c r="K2769" s="11"/>
      <c r="L2769" s="13"/>
      <c r="M2769" s="13"/>
    </row>
    <row r="2770" spans="1:13" x14ac:dyDescent="0.25">
      <c r="A2770" s="1" t="s">
        <v>7</v>
      </c>
      <c r="B2770" s="1" t="s">
        <v>8</v>
      </c>
      <c r="C2770" s="1" t="s">
        <v>1894</v>
      </c>
      <c r="D2770" s="1">
        <v>34.530299999999997</v>
      </c>
      <c r="E2770" s="1">
        <v>-101.2085</v>
      </c>
      <c r="F2770" s="1" t="s">
        <v>1922</v>
      </c>
      <c r="G2770" s="22">
        <v>582.71517164297654</v>
      </c>
      <c r="H2770" s="20">
        <f ca="1">NOW() - TIME(5,30,0) + (VLOOKUP(MasterTable[[#This Row],[TimeZone]], $O$3:$P$8, 2, FALSE) / 24)</f>
        <v>45990.531878125003</v>
      </c>
      <c r="I2770" s="1" t="s">
        <v>1944</v>
      </c>
      <c r="J2770" s="1">
        <v>901.59</v>
      </c>
      <c r="K2770" s="11"/>
      <c r="L2770" s="13"/>
      <c r="M2770" s="13"/>
    </row>
    <row r="2771" spans="1:13" x14ac:dyDescent="0.25">
      <c r="A2771" s="1" t="s">
        <v>7</v>
      </c>
      <c r="B2771" s="1" t="s">
        <v>8</v>
      </c>
      <c r="C2771" s="1" t="s">
        <v>1899</v>
      </c>
      <c r="D2771" s="1">
        <v>33.974600000000002</v>
      </c>
      <c r="E2771" s="1">
        <v>-99.778000000000006</v>
      </c>
      <c r="F2771" s="1" t="s">
        <v>1922</v>
      </c>
      <c r="G2771" s="22">
        <v>656.24974616994814</v>
      </c>
      <c r="H2771" s="20">
        <f ca="1">NOW() - TIME(5,30,0) + (VLOOKUP(MasterTable[[#This Row],[TimeZone]], $O$3:$P$8, 2, FALSE) / 24)</f>
        <v>45990.531878125003</v>
      </c>
      <c r="I2771" s="1" t="s">
        <v>1944</v>
      </c>
      <c r="J2771" s="1">
        <v>707.69</v>
      </c>
      <c r="K2771" s="11"/>
      <c r="L2771" s="13"/>
      <c r="M2771" s="13"/>
    </row>
    <row r="2772" spans="1:13" x14ac:dyDescent="0.25">
      <c r="A2772" s="1" t="s">
        <v>7</v>
      </c>
      <c r="B2772" s="1" t="s">
        <v>8</v>
      </c>
      <c r="C2772" s="1" t="s">
        <v>1900</v>
      </c>
      <c r="D2772" s="1">
        <v>31.869399999999999</v>
      </c>
      <c r="E2772" s="1">
        <v>-101.52079999999999</v>
      </c>
      <c r="F2772" s="1" t="s">
        <v>1922</v>
      </c>
      <c r="G2772" s="22">
        <v>551.24335407900378</v>
      </c>
      <c r="H2772" s="20">
        <f ca="1">NOW() - TIME(5,30,0) + (VLOOKUP(MasterTable[[#This Row],[TimeZone]], $O$3:$P$8, 2, FALSE) / 24)</f>
        <v>45990.531878125003</v>
      </c>
      <c r="I2772" s="1" t="s">
        <v>1944</v>
      </c>
      <c r="J2772" s="1">
        <v>900.93</v>
      </c>
      <c r="K2772" s="11"/>
      <c r="L2772" s="13"/>
      <c r="M2772" s="13"/>
    </row>
    <row r="2773" spans="1:13" x14ac:dyDescent="0.25">
      <c r="A2773" s="1" t="s">
        <v>7</v>
      </c>
      <c r="B2773" s="1" t="s">
        <v>8</v>
      </c>
      <c r="C2773" s="1" t="s">
        <v>1588</v>
      </c>
      <c r="D2773" s="1">
        <v>30.225000000000001</v>
      </c>
      <c r="E2773" s="1">
        <v>-102.0765</v>
      </c>
      <c r="F2773" s="1" t="s">
        <v>1922</v>
      </c>
      <c r="G2773" s="22">
        <v>540.64248961022724</v>
      </c>
      <c r="H2773" s="20">
        <f ca="1">NOW() - TIME(5,30,0) + (VLOOKUP(MasterTable[[#This Row],[TimeZone]], $O$3:$P$8, 2, FALSE) / 24)</f>
        <v>45990.531878125003</v>
      </c>
      <c r="I2773" s="1" t="s">
        <v>1944</v>
      </c>
      <c r="J2773" s="1">
        <v>337.63</v>
      </c>
      <c r="K2773" s="11"/>
      <c r="L2773" s="13"/>
      <c r="M2773" s="13"/>
    </row>
    <row r="2774" spans="1:13" x14ac:dyDescent="0.25">
      <c r="A2774" s="1" t="s">
        <v>7</v>
      </c>
      <c r="B2774" s="1" t="s">
        <v>8</v>
      </c>
      <c r="C2774" s="1" t="s">
        <v>1545</v>
      </c>
      <c r="D2774" s="1">
        <v>35.8384</v>
      </c>
      <c r="E2774" s="1">
        <v>-100.81359999999999</v>
      </c>
      <c r="F2774" s="1" t="s">
        <v>1922</v>
      </c>
      <c r="G2774" s="22">
        <v>630.30225308524189</v>
      </c>
      <c r="H2774" s="20">
        <f ca="1">NOW() - TIME(5,30,0) + (VLOOKUP(MasterTable[[#This Row],[TimeZone]], $O$3:$P$8, 2, FALSE) / 24)</f>
        <v>45990.531878125003</v>
      </c>
      <c r="I2774" s="1" t="s">
        <v>1944</v>
      </c>
      <c r="J2774" s="1">
        <v>1135.3499999999999</v>
      </c>
      <c r="K2774" s="11"/>
      <c r="L2774" s="13"/>
      <c r="M2774" s="13"/>
    </row>
    <row r="2775" spans="1:13" x14ac:dyDescent="0.25">
      <c r="A2775" s="1" t="s">
        <v>7</v>
      </c>
      <c r="B2775" s="1" t="s">
        <v>8</v>
      </c>
      <c r="C2775" s="1" t="s">
        <v>157</v>
      </c>
      <c r="D2775" s="1">
        <v>33.1813</v>
      </c>
      <c r="E2775" s="1">
        <v>-100.77760000000001</v>
      </c>
      <c r="F2775" s="1" t="s">
        <v>1922</v>
      </c>
      <c r="G2775" s="22">
        <v>593.58557109627657</v>
      </c>
      <c r="H2775" s="20">
        <f ca="1">NOW() - TIME(5,30,0) + (VLOOKUP(MasterTable[[#This Row],[TimeZone]], $O$3:$P$8, 2, FALSE) / 24)</f>
        <v>45990.531878125003</v>
      </c>
      <c r="I2775" s="1" t="s">
        <v>1944</v>
      </c>
      <c r="J2775" s="1">
        <v>800.12</v>
      </c>
      <c r="K2775" s="11"/>
      <c r="L2775" s="13"/>
      <c r="M2775" s="13"/>
    </row>
    <row r="2776" spans="1:13" x14ac:dyDescent="0.25">
      <c r="A2776" s="1" t="s">
        <v>7</v>
      </c>
      <c r="B2776" s="1" t="s">
        <v>8</v>
      </c>
      <c r="C2776" s="1" t="s">
        <v>1911</v>
      </c>
      <c r="D2776" s="1">
        <v>32.743600000000001</v>
      </c>
      <c r="E2776" s="1">
        <v>-101.43170000000001</v>
      </c>
      <c r="F2776" s="1" t="s">
        <v>1922</v>
      </c>
      <c r="G2776" s="22">
        <v>554.41549763393618</v>
      </c>
      <c r="H2776" s="20">
        <f ca="1">NOW() - TIME(5,30,0) + (VLOOKUP(MasterTable[[#This Row],[TimeZone]], $O$3:$P$8, 2, FALSE) / 24)</f>
        <v>45990.531878125003</v>
      </c>
      <c r="I2776" s="1" t="s">
        <v>1944</v>
      </c>
      <c r="J2776" s="1">
        <v>906.04</v>
      </c>
      <c r="K2776" s="11"/>
      <c r="L2776" s="13"/>
      <c r="M2776" s="13"/>
    </row>
    <row r="2777" spans="1:13" x14ac:dyDescent="0.25">
      <c r="A2777" s="1" t="s">
        <v>7</v>
      </c>
      <c r="B2777" s="1" t="s">
        <v>8</v>
      </c>
      <c r="C2777" s="1" t="s">
        <v>1913</v>
      </c>
      <c r="D2777" s="1">
        <v>28.352599999999999</v>
      </c>
      <c r="E2777" s="1">
        <v>-98.567899999999995</v>
      </c>
      <c r="F2777" s="1" t="s">
        <v>1922</v>
      </c>
      <c r="G2777" s="22">
        <v>783.75076947175285</v>
      </c>
      <c r="H2777" s="20">
        <f ca="1">NOW() - TIME(5,30,0) + (VLOOKUP(MasterTable[[#This Row],[TimeZone]], $O$3:$P$8, 2, FALSE) / 24)</f>
        <v>45990.531878125003</v>
      </c>
      <c r="I2777" s="1" t="s">
        <v>1944</v>
      </c>
      <c r="J2777" s="1">
        <v>1142.5999999999999</v>
      </c>
      <c r="K2777" s="11"/>
      <c r="L2777" s="13"/>
      <c r="M2777" s="13"/>
    </row>
    <row r="2778" spans="1:13" x14ac:dyDescent="0.25">
      <c r="A2778" s="1" t="s">
        <v>7</v>
      </c>
      <c r="B2778" s="1" t="s">
        <v>8</v>
      </c>
      <c r="C2778" s="1" t="s">
        <v>26</v>
      </c>
      <c r="D2778" s="1">
        <v>33.616500000000002</v>
      </c>
      <c r="E2778" s="1">
        <v>-100.25579999999999</v>
      </c>
      <c r="F2778" s="1" t="s">
        <v>1922</v>
      </c>
      <c r="G2778" s="22">
        <v>626.09762838444647</v>
      </c>
      <c r="H2778" s="20">
        <f ca="1">NOW() - TIME(5,30,0) + (VLOOKUP(MasterTable[[#This Row],[TimeZone]], $O$3:$P$8, 2, FALSE) / 24)</f>
        <v>45990.531878125003</v>
      </c>
      <c r="I2778" s="1" t="s">
        <v>1944</v>
      </c>
      <c r="J2778" s="1">
        <v>913.33</v>
      </c>
      <c r="K2778" s="11"/>
      <c r="L2778" s="13"/>
      <c r="M2778" s="13"/>
    </row>
    <row r="2779" spans="1:13" x14ac:dyDescent="0.25">
      <c r="A2779" s="1" t="s">
        <v>7</v>
      </c>
      <c r="B2779" s="1" t="s">
        <v>8</v>
      </c>
      <c r="C2779" s="1" t="s">
        <v>1919</v>
      </c>
      <c r="D2779" s="1">
        <v>31.849299999999999</v>
      </c>
      <c r="E2779" s="1">
        <v>-103.58</v>
      </c>
      <c r="F2779" s="1" t="s">
        <v>1922</v>
      </c>
      <c r="G2779" s="22">
        <v>431.00813078621132</v>
      </c>
      <c r="H2779" s="20">
        <f ca="1">NOW() - TIME(5,30,0) + (VLOOKUP(MasterTable[[#This Row],[TimeZone]], $O$3:$P$8, 2, FALSE) / 24)</f>
        <v>45990.531878125003</v>
      </c>
      <c r="I2779" s="1" t="s">
        <v>1944</v>
      </c>
      <c r="J2779" s="1">
        <v>676.85</v>
      </c>
      <c r="K2779" s="11"/>
      <c r="L2779" s="13"/>
      <c r="M2779" s="13"/>
    </row>
    <row r="2780" spans="1:13" x14ac:dyDescent="0.25">
      <c r="A2780" s="1" t="s">
        <v>7</v>
      </c>
      <c r="B2780" s="1" t="s">
        <v>8</v>
      </c>
      <c r="C2780" s="1" t="s">
        <v>1920</v>
      </c>
      <c r="D2780" s="1">
        <v>26.9285</v>
      </c>
      <c r="E2780" s="1">
        <v>-97.701700000000002</v>
      </c>
      <c r="F2780" s="1" t="s">
        <v>1922</v>
      </c>
      <c r="G2780" s="22">
        <v>873.96570756410767</v>
      </c>
      <c r="H2780" s="20">
        <f ca="1">NOW() - TIME(5,30,0) + (VLOOKUP(MasterTable[[#This Row],[TimeZone]], $O$3:$P$8, 2, FALSE) / 24)</f>
        <v>45990.531878125003</v>
      </c>
      <c r="I2780" s="1" t="s">
        <v>1944</v>
      </c>
      <c r="J2780" s="1">
        <v>1945.6</v>
      </c>
      <c r="K2780" s="11"/>
      <c r="L2780" s="13"/>
      <c r="M2780" s="13"/>
    </row>
    <row r="2781" spans="1:13" x14ac:dyDescent="0.25">
      <c r="A2781" s="1" t="s">
        <v>61</v>
      </c>
      <c r="B2781" s="1" t="s">
        <v>62</v>
      </c>
      <c r="C2781" s="1" t="s">
        <v>60</v>
      </c>
      <c r="D2781" s="1">
        <v>40.667299999999997</v>
      </c>
      <c r="E2781" s="1">
        <v>-111.92359999999999</v>
      </c>
      <c r="F2781" s="1" t="s">
        <v>1923</v>
      </c>
      <c r="G2781" s="22">
        <v>586.1839504143054</v>
      </c>
      <c r="H2781" s="20">
        <f ca="1">NOW() - TIME(5,30,0) + (VLOOKUP(MasterTable[[#This Row],[TimeZone]], $O$3:$P$8, 2, FALSE) / 24)</f>
        <v>45990.490211458338</v>
      </c>
      <c r="I2781" s="1" t="s">
        <v>1944</v>
      </c>
      <c r="J2781" s="1">
        <v>807.78</v>
      </c>
      <c r="K2781" s="11"/>
      <c r="L2781" s="13"/>
      <c r="M2781" s="13"/>
    </row>
    <row r="2782" spans="1:13" x14ac:dyDescent="0.25">
      <c r="A2782" s="1" t="s">
        <v>61</v>
      </c>
      <c r="B2782" s="1" t="s">
        <v>62</v>
      </c>
      <c r="C2782" s="1" t="s">
        <v>62</v>
      </c>
      <c r="D2782" s="1">
        <v>40.119900000000001</v>
      </c>
      <c r="E2782" s="1">
        <v>-111.67019999999999</v>
      </c>
      <c r="F2782" s="1" t="s">
        <v>1923</v>
      </c>
      <c r="G2782" s="22">
        <v>547.31440459537873</v>
      </c>
      <c r="H2782" s="20">
        <f ca="1">NOW() - TIME(5,30,0) + (VLOOKUP(MasterTable[[#This Row],[TimeZone]], $O$3:$P$8, 2, FALSE) / 24)</f>
        <v>45990.490211458338</v>
      </c>
      <c r="I2782" s="1" t="s">
        <v>1944</v>
      </c>
      <c r="J2782" s="1">
        <v>2140.98</v>
      </c>
      <c r="K2782" s="11"/>
      <c r="L2782" s="13"/>
      <c r="M2782" s="13"/>
    </row>
    <row r="2783" spans="1:13" x14ac:dyDescent="0.25">
      <c r="A2783" s="1" t="s">
        <v>61</v>
      </c>
      <c r="B2783" s="1" t="s">
        <v>62</v>
      </c>
      <c r="C2783" s="1" t="s">
        <v>260</v>
      </c>
      <c r="D2783" s="1">
        <v>40.99</v>
      </c>
      <c r="E2783" s="1">
        <v>-112.11150000000001</v>
      </c>
      <c r="F2783" s="1" t="s">
        <v>1923</v>
      </c>
      <c r="G2783" s="22">
        <v>609.4049970761638</v>
      </c>
      <c r="H2783" s="20">
        <f ca="1">NOW() - TIME(5,30,0) + (VLOOKUP(MasterTable[[#This Row],[TimeZone]], $O$3:$P$8, 2, FALSE) / 24)</f>
        <v>45990.490211458338</v>
      </c>
      <c r="I2783" s="1" t="s">
        <v>1944</v>
      </c>
      <c r="J2783" s="1">
        <v>504.89</v>
      </c>
      <c r="K2783" s="11"/>
      <c r="L2783" s="13"/>
      <c r="M2783" s="13"/>
    </row>
    <row r="2784" spans="1:13" x14ac:dyDescent="0.25">
      <c r="A2784" s="1" t="s">
        <v>61</v>
      </c>
      <c r="B2784" s="1" t="s">
        <v>62</v>
      </c>
      <c r="C2784" s="1" t="s">
        <v>319</v>
      </c>
      <c r="D2784" s="1">
        <v>41.269799999999996</v>
      </c>
      <c r="E2784" s="1">
        <v>-111.9134</v>
      </c>
      <c r="F2784" s="1" t="s">
        <v>1923</v>
      </c>
      <c r="G2784" s="22">
        <v>627.57193226597383</v>
      </c>
      <c r="H2784" s="20">
        <f ca="1">NOW() - TIME(5,30,0) + (VLOOKUP(MasterTable[[#This Row],[TimeZone]], $O$3:$P$8, 2, FALSE) / 24)</f>
        <v>45990.490211458338</v>
      </c>
      <c r="I2784" s="1" t="s">
        <v>1944</v>
      </c>
      <c r="J2784" s="1">
        <v>659.46</v>
      </c>
      <c r="K2784" s="15"/>
      <c r="L2784" s="18"/>
      <c r="M2784" s="13"/>
    </row>
    <row r="2785" spans="1:10" x14ac:dyDescent="0.25">
      <c r="A2785" s="1" t="s">
        <v>61</v>
      </c>
      <c r="B2785" s="1" t="s">
        <v>62</v>
      </c>
      <c r="C2785" s="1" t="s">
        <v>28</v>
      </c>
      <c r="D2785" s="1">
        <v>37.2804</v>
      </c>
      <c r="E2785" s="1">
        <v>-113.5047</v>
      </c>
      <c r="F2785" s="1" t="s">
        <v>1923</v>
      </c>
      <c r="G2785" s="22">
        <v>378.9071803479448</v>
      </c>
      <c r="H2785" s="20">
        <f ca="1">NOW() - TIME(5,30,0) + (VLOOKUP(MasterTable[[#This Row],[TimeZone]], $O$3:$P$8, 2, FALSE) / 24)</f>
        <v>45990.490211458338</v>
      </c>
      <c r="I2785" s="1" t="s">
        <v>1944</v>
      </c>
      <c r="J2785" s="1">
        <v>1088.54</v>
      </c>
    </row>
    <row r="2786" spans="1:10" x14ac:dyDescent="0.25">
      <c r="A2786" s="1" t="s">
        <v>61</v>
      </c>
      <c r="B2786" s="1" t="s">
        <v>62</v>
      </c>
      <c r="C2786" s="1" t="s">
        <v>491</v>
      </c>
      <c r="D2786" s="1">
        <v>41.722499999999997</v>
      </c>
      <c r="E2786" s="1">
        <v>-111.7436</v>
      </c>
      <c r="F2786" s="1" t="s">
        <v>1923</v>
      </c>
      <c r="G2786" s="22">
        <v>658.02059045683097</v>
      </c>
      <c r="H2786" s="20">
        <f ca="1">NOW() - TIME(5,30,0) + (VLOOKUP(MasterTable[[#This Row],[TimeZone]], $O$3:$P$8, 2, FALSE) / 24)</f>
        <v>45990.490211458338</v>
      </c>
      <c r="I2786" s="1" t="s">
        <v>1944</v>
      </c>
      <c r="J2786" s="1">
        <v>1173.07</v>
      </c>
    </row>
    <row r="2787" spans="1:10" x14ac:dyDescent="0.25">
      <c r="A2787" s="1" t="s">
        <v>61</v>
      </c>
      <c r="B2787" s="1" t="s">
        <v>62</v>
      </c>
      <c r="C2787" s="1" t="s">
        <v>687</v>
      </c>
      <c r="D2787" s="1">
        <v>40.448700000000002</v>
      </c>
      <c r="E2787" s="1">
        <v>-113.1311</v>
      </c>
      <c r="F2787" s="1" t="s">
        <v>1923</v>
      </c>
      <c r="G2787" s="22">
        <v>581.50103207469579</v>
      </c>
      <c r="H2787" s="20">
        <f ca="1">NOW() - TIME(5,30,0) + (VLOOKUP(MasterTable[[#This Row],[TimeZone]], $O$3:$P$8, 2, FALSE) / 24)</f>
        <v>45990.490211458338</v>
      </c>
      <c r="I2787" s="1" t="s">
        <v>1944</v>
      </c>
      <c r="J2787" s="1">
        <v>7287.12</v>
      </c>
    </row>
    <row r="2788" spans="1:10" x14ac:dyDescent="0.25">
      <c r="A2788" s="1" t="s">
        <v>61</v>
      </c>
      <c r="B2788" s="1" t="s">
        <v>62</v>
      </c>
      <c r="C2788" s="1" t="s">
        <v>776</v>
      </c>
      <c r="D2788" s="1">
        <v>37.859200000000001</v>
      </c>
      <c r="E2788" s="1">
        <v>-113.2895</v>
      </c>
      <c r="F2788" s="1" t="s">
        <v>1923</v>
      </c>
      <c r="G2788" s="22">
        <v>411.7938527112268</v>
      </c>
      <c r="H2788" s="20">
        <f ca="1">NOW() - TIME(5,30,0) + (VLOOKUP(MasterTable[[#This Row],[TimeZone]], $O$3:$P$8, 2, FALSE) / 24)</f>
        <v>45990.490211458338</v>
      </c>
      <c r="I2788" s="1" t="s">
        <v>1944</v>
      </c>
      <c r="J2788" s="1">
        <v>1211.02</v>
      </c>
    </row>
    <row r="2789" spans="1:10" x14ac:dyDescent="0.25">
      <c r="A2789" s="1" t="s">
        <v>61</v>
      </c>
      <c r="B2789" s="1" t="s">
        <v>62</v>
      </c>
      <c r="C2789" s="1" t="s">
        <v>782</v>
      </c>
      <c r="D2789" s="1">
        <v>41.521000000000001</v>
      </c>
      <c r="E2789" s="1">
        <v>-113.0821</v>
      </c>
      <c r="F2789" s="1" t="s">
        <v>1923</v>
      </c>
      <c r="G2789" s="22">
        <v>653.44910796030422</v>
      </c>
      <c r="H2789" s="20">
        <f ca="1">NOW() - TIME(5,30,0) + (VLOOKUP(MasterTable[[#This Row],[TimeZone]], $O$3:$P$8, 2, FALSE) / 24)</f>
        <v>45990.490211458338</v>
      </c>
      <c r="I2789" s="1" t="s">
        <v>1944</v>
      </c>
      <c r="J2789" s="1">
        <v>6729.03</v>
      </c>
    </row>
    <row r="2790" spans="1:10" x14ac:dyDescent="0.25">
      <c r="A2790" s="1" t="s">
        <v>61</v>
      </c>
      <c r="B2790" s="1" t="s">
        <v>62</v>
      </c>
      <c r="C2790" s="1" t="s">
        <v>187</v>
      </c>
      <c r="D2790" s="1">
        <v>40.868299999999998</v>
      </c>
      <c r="E2790" s="1">
        <v>-110.95569999999999</v>
      </c>
      <c r="F2790" s="1" t="s">
        <v>1923</v>
      </c>
      <c r="G2790" s="22">
        <v>597.46136703891386</v>
      </c>
      <c r="H2790" s="20">
        <f ca="1">NOW() - TIME(5,30,0) + (VLOOKUP(MasterTable[[#This Row],[TimeZone]], $O$3:$P$8, 2, FALSE) / 24)</f>
        <v>45990.490211458338</v>
      </c>
      <c r="I2790" s="1" t="s">
        <v>1944</v>
      </c>
      <c r="J2790" s="1">
        <v>619.25</v>
      </c>
    </row>
    <row r="2791" spans="1:10" x14ac:dyDescent="0.25">
      <c r="A2791" s="1" t="s">
        <v>61</v>
      </c>
      <c r="B2791" s="1" t="s">
        <v>62</v>
      </c>
      <c r="C2791" s="1" t="s">
        <v>1002</v>
      </c>
      <c r="D2791" s="1">
        <v>40.1248</v>
      </c>
      <c r="E2791" s="1">
        <v>-109.51860000000001</v>
      </c>
      <c r="F2791" s="1" t="s">
        <v>1923</v>
      </c>
      <c r="G2791" s="22">
        <v>551.67954151881702</v>
      </c>
      <c r="H2791" s="20">
        <f ca="1">NOW() - TIME(5,30,0) + (VLOOKUP(MasterTable[[#This Row],[TimeZone]], $O$3:$P$8, 2, FALSE) / 24)</f>
        <v>45990.490211458338</v>
      </c>
      <c r="I2791" s="1" t="s">
        <v>1944</v>
      </c>
      <c r="J2791" s="1">
        <v>4498.9799999999996</v>
      </c>
    </row>
    <row r="2792" spans="1:10" x14ac:dyDescent="0.25">
      <c r="A2792" s="1" t="s">
        <v>61</v>
      </c>
      <c r="B2792" s="1" t="s">
        <v>62</v>
      </c>
      <c r="C2792" s="1" t="s">
        <v>1011</v>
      </c>
      <c r="D2792" s="1">
        <v>40.330800000000004</v>
      </c>
      <c r="E2792" s="1">
        <v>-111.1682</v>
      </c>
      <c r="F2792" s="1" t="s">
        <v>1923</v>
      </c>
      <c r="G2792" s="22">
        <v>560.48025665207388</v>
      </c>
      <c r="H2792" s="20">
        <f ca="1">NOW() - TIME(5,30,0) + (VLOOKUP(MasterTable[[#This Row],[TimeZone]], $O$3:$P$8, 2, FALSE) / 24)</f>
        <v>45990.490211458338</v>
      </c>
      <c r="I2792" s="1" t="s">
        <v>1944</v>
      </c>
      <c r="J2792" s="1">
        <v>1209.17</v>
      </c>
    </row>
    <row r="2793" spans="1:10" x14ac:dyDescent="0.25">
      <c r="A2793" s="1" t="s">
        <v>61</v>
      </c>
      <c r="B2793" s="1" t="s">
        <v>62</v>
      </c>
      <c r="C2793" s="1" t="s">
        <v>1085</v>
      </c>
      <c r="D2793" s="1">
        <v>39.373899999999999</v>
      </c>
      <c r="E2793" s="1">
        <v>-111.5763</v>
      </c>
      <c r="F2793" s="1" t="s">
        <v>1923</v>
      </c>
      <c r="G2793" s="22">
        <v>495.53527050496956</v>
      </c>
      <c r="H2793" s="20">
        <f ca="1">NOW() - TIME(5,30,0) + (VLOOKUP(MasterTable[[#This Row],[TimeZone]], $O$3:$P$8, 2, FALSE) / 24)</f>
        <v>45990.490211458338</v>
      </c>
      <c r="I2793" s="1" t="s">
        <v>1944</v>
      </c>
      <c r="J2793" s="1">
        <v>1602.66</v>
      </c>
    </row>
    <row r="2794" spans="1:10" x14ac:dyDescent="0.25">
      <c r="A2794" s="1" t="s">
        <v>61</v>
      </c>
      <c r="B2794" s="1" t="s">
        <v>62</v>
      </c>
      <c r="C2794" s="1" t="s">
        <v>599</v>
      </c>
      <c r="D2794" s="1">
        <v>38.747700000000002</v>
      </c>
      <c r="E2794" s="1">
        <v>-111.80459999999999</v>
      </c>
      <c r="F2794" s="1" t="s">
        <v>1923</v>
      </c>
      <c r="G2794" s="22">
        <v>453.62191970815451</v>
      </c>
      <c r="H2794" s="20">
        <f ca="1">NOW() - TIME(5,30,0) + (VLOOKUP(MasterTable[[#This Row],[TimeZone]], $O$3:$P$8, 2, FALSE) / 24)</f>
        <v>45990.490211458338</v>
      </c>
      <c r="I2794" s="1" t="s">
        <v>1944</v>
      </c>
      <c r="J2794" s="1">
        <v>581.35</v>
      </c>
    </row>
    <row r="2795" spans="1:10" x14ac:dyDescent="0.25">
      <c r="A2795" s="1" t="s">
        <v>61</v>
      </c>
      <c r="B2795" s="1" t="s">
        <v>62</v>
      </c>
      <c r="C2795" s="1" t="s">
        <v>745</v>
      </c>
      <c r="D2795" s="1">
        <v>39.648099999999999</v>
      </c>
      <c r="E2795" s="1">
        <v>-110.5887</v>
      </c>
      <c r="F2795" s="1" t="s">
        <v>1923</v>
      </c>
      <c r="G2795" s="22">
        <v>513.49295297768992</v>
      </c>
      <c r="H2795" s="20">
        <f ca="1">NOW() - TIME(5,30,0) + (VLOOKUP(MasterTable[[#This Row],[TimeZone]], $O$3:$P$8, 2, FALSE) / 24)</f>
        <v>45990.490211458338</v>
      </c>
      <c r="I2795" s="1" t="s">
        <v>1944</v>
      </c>
      <c r="J2795" s="1">
        <v>2062.19</v>
      </c>
    </row>
    <row r="2796" spans="1:10" x14ac:dyDescent="0.25">
      <c r="A2796" s="1" t="s">
        <v>61</v>
      </c>
      <c r="B2796" s="1" t="s">
        <v>62</v>
      </c>
      <c r="C2796" s="1" t="s">
        <v>1279</v>
      </c>
      <c r="D2796" s="1">
        <v>40.298200000000001</v>
      </c>
      <c r="E2796" s="1">
        <v>-110.4252</v>
      </c>
      <c r="F2796" s="1" t="s">
        <v>1923</v>
      </c>
      <c r="G2796" s="22">
        <v>558.7621280466999</v>
      </c>
      <c r="H2796" s="20">
        <f ca="1">NOW() - TIME(5,30,0) + (VLOOKUP(MasterTable[[#This Row],[TimeZone]], $O$3:$P$8, 2, FALSE) / 24)</f>
        <v>45990.490211458338</v>
      </c>
      <c r="I2796" s="1" t="s">
        <v>1944</v>
      </c>
      <c r="J2796" s="1">
        <v>3255.97</v>
      </c>
    </row>
    <row r="2797" spans="1:10" x14ac:dyDescent="0.25">
      <c r="A2797" s="1" t="s">
        <v>61</v>
      </c>
      <c r="B2797" s="1" t="s">
        <v>62</v>
      </c>
      <c r="C2797" s="1" t="s">
        <v>527</v>
      </c>
      <c r="D2797" s="1">
        <v>37.625999999999998</v>
      </c>
      <c r="E2797" s="1">
        <v>-109.80459999999999</v>
      </c>
      <c r="F2797" s="1" t="s">
        <v>1923</v>
      </c>
      <c r="G2797" s="22">
        <v>378.78492271229004</v>
      </c>
      <c r="H2797" s="20">
        <f ca="1">NOW() - TIME(5,30,0) + (VLOOKUP(MasterTable[[#This Row],[TimeZone]], $O$3:$P$8, 2, FALSE) / 24)</f>
        <v>45990.490211458338</v>
      </c>
      <c r="I2797" s="1" t="s">
        <v>1944</v>
      </c>
      <c r="J2797" s="1">
        <v>388.29</v>
      </c>
    </row>
    <row r="2798" spans="1:10" x14ac:dyDescent="0.25">
      <c r="A2798" s="1" t="s">
        <v>61</v>
      </c>
      <c r="B2798" s="1" t="s">
        <v>62</v>
      </c>
      <c r="C2798" s="1" t="s">
        <v>1460</v>
      </c>
      <c r="D2798" s="1">
        <v>39.073300000000003</v>
      </c>
      <c r="E2798" s="1">
        <v>-113.10080000000001</v>
      </c>
      <c r="F2798" s="1" t="s">
        <v>1923</v>
      </c>
      <c r="G2798" s="22">
        <v>488.87053779328193</v>
      </c>
      <c r="H2798" s="20">
        <f ca="1">NOW() - TIME(5,30,0) + (VLOOKUP(MasterTable[[#This Row],[TimeZone]], $O$3:$P$8, 2, FALSE) / 24)</f>
        <v>45990.490211458338</v>
      </c>
      <c r="I2798" s="1" t="s">
        <v>1944</v>
      </c>
      <c r="J2798" s="1">
        <v>6828.01</v>
      </c>
    </row>
    <row r="2799" spans="1:10" x14ac:dyDescent="0.25">
      <c r="A2799" s="1" t="s">
        <v>61</v>
      </c>
      <c r="B2799" s="1" t="s">
        <v>62</v>
      </c>
      <c r="C2799" s="1" t="s">
        <v>521</v>
      </c>
      <c r="D2799" s="1">
        <v>41.089300000000001</v>
      </c>
      <c r="E2799" s="1">
        <v>-111.5732</v>
      </c>
      <c r="F2799" s="1" t="s">
        <v>1923</v>
      </c>
      <c r="G2799" s="22">
        <v>613.77195078102579</v>
      </c>
      <c r="H2799" s="20">
        <f ca="1">NOW() - TIME(5,30,0) + (VLOOKUP(MasterTable[[#This Row],[TimeZone]], $O$3:$P$8, 2, FALSE) / 24)</f>
        <v>45990.490211458338</v>
      </c>
      <c r="I2799" s="1" t="s">
        <v>1944</v>
      </c>
      <c r="J2799" s="1">
        <v>599.05999999999995</v>
      </c>
    </row>
    <row r="2800" spans="1:10" x14ac:dyDescent="0.25">
      <c r="A2800" s="1" t="s">
        <v>61</v>
      </c>
      <c r="B2800" s="1" t="s">
        <v>62</v>
      </c>
      <c r="C2800" s="1" t="s">
        <v>1492</v>
      </c>
      <c r="D2800" s="1">
        <v>39.7027</v>
      </c>
      <c r="E2800" s="1">
        <v>-112.7848</v>
      </c>
      <c r="F2800" s="1" t="s">
        <v>1923</v>
      </c>
      <c r="G2800" s="22">
        <v>527.22571887743766</v>
      </c>
      <c r="H2800" s="20">
        <f ca="1">NOW() - TIME(5,30,0) + (VLOOKUP(MasterTable[[#This Row],[TimeZone]], $O$3:$P$8, 2, FALSE) / 24)</f>
        <v>45990.490211458338</v>
      </c>
      <c r="I2800" s="1" t="s">
        <v>1944</v>
      </c>
      <c r="J2800" s="1">
        <v>3406.28</v>
      </c>
    </row>
    <row r="2801" spans="1:10" x14ac:dyDescent="0.25">
      <c r="A2801" s="1" t="s">
        <v>61</v>
      </c>
      <c r="B2801" s="1" t="s">
        <v>62</v>
      </c>
      <c r="C2801" s="1" t="s">
        <v>1553</v>
      </c>
      <c r="D2801" s="1">
        <v>38.996699999999997</v>
      </c>
      <c r="E2801" s="1">
        <v>-110.70059999999999</v>
      </c>
      <c r="F2801" s="1" t="s">
        <v>1923</v>
      </c>
      <c r="G2801" s="22">
        <v>468.30760479124524</v>
      </c>
      <c r="H2801" s="20">
        <f ca="1">NOW() - TIME(5,30,0) + (VLOOKUP(MasterTable[[#This Row],[TimeZone]], $O$3:$P$8, 2, FALSE) / 24)</f>
        <v>45990.490211458338</v>
      </c>
      <c r="I2801" s="1" t="s">
        <v>1944</v>
      </c>
      <c r="J2801" s="1">
        <v>4461.54</v>
      </c>
    </row>
    <row r="2802" spans="1:10" x14ac:dyDescent="0.25">
      <c r="A2802" s="1" t="s">
        <v>61</v>
      </c>
      <c r="B2802" s="1" t="s">
        <v>62</v>
      </c>
      <c r="C2802" s="1" t="s">
        <v>1383</v>
      </c>
      <c r="D2802" s="1">
        <v>38.981999999999999</v>
      </c>
      <c r="E2802" s="1">
        <v>-109.5698</v>
      </c>
      <c r="F2802" s="1" t="s">
        <v>1923</v>
      </c>
      <c r="G2802" s="22">
        <v>473.28012056370898</v>
      </c>
      <c r="H2802" s="20">
        <f ca="1">NOW() - TIME(5,30,0) + (VLOOKUP(MasterTable[[#This Row],[TimeZone]], $O$3:$P$8, 2, FALSE) / 24)</f>
        <v>45990.490211458338</v>
      </c>
      <c r="I2802" s="1" t="s">
        <v>1944</v>
      </c>
      <c r="J2802" s="1">
        <v>1869.6</v>
      </c>
    </row>
    <row r="2803" spans="1:10" x14ac:dyDescent="0.25">
      <c r="A2803" s="1" t="s">
        <v>61</v>
      </c>
      <c r="B2803" s="1" t="s">
        <v>62</v>
      </c>
      <c r="C2803" s="1" t="s">
        <v>196</v>
      </c>
      <c r="D2803" s="1">
        <v>37.2851</v>
      </c>
      <c r="E2803" s="1">
        <v>-111.8878</v>
      </c>
      <c r="F2803" s="1" t="s">
        <v>1923</v>
      </c>
      <c r="G2803" s="22">
        <v>354.09281463908252</v>
      </c>
      <c r="H2803" s="20">
        <f ca="1">NOW() - TIME(5,30,0) + (VLOOKUP(MasterTable[[#This Row],[TimeZone]], $O$3:$P$8, 2, FALSE) / 24)</f>
        <v>45990.490211458338</v>
      </c>
      <c r="I2803" s="1" t="s">
        <v>1944</v>
      </c>
      <c r="J2803" s="1">
        <v>524.08000000000004</v>
      </c>
    </row>
    <row r="2804" spans="1:10" x14ac:dyDescent="0.25">
      <c r="A2804" s="1" t="s">
        <v>61</v>
      </c>
      <c r="B2804" s="1" t="s">
        <v>62</v>
      </c>
      <c r="C2804" s="1" t="s">
        <v>438</v>
      </c>
      <c r="D2804" s="1">
        <v>38.356999999999999</v>
      </c>
      <c r="E2804" s="1">
        <v>-113.2355</v>
      </c>
      <c r="F2804" s="1" t="s">
        <v>1923</v>
      </c>
      <c r="G2804" s="22">
        <v>443.43950952184463</v>
      </c>
      <c r="H2804" s="20">
        <f ca="1">NOW() - TIME(5,30,0) + (VLOOKUP(MasterTable[[#This Row],[TimeZone]], $O$3:$P$8, 2, FALSE) / 24)</f>
        <v>45990.490211458338</v>
      </c>
      <c r="I2804" s="1" t="s">
        <v>1944</v>
      </c>
      <c r="J2804" s="1">
        <v>1817.58</v>
      </c>
    </row>
    <row r="2805" spans="1:10" x14ac:dyDescent="0.25">
      <c r="A2805" s="1" t="s">
        <v>61</v>
      </c>
      <c r="B2805" s="1" t="s">
        <v>62</v>
      </c>
      <c r="C2805" s="1" t="s">
        <v>765</v>
      </c>
      <c r="D2805" s="1">
        <v>37.854900000000001</v>
      </c>
      <c r="E2805" s="1">
        <v>-111.4432</v>
      </c>
      <c r="F2805" s="1" t="s">
        <v>1923</v>
      </c>
      <c r="G2805" s="22">
        <v>390.33446960000367</v>
      </c>
      <c r="H2805" s="20">
        <f ca="1">NOW() - TIME(5,30,0) + (VLOOKUP(MasterTable[[#This Row],[TimeZone]], $O$3:$P$8, 2, FALSE) / 24)</f>
        <v>45990.490211458338</v>
      </c>
      <c r="I2805" s="1" t="s">
        <v>1944</v>
      </c>
      <c r="J2805" s="1">
        <v>2955.76</v>
      </c>
    </row>
    <row r="2806" spans="1:10" x14ac:dyDescent="0.25">
      <c r="A2806" s="1" t="s">
        <v>61</v>
      </c>
      <c r="B2806" s="1" t="s">
        <v>62</v>
      </c>
      <c r="C2806" s="1" t="s">
        <v>1837</v>
      </c>
      <c r="D2806" s="1">
        <v>41.632300000000001</v>
      </c>
      <c r="E2806" s="1">
        <v>-111.2445</v>
      </c>
      <c r="F2806" s="1" t="s">
        <v>1923</v>
      </c>
      <c r="G2806" s="22">
        <v>650.48549839151553</v>
      </c>
      <c r="H2806" s="20">
        <f ca="1">NOW() - TIME(5,30,0) + (VLOOKUP(MasterTable[[#This Row],[TimeZone]], $O$3:$P$8, 2, FALSE) / 24)</f>
        <v>45990.490211458338</v>
      </c>
      <c r="I2806" s="1" t="s">
        <v>1944</v>
      </c>
      <c r="J2806" s="1">
        <v>1086.29</v>
      </c>
    </row>
    <row r="2807" spans="1:10" x14ac:dyDescent="0.25">
      <c r="A2807" s="1" t="s">
        <v>61</v>
      </c>
      <c r="B2807" s="1" t="s">
        <v>62</v>
      </c>
      <c r="C2807" s="1" t="s">
        <v>34</v>
      </c>
      <c r="D2807" s="1">
        <v>38.324399999999997</v>
      </c>
      <c r="E2807" s="1">
        <v>-110.9038</v>
      </c>
      <c r="F2807" s="1" t="s">
        <v>1923</v>
      </c>
      <c r="G2807" s="22">
        <v>421.68377227034603</v>
      </c>
      <c r="H2807" s="20">
        <f ca="1">NOW() - TIME(5,30,0) + (VLOOKUP(MasterTable[[#This Row],[TimeZone]], $O$3:$P$8, 2, FALSE) / 24)</f>
        <v>45990.490211458338</v>
      </c>
      <c r="I2807" s="1" t="s">
        <v>1944</v>
      </c>
      <c r="J2807" s="1">
        <v>648.79999999999995</v>
      </c>
    </row>
    <row r="2808" spans="1:10" x14ac:dyDescent="0.25">
      <c r="A2808" s="1" t="s">
        <v>61</v>
      </c>
      <c r="B2808" s="1" t="s">
        <v>62</v>
      </c>
      <c r="C2808" s="1" t="s">
        <v>1876</v>
      </c>
      <c r="D2808" s="1">
        <v>38.336599999999997</v>
      </c>
      <c r="E2808" s="1">
        <v>-112.12730000000001</v>
      </c>
      <c r="F2808" s="1" t="s">
        <v>1923</v>
      </c>
      <c r="G2808" s="22">
        <v>427.90677386754322</v>
      </c>
      <c r="H2808" s="20">
        <f ca="1">NOW() - TIME(5,30,0) + (VLOOKUP(MasterTable[[#This Row],[TimeZone]], $O$3:$P$8, 2, FALSE) / 24)</f>
        <v>45990.490211458338</v>
      </c>
      <c r="I2808" s="1" t="s">
        <v>1944</v>
      </c>
      <c r="J2808" s="1">
        <v>765.76</v>
      </c>
    </row>
    <row r="2809" spans="1:10" x14ac:dyDescent="0.25">
      <c r="A2809" s="1" t="s">
        <v>61</v>
      </c>
      <c r="B2809" s="1" t="s">
        <v>62</v>
      </c>
      <c r="C2809" s="1" t="s">
        <v>1910</v>
      </c>
      <c r="D2809" s="1">
        <v>40.887300000000003</v>
      </c>
      <c r="E2809" s="1">
        <v>-109.5077</v>
      </c>
      <c r="F2809" s="1" t="s">
        <v>1923</v>
      </c>
      <c r="G2809" s="22">
        <v>603.90248864983926</v>
      </c>
      <c r="H2809" s="20">
        <f ca="1">NOW() - TIME(5,30,0) + (VLOOKUP(MasterTable[[#This Row],[TimeZone]], $O$3:$P$8, 2, FALSE) / 24)</f>
        <v>45990.490211458338</v>
      </c>
      <c r="I2809" s="1" t="s">
        <v>1944</v>
      </c>
      <c r="J2809" s="1">
        <v>723.06</v>
      </c>
    </row>
    <row r="2810" spans="1:10" x14ac:dyDescent="0.25">
      <c r="A2810" s="1" t="s">
        <v>68</v>
      </c>
      <c r="B2810" s="1" t="s">
        <v>69</v>
      </c>
      <c r="C2810" s="1" t="s">
        <v>67</v>
      </c>
      <c r="D2810" s="1">
        <v>38.836799999999997</v>
      </c>
      <c r="E2810" s="1">
        <v>-77.277000000000001</v>
      </c>
      <c r="F2810" s="1" t="s">
        <v>1925</v>
      </c>
      <c r="G2810" s="22">
        <v>1934.9071068652247</v>
      </c>
      <c r="H2810" s="20">
        <f ca="1">NOW() - TIME(5,30,0) + (VLOOKUP(MasterTable[[#This Row],[TimeZone]], $O$3:$P$8, 2, FALSE) / 24)</f>
        <v>45990.573544791667</v>
      </c>
      <c r="I2810" s="1" t="s">
        <v>1944</v>
      </c>
      <c r="J2810" s="1">
        <v>406.61</v>
      </c>
    </row>
    <row r="2811" spans="1:10" x14ac:dyDescent="0.25">
      <c r="A2811" s="1" t="s">
        <v>68</v>
      </c>
      <c r="B2811" s="1" t="s">
        <v>69</v>
      </c>
      <c r="C2811" s="1" t="s">
        <v>207</v>
      </c>
      <c r="D2811" s="1">
        <v>38.7029</v>
      </c>
      <c r="E2811" s="1">
        <v>-77.480900000000005</v>
      </c>
      <c r="F2811" s="1" t="s">
        <v>1925</v>
      </c>
      <c r="G2811" s="22">
        <v>1923.429356767364</v>
      </c>
      <c r="H2811" s="20">
        <f ca="1">NOW() - TIME(5,30,0) + (VLOOKUP(MasterTable[[#This Row],[TimeZone]], $O$3:$P$8, 2, FALSE) / 24)</f>
        <v>45990.573544791667</v>
      </c>
      <c r="I2811" s="1" t="s">
        <v>1944</v>
      </c>
      <c r="J2811" s="1">
        <v>348.36</v>
      </c>
    </row>
    <row r="2812" spans="1:10" x14ac:dyDescent="0.25">
      <c r="A2812" s="1" t="s">
        <v>68</v>
      </c>
      <c r="B2812" s="1" t="s">
        <v>69</v>
      </c>
      <c r="C2812" s="1" t="s">
        <v>214</v>
      </c>
      <c r="D2812" s="1">
        <v>36.733499999999999</v>
      </c>
      <c r="E2812" s="1">
        <v>-76.043499999999995</v>
      </c>
      <c r="F2812" s="1" t="s">
        <v>1925</v>
      </c>
      <c r="G2812" s="22">
        <v>2000.073749613895</v>
      </c>
      <c r="H2812" s="20">
        <f ca="1">NOW() - TIME(5,30,0) + (VLOOKUP(MasterTable[[#This Row],[TimeZone]], $O$3:$P$8, 2, FALSE) / 24)</f>
        <v>45990.573544791667</v>
      </c>
      <c r="I2812" s="1" t="s">
        <v>1944</v>
      </c>
      <c r="J2812" s="1">
        <v>497.33</v>
      </c>
    </row>
    <row r="2813" spans="1:10" x14ac:dyDescent="0.25">
      <c r="A2813" s="1" t="s">
        <v>68</v>
      </c>
      <c r="B2813" s="1" t="s">
        <v>69</v>
      </c>
      <c r="C2813" s="1" t="s">
        <v>227</v>
      </c>
      <c r="D2813" s="1">
        <v>39.090699999999998</v>
      </c>
      <c r="E2813" s="1">
        <v>-77.6357</v>
      </c>
      <c r="F2813" s="1" t="s">
        <v>1925</v>
      </c>
      <c r="G2813" s="22">
        <v>1916.7685300873661</v>
      </c>
      <c r="H2813" s="20">
        <f ca="1">NOW() - TIME(5,30,0) + (VLOOKUP(MasterTable[[#This Row],[TimeZone]], $O$3:$P$8, 2, FALSE) / 24)</f>
        <v>45990.573544791667</v>
      </c>
      <c r="I2813" s="1" t="s">
        <v>1944</v>
      </c>
      <c r="J2813" s="1">
        <v>521.1</v>
      </c>
    </row>
    <row r="2814" spans="1:10" x14ac:dyDescent="0.25">
      <c r="A2814" s="1" t="s">
        <v>68</v>
      </c>
      <c r="B2814" s="1" t="s">
        <v>69</v>
      </c>
      <c r="C2814" s="1" t="s">
        <v>256</v>
      </c>
      <c r="D2814" s="1">
        <v>37.378500000000003</v>
      </c>
      <c r="E2814" s="1">
        <v>-77.587000000000003</v>
      </c>
      <c r="F2814" s="1" t="s">
        <v>1925</v>
      </c>
      <c r="G2814" s="22">
        <v>1914.6503083550163</v>
      </c>
      <c r="H2814" s="20">
        <f ca="1">NOW() - TIME(5,30,0) + (VLOOKUP(MasterTable[[#This Row],[TimeZone]], $O$3:$P$8, 2, FALSE) / 24)</f>
        <v>45990.573544791667</v>
      </c>
      <c r="I2814" s="1" t="s">
        <v>1944</v>
      </c>
      <c r="J2814" s="1">
        <v>805.78</v>
      </c>
    </row>
    <row r="2815" spans="1:10" x14ac:dyDescent="0.25">
      <c r="A2815" s="1" t="s">
        <v>68</v>
      </c>
      <c r="B2815" s="1" t="s">
        <v>69</v>
      </c>
      <c r="C2815" s="1" t="s">
        <v>272</v>
      </c>
      <c r="D2815" s="1">
        <v>37.537999999999997</v>
      </c>
      <c r="E2815" s="1">
        <v>-77.405799999999999</v>
      </c>
      <c r="F2815" s="1" t="s">
        <v>1925</v>
      </c>
      <c r="G2815" s="22">
        <v>1924.7334331043328</v>
      </c>
      <c r="H2815" s="20">
        <f ca="1">NOW() - TIME(5,30,0) + (VLOOKUP(MasterTable[[#This Row],[TimeZone]], $O$3:$P$8, 2, FALSE) / 24)</f>
        <v>45990.573544791667</v>
      </c>
      <c r="I2815" s="1" t="s">
        <v>1944</v>
      </c>
      <c r="J2815" s="1">
        <v>244.6</v>
      </c>
    </row>
    <row r="2816" spans="1:10" x14ac:dyDescent="0.25">
      <c r="A2816" s="1" t="s">
        <v>68</v>
      </c>
      <c r="B2816" s="1" t="s">
        <v>69</v>
      </c>
      <c r="C2816" s="1" t="s">
        <v>329</v>
      </c>
      <c r="D2816" s="1">
        <v>36.677799999999998</v>
      </c>
      <c r="E2816" s="1">
        <v>-76.302300000000002</v>
      </c>
      <c r="F2816" s="1" t="s">
        <v>1925</v>
      </c>
      <c r="G2816" s="22">
        <v>1985.83746520811</v>
      </c>
      <c r="H2816" s="20">
        <f ca="1">NOW() - TIME(5,30,0) + (VLOOKUP(MasterTable[[#This Row],[TimeZone]], $O$3:$P$8, 2, FALSE) / 24)</f>
        <v>45990.573544791667</v>
      </c>
      <c r="I2816" s="1" t="s">
        <v>1944</v>
      </c>
      <c r="J2816" s="1">
        <v>350.9</v>
      </c>
    </row>
    <row r="2817" spans="1:10" x14ac:dyDescent="0.25">
      <c r="A2817" s="1" t="s">
        <v>68</v>
      </c>
      <c r="B2817" s="1" t="s">
        <v>69</v>
      </c>
      <c r="C2817" s="1" t="s">
        <v>341</v>
      </c>
      <c r="D2817" s="1">
        <v>38.878599999999999</v>
      </c>
      <c r="E2817" s="1">
        <v>-77.101100000000002</v>
      </c>
      <c r="F2817" s="1" t="s">
        <v>1925</v>
      </c>
      <c r="G2817" s="22">
        <v>1944.5177170416218</v>
      </c>
      <c r="H2817" s="20">
        <f ca="1">NOW() - TIME(5,30,0) + (VLOOKUP(MasterTable[[#This Row],[TimeZone]], $O$3:$P$8, 2, FALSE) / 24)</f>
        <v>45990.573544791667</v>
      </c>
      <c r="I2817" s="1" t="s">
        <v>1944</v>
      </c>
      <c r="J2817" s="1">
        <v>25.96</v>
      </c>
    </row>
    <row r="2818" spans="1:10" x14ac:dyDescent="0.25">
      <c r="A2818" s="1" t="s">
        <v>68</v>
      </c>
      <c r="B2818" s="1" t="s">
        <v>69</v>
      </c>
      <c r="C2818" s="1" t="s">
        <v>139</v>
      </c>
      <c r="D2818" s="1">
        <v>36.8947</v>
      </c>
      <c r="E2818" s="1">
        <v>-76.257000000000005</v>
      </c>
      <c r="F2818" s="1" t="s">
        <v>1925</v>
      </c>
      <c r="G2818" s="22">
        <v>1988.0242800274043</v>
      </c>
      <c r="H2818" s="20">
        <f ca="1">NOW() - TIME(5,30,0) + (VLOOKUP(MasterTable[[#This Row],[TimeZone]], $O$3:$P$8, 2, FALSE) / 24)</f>
        <v>45990.573544791667</v>
      </c>
      <c r="I2818" s="1" t="s">
        <v>1944</v>
      </c>
      <c r="J2818" s="1">
        <v>443.94</v>
      </c>
    </row>
    <row r="2819" spans="1:10" x14ac:dyDescent="0.25">
      <c r="A2819" s="1" t="s">
        <v>68</v>
      </c>
      <c r="B2819" s="1" t="s">
        <v>69</v>
      </c>
      <c r="C2819" s="1" t="s">
        <v>203</v>
      </c>
      <c r="D2819" s="1">
        <v>37.529400000000003</v>
      </c>
      <c r="E2819" s="1">
        <v>-77.4756</v>
      </c>
      <c r="F2819" s="1" t="s">
        <v>1925</v>
      </c>
      <c r="G2819" s="22">
        <v>1920.9002884789661</v>
      </c>
      <c r="H2819" s="20">
        <f ca="1">NOW() - TIME(5,30,0) + (VLOOKUP(MasterTable[[#This Row],[TimeZone]], $O$3:$P$8, 2, FALSE) / 24)</f>
        <v>45990.573544791667</v>
      </c>
      <c r="I2819" s="1" t="s">
        <v>1944</v>
      </c>
      <c r="J2819" s="1">
        <v>328.45</v>
      </c>
    </row>
    <row r="2820" spans="1:10" x14ac:dyDescent="0.25">
      <c r="A2820" s="1" t="s">
        <v>68</v>
      </c>
      <c r="B2820" s="1" t="s">
        <v>69</v>
      </c>
      <c r="C2820" s="1" t="s">
        <v>399</v>
      </c>
      <c r="D2820" s="1">
        <v>37.104999999999997</v>
      </c>
      <c r="E2820" s="1">
        <v>-76.518100000000004</v>
      </c>
      <c r="F2820" s="1" t="s">
        <v>1925</v>
      </c>
      <c r="G2820" s="22">
        <v>1973.4221000313773</v>
      </c>
      <c r="H2820" s="20">
        <f ca="1">NOW() - TIME(5,30,0) + (VLOOKUP(MasterTable[[#This Row],[TimeZone]], $O$3:$P$8, 2, FALSE) / 24)</f>
        <v>45990.573544791667</v>
      </c>
      <c r="I2820" s="1" t="s">
        <v>1944</v>
      </c>
      <c r="J2820" s="1">
        <v>119.05</v>
      </c>
    </row>
    <row r="2821" spans="1:10" x14ac:dyDescent="0.25">
      <c r="A2821" s="1" t="s">
        <v>68</v>
      </c>
      <c r="B2821" s="1" t="s">
        <v>69</v>
      </c>
      <c r="C2821" s="1" t="s">
        <v>451</v>
      </c>
      <c r="D2821" s="1">
        <v>38.420699999999997</v>
      </c>
      <c r="E2821" s="1">
        <v>-77.457999999999998</v>
      </c>
      <c r="F2821" s="1" t="s">
        <v>1925</v>
      </c>
      <c r="G2821" s="22">
        <v>1923.7027706882154</v>
      </c>
      <c r="H2821" s="20">
        <f ca="1">NOW() - TIME(5,30,0) + (VLOOKUP(MasterTable[[#This Row],[TimeZone]], $O$3:$P$8, 2, FALSE) / 24)</f>
        <v>45990.573544791667</v>
      </c>
      <c r="I2821" s="1" t="s">
        <v>1944</v>
      </c>
      <c r="J2821" s="1">
        <v>794.72</v>
      </c>
    </row>
    <row r="2822" spans="1:10" x14ac:dyDescent="0.25">
      <c r="A2822" s="1" t="s">
        <v>68</v>
      </c>
      <c r="B2822" s="1" t="s">
        <v>69</v>
      </c>
      <c r="C2822" s="1" t="s">
        <v>465</v>
      </c>
      <c r="D2822" s="1">
        <v>38.8185</v>
      </c>
      <c r="E2822" s="1">
        <v>-77.086100000000002</v>
      </c>
      <c r="F2822" s="1" t="s">
        <v>1925</v>
      </c>
      <c r="G2822" s="22">
        <v>1945.0988664616232</v>
      </c>
      <c r="H2822" s="20">
        <f ca="1">NOW() - TIME(5,30,0) + (VLOOKUP(MasterTable[[#This Row],[TimeZone]], $O$3:$P$8, 2, FALSE) / 24)</f>
        <v>45990.573544791667</v>
      </c>
      <c r="I2822" s="1" t="s">
        <v>1944</v>
      </c>
      <c r="J2822" s="1">
        <v>15.41</v>
      </c>
    </row>
    <row r="2823" spans="1:10" x14ac:dyDescent="0.25">
      <c r="A2823" s="1" t="s">
        <v>68</v>
      </c>
      <c r="B2823" s="1" t="s">
        <v>69</v>
      </c>
      <c r="C2823" s="1" t="s">
        <v>481</v>
      </c>
      <c r="D2823" s="1">
        <v>38.185099999999998</v>
      </c>
      <c r="E2823" s="1">
        <v>-77.656099999999995</v>
      </c>
      <c r="F2823" s="1" t="s">
        <v>1925</v>
      </c>
      <c r="G2823" s="22">
        <v>1912.2891552316548</v>
      </c>
      <c r="H2823" s="20">
        <f ca="1">NOW() - TIME(5,30,0) + (VLOOKUP(MasterTable[[#This Row],[TimeZone]], $O$3:$P$8, 2, FALSE) / 24)</f>
        <v>45990.573544791667</v>
      </c>
      <c r="I2823" s="1" t="s">
        <v>1944</v>
      </c>
      <c r="J2823" s="1">
        <v>412.27</v>
      </c>
    </row>
    <row r="2824" spans="1:10" x14ac:dyDescent="0.25">
      <c r="A2824" s="1" t="s">
        <v>68</v>
      </c>
      <c r="B2824" s="1" t="s">
        <v>69</v>
      </c>
      <c r="C2824" s="1" t="s">
        <v>490</v>
      </c>
      <c r="D2824" s="1">
        <v>37.055399999999999</v>
      </c>
      <c r="E2824" s="1">
        <v>-76.363200000000006</v>
      </c>
      <c r="F2824" s="1" t="s">
        <v>1925</v>
      </c>
      <c r="G2824" s="22">
        <v>1981.9959425308682</v>
      </c>
      <c r="H2824" s="20">
        <f ca="1">NOW() - TIME(5,30,0) + (VLOOKUP(MasterTable[[#This Row],[TimeZone]], $O$3:$P$8, 2, FALSE) / 24)</f>
        <v>45990.573544791667</v>
      </c>
      <c r="I2824" s="1" t="s">
        <v>1944</v>
      </c>
      <c r="J2824" s="1">
        <v>562.63</v>
      </c>
    </row>
    <row r="2825" spans="1:10" x14ac:dyDescent="0.25">
      <c r="A2825" s="1" t="s">
        <v>68</v>
      </c>
      <c r="B2825" s="1" t="s">
        <v>69</v>
      </c>
      <c r="C2825" s="1" t="s">
        <v>541</v>
      </c>
      <c r="D2825" s="1">
        <v>38.0229</v>
      </c>
      <c r="E2825" s="1">
        <v>-78.556700000000006</v>
      </c>
      <c r="F2825" s="1" t="s">
        <v>1925</v>
      </c>
      <c r="G2825" s="22">
        <v>1862.8964412596265</v>
      </c>
      <c r="H2825" s="20">
        <f ca="1">NOW() - TIME(5,30,0) + (VLOOKUP(MasterTable[[#This Row],[TimeZone]], $O$3:$P$8, 2, FALSE) / 24)</f>
        <v>45990.573544791667</v>
      </c>
      <c r="I2825" s="1" t="s">
        <v>1944</v>
      </c>
      <c r="J2825" s="1">
        <v>726.18</v>
      </c>
    </row>
    <row r="2826" spans="1:10" x14ac:dyDescent="0.25">
      <c r="A2826" s="1" t="s">
        <v>68</v>
      </c>
      <c r="B2826" s="1" t="s">
        <v>69</v>
      </c>
      <c r="C2826" s="1" t="s">
        <v>549</v>
      </c>
      <c r="D2826" s="1">
        <v>37.760100000000001</v>
      </c>
      <c r="E2826" s="1">
        <v>-77.491</v>
      </c>
      <c r="F2826" s="1" t="s">
        <v>1925</v>
      </c>
      <c r="G2826" s="22">
        <v>1920.3641697540731</v>
      </c>
      <c r="H2826" s="20">
        <f ca="1">NOW() - TIME(5,30,0) + (VLOOKUP(MasterTable[[#This Row],[TimeZone]], $O$3:$P$8, 2, FALSE) / 24)</f>
        <v>45990.573544791667</v>
      </c>
      <c r="I2826" s="1" t="s">
        <v>1944</v>
      </c>
      <c r="J2826" s="1">
        <v>474.08</v>
      </c>
    </row>
    <row r="2827" spans="1:10" x14ac:dyDescent="0.25">
      <c r="A2827" s="1" t="s">
        <v>68</v>
      </c>
      <c r="B2827" s="1" t="s">
        <v>69</v>
      </c>
      <c r="C2827" s="1" t="s">
        <v>75</v>
      </c>
      <c r="D2827" s="1">
        <v>37.174300000000002</v>
      </c>
      <c r="E2827" s="1">
        <v>-80.387200000000007</v>
      </c>
      <c r="F2827" s="1" t="s">
        <v>1925</v>
      </c>
      <c r="G2827" s="22">
        <v>1760.4021339485803</v>
      </c>
      <c r="H2827" s="20">
        <f ca="1">NOW() - TIME(5,30,0) + (VLOOKUP(MasterTable[[#This Row],[TimeZone]], $O$3:$P$8, 2, FALSE) / 24)</f>
        <v>45990.573544791667</v>
      </c>
      <c r="I2827" s="1" t="s">
        <v>1944</v>
      </c>
      <c r="J2827" s="1">
        <v>799.76</v>
      </c>
    </row>
    <row r="2828" spans="1:10" x14ac:dyDescent="0.25">
      <c r="A2828" s="1" t="s">
        <v>68</v>
      </c>
      <c r="B2828" s="1" t="s">
        <v>69</v>
      </c>
      <c r="C2828" s="1" t="s">
        <v>601</v>
      </c>
      <c r="D2828" s="1">
        <v>37.278500000000001</v>
      </c>
      <c r="E2828" s="1">
        <v>-79.957999999999998</v>
      </c>
      <c r="F2828" s="1" t="s">
        <v>1925</v>
      </c>
      <c r="G2828" s="22">
        <v>1784.2554968227005</v>
      </c>
      <c r="H2828" s="20">
        <f ca="1">NOW() - TIME(5,30,0) + (VLOOKUP(MasterTable[[#This Row],[TimeZone]], $O$3:$P$8, 2, FALSE) / 24)</f>
        <v>45990.573544791667</v>
      </c>
      <c r="I2828" s="1" t="s">
        <v>1944</v>
      </c>
      <c r="J2828" s="1">
        <v>251.04</v>
      </c>
    </row>
    <row r="2829" spans="1:10" x14ac:dyDescent="0.25">
      <c r="A2829" s="1" t="s">
        <v>68</v>
      </c>
      <c r="B2829" s="1" t="s">
        <v>69</v>
      </c>
      <c r="C2829" s="1" t="s">
        <v>606</v>
      </c>
      <c r="D2829" s="1">
        <v>36.845300000000002</v>
      </c>
      <c r="E2829" s="1">
        <v>-76.355400000000003</v>
      </c>
      <c r="F2829" s="1" t="s">
        <v>1925</v>
      </c>
      <c r="G2829" s="22">
        <v>1982.6486035717969</v>
      </c>
      <c r="H2829" s="20">
        <f ca="1">NOW() - TIME(5,30,0) + (VLOOKUP(MasterTable[[#This Row],[TimeZone]], $O$3:$P$8, 2, FALSE) / 24)</f>
        <v>45990.573544791667</v>
      </c>
      <c r="I2829" s="1" t="s">
        <v>1944</v>
      </c>
      <c r="J2829" s="1">
        <v>46.62</v>
      </c>
    </row>
    <row r="2830" spans="1:10" x14ac:dyDescent="0.25">
      <c r="A2830" s="1" t="s">
        <v>68</v>
      </c>
      <c r="B2830" s="1" t="s">
        <v>69</v>
      </c>
      <c r="C2830" s="1" t="s">
        <v>601</v>
      </c>
      <c r="D2830" s="1">
        <v>37.269300000000001</v>
      </c>
      <c r="E2830" s="1">
        <v>-80.067999999999998</v>
      </c>
      <c r="F2830" s="1" t="s">
        <v>1925</v>
      </c>
      <c r="G2830" s="22">
        <v>1778.1886156567048</v>
      </c>
      <c r="H2830" s="20">
        <f ca="1">NOW() - TIME(5,30,0) + (VLOOKUP(MasterTable[[#This Row],[TimeZone]], $O$3:$P$8, 2, FALSE) / 24)</f>
        <v>45990.573544791667</v>
      </c>
      <c r="I2830" s="1" t="s">
        <v>1944</v>
      </c>
      <c r="J2830" s="1">
        <v>251.04</v>
      </c>
    </row>
    <row r="2831" spans="1:10" x14ac:dyDescent="0.25">
      <c r="A2831" s="1" t="s">
        <v>68</v>
      </c>
      <c r="B2831" s="1" t="s">
        <v>69</v>
      </c>
      <c r="C2831" s="1" t="s">
        <v>45</v>
      </c>
      <c r="D2831" s="1">
        <v>36.695300000000003</v>
      </c>
      <c r="E2831" s="1">
        <v>-76.639799999999994</v>
      </c>
      <c r="F2831" s="1" t="s">
        <v>1925</v>
      </c>
      <c r="G2831" s="22">
        <v>1967.1138964613276</v>
      </c>
      <c r="H2831" s="20">
        <f ca="1">NOW() - TIME(5,30,0) + (VLOOKUP(MasterTable[[#This Row],[TimeZone]], $O$3:$P$8, 2, FALSE) / 24)</f>
        <v>45990.573544791667</v>
      </c>
      <c r="I2831" s="1" t="s">
        <v>1944</v>
      </c>
      <c r="J2831" s="1">
        <v>120.19</v>
      </c>
    </row>
    <row r="2832" spans="1:10" x14ac:dyDescent="0.25">
      <c r="A2832" s="1" t="s">
        <v>68</v>
      </c>
      <c r="B2832" s="1" t="s">
        <v>69</v>
      </c>
      <c r="C2832" s="1" t="s">
        <v>309</v>
      </c>
      <c r="D2832" s="1">
        <v>39.204599999999999</v>
      </c>
      <c r="E2832" s="1">
        <v>-78.262600000000006</v>
      </c>
      <c r="F2832" s="1" t="s">
        <v>1925</v>
      </c>
      <c r="G2832" s="22">
        <v>1883.8580882444046</v>
      </c>
      <c r="H2832" s="20">
        <f ca="1">NOW() - TIME(5,30,0) + (VLOOKUP(MasterTable[[#This Row],[TimeZone]], $O$3:$P$8, 2, FALSE) / 24)</f>
        <v>45990.573544791667</v>
      </c>
      <c r="I2832" s="1" t="s">
        <v>1944</v>
      </c>
      <c r="J2832" s="1">
        <v>667.34</v>
      </c>
    </row>
    <row r="2833" spans="1:10" x14ac:dyDescent="0.25">
      <c r="A2833" s="1" t="s">
        <v>68</v>
      </c>
      <c r="B2833" s="1" t="s">
        <v>69</v>
      </c>
      <c r="C2833" s="1" t="s">
        <v>280</v>
      </c>
      <c r="D2833" s="1">
        <v>38.512</v>
      </c>
      <c r="E2833" s="1">
        <v>-78.875699999999995</v>
      </c>
      <c r="F2833" s="1" t="s">
        <v>1925</v>
      </c>
      <c r="G2833" s="22">
        <v>1847.4645265305019</v>
      </c>
      <c r="H2833" s="20">
        <f ca="1">NOW() - TIME(5,30,0) + (VLOOKUP(MasterTable[[#This Row],[TimeZone]], $O$3:$P$8, 2, FALSE) / 24)</f>
        <v>45990.573544791667</v>
      </c>
      <c r="I2833" s="1" t="s">
        <v>1944</v>
      </c>
      <c r="J2833" s="1">
        <v>793.96</v>
      </c>
    </row>
    <row r="2834" spans="1:10" x14ac:dyDescent="0.25">
      <c r="A2834" s="1" t="s">
        <v>68</v>
      </c>
      <c r="B2834" s="1" t="s">
        <v>69</v>
      </c>
      <c r="C2834" s="1" t="s">
        <v>669</v>
      </c>
      <c r="D2834" s="1">
        <v>37.315199999999997</v>
      </c>
      <c r="E2834" s="1">
        <v>-79.524199999999993</v>
      </c>
      <c r="F2834" s="1" t="s">
        <v>1925</v>
      </c>
      <c r="G2834" s="22">
        <v>1808.1708159732996</v>
      </c>
      <c r="H2834" s="20">
        <f ca="1">NOW() - TIME(5,30,0) + (VLOOKUP(MasterTable[[#This Row],[TimeZone]], $O$3:$P$8, 2, FALSE) / 24)</f>
        <v>45990.573544791667</v>
      </c>
      <c r="I2834" s="1" t="s">
        <v>1944</v>
      </c>
      <c r="J2834" s="1">
        <v>1017.4</v>
      </c>
    </row>
    <row r="2835" spans="1:10" x14ac:dyDescent="0.25">
      <c r="A2835" s="1" t="s">
        <v>68</v>
      </c>
      <c r="B2835" s="1" t="s">
        <v>69</v>
      </c>
      <c r="C2835" s="1" t="s">
        <v>671</v>
      </c>
      <c r="D2835" s="1">
        <v>37.328899999999997</v>
      </c>
      <c r="E2835" s="1">
        <v>-76.778899999999993</v>
      </c>
      <c r="F2835" s="1" t="s">
        <v>1925</v>
      </c>
      <c r="G2835" s="22">
        <v>1959.0131855693032</v>
      </c>
      <c r="H2835" s="20">
        <f ca="1">NOW() - TIME(5,30,0) + (VLOOKUP(MasterTable[[#This Row],[TimeZone]], $O$3:$P$8, 2, FALSE) / 24)</f>
        <v>45990.573544791667</v>
      </c>
      <c r="I2835" s="1" t="s">
        <v>1944</v>
      </c>
      <c r="J2835" s="1">
        <v>179.71</v>
      </c>
    </row>
    <row r="2836" spans="1:10" x14ac:dyDescent="0.25">
      <c r="A2836" s="1" t="s">
        <v>68</v>
      </c>
      <c r="B2836" s="1" t="s">
        <v>69</v>
      </c>
      <c r="C2836" s="1" t="s">
        <v>676</v>
      </c>
      <c r="D2836" s="1">
        <v>37.400399999999998</v>
      </c>
      <c r="E2836" s="1">
        <v>-79.190799999999996</v>
      </c>
      <c r="F2836" s="1" t="s">
        <v>1925</v>
      </c>
      <c r="G2836" s="22">
        <v>1826.6536414802497</v>
      </c>
      <c r="H2836" s="20">
        <f ca="1">NOW() - TIME(5,30,0) + (VLOOKUP(MasterTable[[#This Row],[TimeZone]], $O$3:$P$8, 2, FALSE) / 24)</f>
        <v>45990.573544791667</v>
      </c>
      <c r="I2836" s="1" t="s">
        <v>1944</v>
      </c>
      <c r="J2836" s="1">
        <v>49.76</v>
      </c>
    </row>
    <row r="2837" spans="1:10" x14ac:dyDescent="0.25">
      <c r="A2837" s="1" t="s">
        <v>68</v>
      </c>
      <c r="B2837" s="1" t="s">
        <v>69</v>
      </c>
      <c r="C2837" s="1" t="s">
        <v>680</v>
      </c>
      <c r="D2837" s="1">
        <v>38.164400000000001</v>
      </c>
      <c r="E2837" s="1">
        <v>-79.133799999999994</v>
      </c>
      <c r="F2837" s="1" t="s">
        <v>1925</v>
      </c>
      <c r="G2837" s="22">
        <v>1832.0449403813011</v>
      </c>
      <c r="H2837" s="20">
        <f ca="1">NOW() - TIME(5,30,0) + (VLOOKUP(MasterTable[[#This Row],[TimeZone]], $O$3:$P$8, 2, FALSE) / 24)</f>
        <v>45990.573544791667</v>
      </c>
      <c r="I2837" s="1" t="s">
        <v>1944</v>
      </c>
      <c r="J2837" s="1">
        <v>970.93</v>
      </c>
    </row>
    <row r="2838" spans="1:10" x14ac:dyDescent="0.25">
      <c r="A2838" s="1" t="s">
        <v>68</v>
      </c>
      <c r="B2838" s="1" t="s">
        <v>69</v>
      </c>
      <c r="C2838" s="1" t="s">
        <v>695</v>
      </c>
      <c r="D2838" s="1">
        <v>38.738599999999998</v>
      </c>
      <c r="E2838" s="1">
        <v>-77.809200000000004</v>
      </c>
      <c r="F2838" s="1" t="s">
        <v>1925</v>
      </c>
      <c r="G2838" s="22">
        <v>1905.8992061211422</v>
      </c>
      <c r="H2838" s="20">
        <f ca="1">NOW() - TIME(5,30,0) + (VLOOKUP(MasterTable[[#This Row],[TimeZone]], $O$3:$P$8, 2, FALSE) / 24)</f>
        <v>45990.573544791667</v>
      </c>
      <c r="I2838" s="1" t="s">
        <v>1944</v>
      </c>
      <c r="J2838" s="1">
        <v>651.41999999999996</v>
      </c>
    </row>
    <row r="2839" spans="1:10" x14ac:dyDescent="0.25">
      <c r="A2839" s="1" t="s">
        <v>68</v>
      </c>
      <c r="B2839" s="1" t="s">
        <v>69</v>
      </c>
      <c r="C2839" s="1" t="s">
        <v>213</v>
      </c>
      <c r="D2839" s="1">
        <v>37.243099999999998</v>
      </c>
      <c r="E2839" s="1">
        <v>-76.563500000000005</v>
      </c>
      <c r="F2839" s="1" t="s">
        <v>1925</v>
      </c>
      <c r="G2839" s="22">
        <v>1970.8626604331721</v>
      </c>
      <c r="H2839" s="20">
        <f ca="1">NOW() - TIME(5,30,0) + (VLOOKUP(MasterTable[[#This Row],[TimeZone]], $O$3:$P$8, 2, FALSE) / 24)</f>
        <v>45990.573544791667</v>
      </c>
      <c r="I2839" s="1" t="s">
        <v>1944</v>
      </c>
      <c r="J2839" s="1">
        <v>1271.3399999999999</v>
      </c>
    </row>
    <row r="2840" spans="1:10" x14ac:dyDescent="0.25">
      <c r="A2840" s="1" t="s">
        <v>68</v>
      </c>
      <c r="B2840" s="1" t="s">
        <v>69</v>
      </c>
      <c r="C2840" s="1" t="s">
        <v>777</v>
      </c>
      <c r="D2840" s="1">
        <v>36.821300000000001</v>
      </c>
      <c r="E2840" s="1">
        <v>-79.397099999999995</v>
      </c>
      <c r="F2840" s="1" t="s">
        <v>1925</v>
      </c>
      <c r="G2840" s="22">
        <v>1814.4422556095642</v>
      </c>
      <c r="H2840" s="20">
        <f ca="1">NOW() - TIME(5,30,0) + (VLOOKUP(MasterTable[[#This Row],[TimeZone]], $O$3:$P$8, 2, FALSE) / 24)</f>
        <v>45990.573544791667</v>
      </c>
      <c r="I2840" s="1" t="s">
        <v>1944</v>
      </c>
      <c r="J2840" s="1">
        <v>978.18</v>
      </c>
    </row>
    <row r="2841" spans="1:10" x14ac:dyDescent="0.25">
      <c r="A2841" s="1" t="s">
        <v>68</v>
      </c>
      <c r="B2841" s="1" t="s">
        <v>69</v>
      </c>
      <c r="C2841" s="1" t="s">
        <v>621</v>
      </c>
      <c r="D2841" s="1">
        <v>37.205399999999997</v>
      </c>
      <c r="E2841" s="1">
        <v>-79.096599999999995</v>
      </c>
      <c r="F2841" s="1" t="s">
        <v>1925</v>
      </c>
      <c r="G2841" s="22">
        <v>1831.4760007680384</v>
      </c>
      <c r="H2841" s="20">
        <f ca="1">NOW() - TIME(5,30,0) + (VLOOKUP(MasterTable[[#This Row],[TimeZone]], $O$3:$P$8, 2, FALSE) / 24)</f>
        <v>45990.573544791667</v>
      </c>
      <c r="I2841" s="1" t="s">
        <v>1944</v>
      </c>
      <c r="J2841" s="1">
        <v>159.43</v>
      </c>
    </row>
    <row r="2842" spans="1:10" x14ac:dyDescent="0.25">
      <c r="A2842" s="1" t="s">
        <v>68</v>
      </c>
      <c r="B2842" s="1" t="s">
        <v>69</v>
      </c>
      <c r="C2842" s="1" t="s">
        <v>50</v>
      </c>
      <c r="D2842" s="1">
        <v>36.991999999999997</v>
      </c>
      <c r="E2842" s="1">
        <v>-79.881100000000004</v>
      </c>
      <c r="F2842" s="1" t="s">
        <v>1925</v>
      </c>
      <c r="G2842" s="22">
        <v>1787.9143056570272</v>
      </c>
      <c r="H2842" s="20">
        <f ca="1">NOW() - TIME(5,30,0) + (VLOOKUP(MasterTable[[#This Row],[TimeZone]], $O$3:$P$8, 2, FALSE) / 24)</f>
        <v>45990.573544791667</v>
      </c>
      <c r="I2842" s="1" t="s">
        <v>1944</v>
      </c>
      <c r="J2842" s="1">
        <v>646.51</v>
      </c>
    </row>
    <row r="2843" spans="1:10" x14ac:dyDescent="0.25">
      <c r="A2843" s="1" t="s">
        <v>68</v>
      </c>
      <c r="B2843" s="1" t="s">
        <v>69</v>
      </c>
      <c r="C2843" s="1" t="s">
        <v>28</v>
      </c>
      <c r="D2843" s="1">
        <v>36.724400000000003</v>
      </c>
      <c r="E2843" s="1">
        <v>-81.959800000000001</v>
      </c>
      <c r="F2843" s="1" t="s">
        <v>1925</v>
      </c>
      <c r="G2843" s="22">
        <v>1672.4837946285288</v>
      </c>
      <c r="H2843" s="20">
        <f ca="1">NOW() - TIME(5,30,0) + (VLOOKUP(MasterTable[[#This Row],[TimeZone]], $O$3:$P$8, 2, FALSE) / 24)</f>
        <v>45990.573544791667</v>
      </c>
      <c r="I2843" s="1" t="s">
        <v>1944</v>
      </c>
      <c r="J2843" s="1">
        <v>1088.54</v>
      </c>
    </row>
    <row r="2844" spans="1:10" x14ac:dyDescent="0.25">
      <c r="A2844" s="1" t="s">
        <v>68</v>
      </c>
      <c r="B2844" s="1" t="s">
        <v>69</v>
      </c>
      <c r="C2844" s="1" t="s">
        <v>820</v>
      </c>
      <c r="D2844" s="1">
        <v>38.485999999999997</v>
      </c>
      <c r="E2844" s="1">
        <v>-77.955799999999996</v>
      </c>
      <c r="F2844" s="1" t="s">
        <v>1925</v>
      </c>
      <c r="G2844" s="22">
        <v>1897.0176235359379</v>
      </c>
      <c r="H2844" s="20">
        <f ca="1">NOW() - TIME(5,30,0) + (VLOOKUP(MasterTable[[#This Row],[TimeZone]], $O$3:$P$8, 2, FALSE) / 24)</f>
        <v>45990.573544791667</v>
      </c>
      <c r="I2844" s="1" t="s">
        <v>1944</v>
      </c>
      <c r="J2844" s="1">
        <v>382.28</v>
      </c>
    </row>
    <row r="2845" spans="1:10" x14ac:dyDescent="0.25">
      <c r="A2845" s="1" t="s">
        <v>68</v>
      </c>
      <c r="B2845" s="1" t="s">
        <v>69</v>
      </c>
      <c r="C2845" s="1" t="s">
        <v>833</v>
      </c>
      <c r="D2845" s="1">
        <v>38.436199999999999</v>
      </c>
      <c r="E2845" s="1">
        <v>-78.873500000000007</v>
      </c>
      <c r="F2845" s="1" t="s">
        <v>1925</v>
      </c>
      <c r="G2845" s="22">
        <v>1847.249426577536</v>
      </c>
      <c r="H2845" s="20">
        <f ca="1">NOW() - TIME(5,30,0) + (VLOOKUP(MasterTable[[#This Row],[TimeZone]], $O$3:$P$8, 2, FALSE) / 24)</f>
        <v>45990.573544791667</v>
      </c>
      <c r="I2845" s="1" t="s">
        <v>1944</v>
      </c>
      <c r="J2845" s="1">
        <v>17.59</v>
      </c>
    </row>
    <row r="2846" spans="1:10" x14ac:dyDescent="0.25">
      <c r="A2846" s="1" t="s">
        <v>68</v>
      </c>
      <c r="B2846" s="1" t="s">
        <v>69</v>
      </c>
      <c r="C2846" s="1" t="s">
        <v>332</v>
      </c>
      <c r="D2846" s="1">
        <v>36.6828</v>
      </c>
      <c r="E2846" s="1">
        <v>-79.873999999999995</v>
      </c>
      <c r="F2846" s="1" t="s">
        <v>1925</v>
      </c>
      <c r="G2846" s="22">
        <v>1787.9249031799225</v>
      </c>
      <c r="H2846" s="20">
        <f ca="1">NOW() - TIME(5,30,0) + (VLOOKUP(MasterTable[[#This Row],[TimeZone]], $O$3:$P$8, 2, FALSE) / 24)</f>
        <v>45990.573544791667</v>
      </c>
      <c r="I2846" s="1" t="s">
        <v>1944</v>
      </c>
      <c r="J2846" s="1">
        <v>568.33000000000004</v>
      </c>
    </row>
    <row r="2847" spans="1:10" x14ac:dyDescent="0.25">
      <c r="A2847" s="1" t="s">
        <v>68</v>
      </c>
      <c r="B2847" s="1" t="s">
        <v>69</v>
      </c>
      <c r="C2847" s="1" t="s">
        <v>881</v>
      </c>
      <c r="D2847" s="1">
        <v>38.037500000000001</v>
      </c>
      <c r="E2847" s="1">
        <v>-78.485500000000002</v>
      </c>
      <c r="F2847" s="1" t="s">
        <v>1925</v>
      </c>
      <c r="G2847" s="22">
        <v>1866.8124306421503</v>
      </c>
      <c r="H2847" s="20">
        <f ca="1">NOW() - TIME(5,30,0) + (VLOOKUP(MasterTable[[#This Row],[TimeZone]], $O$3:$P$8, 2, FALSE) / 24)</f>
        <v>45990.573544791667</v>
      </c>
      <c r="I2847" s="1" t="s">
        <v>1944</v>
      </c>
      <c r="J2847" s="1">
        <v>10.26</v>
      </c>
    </row>
    <row r="2848" spans="1:10" x14ac:dyDescent="0.25">
      <c r="A2848" s="1" t="s">
        <v>68</v>
      </c>
      <c r="B2848" s="1" t="s">
        <v>69</v>
      </c>
      <c r="C2848" s="1" t="s">
        <v>895</v>
      </c>
      <c r="D2848" s="1">
        <v>38.8583</v>
      </c>
      <c r="E2848" s="1">
        <v>-78.570899999999995</v>
      </c>
      <c r="F2848" s="1" t="s">
        <v>1925</v>
      </c>
      <c r="G2848" s="22">
        <v>1865.5182001855535</v>
      </c>
      <c r="H2848" s="20">
        <f ca="1">NOW() - TIME(5,30,0) + (VLOOKUP(MasterTable[[#This Row],[TimeZone]], $O$3:$P$8, 2, FALSE) / 24)</f>
        <v>45990.573544791667</v>
      </c>
      <c r="I2848" s="1" t="s">
        <v>1944</v>
      </c>
      <c r="J2848" s="1">
        <v>512.53</v>
      </c>
    </row>
    <row r="2849" spans="1:10" x14ac:dyDescent="0.25">
      <c r="A2849" s="1" t="s">
        <v>68</v>
      </c>
      <c r="B2849" s="1" t="s">
        <v>69</v>
      </c>
      <c r="C2849" s="1" t="s">
        <v>917</v>
      </c>
      <c r="D2849" s="1">
        <v>37.186500000000002</v>
      </c>
      <c r="E2849" s="1">
        <v>-77.224199999999996</v>
      </c>
      <c r="F2849" s="1" t="s">
        <v>1925</v>
      </c>
      <c r="G2849" s="22">
        <v>1934.5110268403655</v>
      </c>
      <c r="H2849" s="20">
        <f ca="1">NOW() - TIME(5,30,0) + (VLOOKUP(MasterTable[[#This Row],[TimeZone]], $O$3:$P$8, 2, FALSE) / 24)</f>
        <v>45990.573544791667</v>
      </c>
      <c r="I2849" s="1" t="s">
        <v>1944</v>
      </c>
      <c r="J2849" s="1">
        <v>281.85000000000002</v>
      </c>
    </row>
    <row r="2850" spans="1:10" x14ac:dyDescent="0.25">
      <c r="A2850" s="1" t="s">
        <v>68</v>
      </c>
      <c r="B2850" s="1" t="s">
        <v>69</v>
      </c>
      <c r="C2850" s="1" t="s">
        <v>921</v>
      </c>
      <c r="D2850" s="1">
        <v>38.747900000000001</v>
      </c>
      <c r="E2850" s="1">
        <v>-77.483900000000006</v>
      </c>
      <c r="F2850" s="1" t="s">
        <v>1925</v>
      </c>
      <c r="G2850" s="22">
        <v>1923.4385991062545</v>
      </c>
      <c r="H2850" s="20">
        <f ca="1">NOW() - TIME(5,30,0) + (VLOOKUP(MasterTable[[#This Row],[TimeZone]], $O$3:$P$8, 2, FALSE) / 24)</f>
        <v>45990.573544791667</v>
      </c>
      <c r="I2850" s="1" t="s">
        <v>1944</v>
      </c>
      <c r="J2850" s="1">
        <v>9.9600000000000009</v>
      </c>
    </row>
    <row r="2851" spans="1:10" x14ac:dyDescent="0.25">
      <c r="A2851" s="1" t="s">
        <v>68</v>
      </c>
      <c r="B2851" s="1" t="s">
        <v>69</v>
      </c>
      <c r="C2851" s="1" t="s">
        <v>926</v>
      </c>
      <c r="D2851" s="1">
        <v>36.583100000000002</v>
      </c>
      <c r="E2851" s="1">
        <v>-79.408699999999996</v>
      </c>
      <c r="F2851" s="1" t="s">
        <v>1925</v>
      </c>
      <c r="G2851" s="22">
        <v>1813.669269805458</v>
      </c>
      <c r="H2851" s="20">
        <f ca="1">NOW() - TIME(5,30,0) + (VLOOKUP(MasterTable[[#This Row],[TimeZone]], $O$3:$P$8, 2, FALSE) / 24)</f>
        <v>45990.573544791667</v>
      </c>
      <c r="I2851" s="1" t="s">
        <v>1944</v>
      </c>
      <c r="J2851" s="1">
        <v>43.94</v>
      </c>
    </row>
    <row r="2852" spans="1:10" x14ac:dyDescent="0.25">
      <c r="A2852" s="1" t="s">
        <v>68</v>
      </c>
      <c r="B2852" s="1" t="s">
        <v>69</v>
      </c>
      <c r="C2852" s="1" t="s">
        <v>331</v>
      </c>
      <c r="D2852" s="1">
        <v>38.908700000000003</v>
      </c>
      <c r="E2852" s="1">
        <v>-78.208500000000001</v>
      </c>
      <c r="F2852" s="1" t="s">
        <v>1925</v>
      </c>
      <c r="G2852" s="22">
        <v>1885.20997194853</v>
      </c>
      <c r="H2852" s="20">
        <f ca="1">NOW() - TIME(5,30,0) + (VLOOKUP(MasterTable[[#This Row],[TimeZone]], $O$3:$P$8, 2, FALSE) / 24)</f>
        <v>45990.573544791667</v>
      </c>
      <c r="I2852" s="1" t="s">
        <v>1944</v>
      </c>
      <c r="J2852" s="1">
        <v>286.74</v>
      </c>
    </row>
    <row r="2853" spans="1:10" x14ac:dyDescent="0.25">
      <c r="A2853" s="1" t="s">
        <v>68</v>
      </c>
      <c r="B2853" s="1" t="s">
        <v>69</v>
      </c>
      <c r="C2853" s="1" t="s">
        <v>504</v>
      </c>
      <c r="D2853" s="1">
        <v>37.125</v>
      </c>
      <c r="E2853" s="1">
        <v>-81.560599999999994</v>
      </c>
      <c r="F2853" s="1" t="s">
        <v>1925</v>
      </c>
      <c r="G2853" s="22">
        <v>1695.6916237149806</v>
      </c>
      <c r="H2853" s="20">
        <f ca="1">NOW() - TIME(5,30,0) + (VLOOKUP(MasterTable[[#This Row],[TimeZone]], $O$3:$P$8, 2, FALSE) / 24)</f>
        <v>45990.573544791667</v>
      </c>
      <c r="I2853" s="1" t="s">
        <v>1944</v>
      </c>
      <c r="J2853" s="1">
        <v>657.89</v>
      </c>
    </row>
    <row r="2854" spans="1:10" x14ac:dyDescent="0.25">
      <c r="A2854" s="1" t="s">
        <v>68</v>
      </c>
      <c r="B2854" s="1" t="s">
        <v>69</v>
      </c>
      <c r="C2854" s="1" t="s">
        <v>958</v>
      </c>
      <c r="D2854" s="1">
        <v>36.891199999999998</v>
      </c>
      <c r="E2854" s="1">
        <v>-76.725899999999996</v>
      </c>
      <c r="F2854" s="1" t="s">
        <v>1925</v>
      </c>
      <c r="G2854" s="22">
        <v>1962.1192904273169</v>
      </c>
      <c r="H2854" s="20">
        <f ca="1">NOW() - TIME(5,30,0) + (VLOOKUP(MasterTable[[#This Row],[TimeZone]], $O$3:$P$8, 2, FALSE) / 24)</f>
        <v>45990.573544791667</v>
      </c>
      <c r="I2854" s="1" t="s">
        <v>1944</v>
      </c>
      <c r="J2854" s="1">
        <v>362.76</v>
      </c>
    </row>
    <row r="2855" spans="1:10" x14ac:dyDescent="0.25">
      <c r="A2855" s="1" t="s">
        <v>68</v>
      </c>
      <c r="B2855" s="1" t="s">
        <v>69</v>
      </c>
      <c r="C2855" s="1" t="s">
        <v>288</v>
      </c>
      <c r="D2855" s="1">
        <v>37.415999999999997</v>
      </c>
      <c r="E2855" s="1">
        <v>-76.543400000000005</v>
      </c>
      <c r="F2855" s="1" t="s">
        <v>1925</v>
      </c>
      <c r="G2855" s="22">
        <v>1971.9532375142371</v>
      </c>
      <c r="H2855" s="20">
        <f ca="1">NOW() - TIME(5,30,0) + (VLOOKUP(MasterTable[[#This Row],[TimeZone]], $O$3:$P$8, 2, FALSE) / 24)</f>
        <v>45990.573544791667</v>
      </c>
      <c r="I2855" s="1" t="s">
        <v>1944</v>
      </c>
      <c r="J2855" s="1">
        <v>336.92</v>
      </c>
    </row>
    <row r="2856" spans="1:10" x14ac:dyDescent="0.25">
      <c r="A2856" s="1" t="s">
        <v>68</v>
      </c>
      <c r="B2856" s="1" t="s">
        <v>69</v>
      </c>
      <c r="C2856" s="1" t="s">
        <v>964</v>
      </c>
      <c r="D2856" s="1">
        <v>37.9786</v>
      </c>
      <c r="E2856" s="1">
        <v>-77.962999999999994</v>
      </c>
      <c r="F2856" s="1" t="s">
        <v>1925</v>
      </c>
      <c r="G2856" s="22">
        <v>1895.0741612510258</v>
      </c>
      <c r="H2856" s="20">
        <f ca="1">NOW() - TIME(5,30,0) + (VLOOKUP(MasterTable[[#This Row],[TimeZone]], $O$3:$P$8, 2, FALSE) / 24)</f>
        <v>45990.573544791667</v>
      </c>
      <c r="I2856" s="1" t="s">
        <v>1944</v>
      </c>
      <c r="J2856" s="1">
        <v>417.64</v>
      </c>
    </row>
    <row r="2857" spans="1:10" x14ac:dyDescent="0.25">
      <c r="A2857" s="1" t="s">
        <v>68</v>
      </c>
      <c r="B2857" s="1" t="s">
        <v>69</v>
      </c>
      <c r="C2857" s="1" t="s">
        <v>13</v>
      </c>
      <c r="D2857" s="1">
        <v>38.246099999999998</v>
      </c>
      <c r="E2857" s="1">
        <v>-78.013999999999996</v>
      </c>
      <c r="F2857" s="1" t="s">
        <v>1925</v>
      </c>
      <c r="G2857" s="22">
        <v>1893.0545755909711</v>
      </c>
      <c r="H2857" s="20">
        <f ca="1">NOW() - TIME(5,30,0) + (VLOOKUP(MasterTable[[#This Row],[TimeZone]], $O$3:$P$8, 2, FALSE) / 24)</f>
        <v>45990.573544791667</v>
      </c>
      <c r="I2857" s="1" t="s">
        <v>1944</v>
      </c>
      <c r="J2857" s="1">
        <v>947.98</v>
      </c>
    </row>
    <row r="2858" spans="1:10" x14ac:dyDescent="0.25">
      <c r="A2858" s="1" t="s">
        <v>68</v>
      </c>
      <c r="B2858" s="1" t="s">
        <v>69</v>
      </c>
      <c r="C2858" s="1" t="s">
        <v>704</v>
      </c>
      <c r="D2858" s="1">
        <v>36.975200000000001</v>
      </c>
      <c r="E2858" s="1">
        <v>-82.621200000000002</v>
      </c>
      <c r="F2858" s="1" t="s">
        <v>1925</v>
      </c>
      <c r="G2858" s="22">
        <v>1636.74823845539</v>
      </c>
      <c r="H2858" s="20">
        <f ca="1">NOW() - TIME(5,30,0) + (VLOOKUP(MasterTable[[#This Row],[TimeZone]], $O$3:$P$8, 2, FALSE) / 24)</f>
        <v>45990.573544791667</v>
      </c>
      <c r="I2858" s="1" t="s">
        <v>1944</v>
      </c>
      <c r="J2858" s="1">
        <v>922.77</v>
      </c>
    </row>
    <row r="2859" spans="1:10" x14ac:dyDescent="0.25">
      <c r="A2859" s="1" t="s">
        <v>68</v>
      </c>
      <c r="B2859" s="1" t="s">
        <v>69</v>
      </c>
      <c r="C2859" s="1" t="s">
        <v>1029</v>
      </c>
      <c r="D2859" s="1">
        <v>37.557099999999998</v>
      </c>
      <c r="E2859" s="1">
        <v>-79.812299999999993</v>
      </c>
      <c r="F2859" s="1" t="s">
        <v>1925</v>
      </c>
      <c r="G2859" s="22">
        <v>1792.9927104999615</v>
      </c>
      <c r="H2859" s="20">
        <f ca="1">NOW() - TIME(5,30,0) + (VLOOKUP(MasterTable[[#This Row],[TimeZone]], $O$3:$P$8, 2, FALSE) / 24)</f>
        <v>45990.573544791667</v>
      </c>
      <c r="I2859" s="1" t="s">
        <v>1944</v>
      </c>
      <c r="J2859" s="1">
        <v>545.94000000000005</v>
      </c>
    </row>
    <row r="2860" spans="1:10" x14ac:dyDescent="0.25">
      <c r="A2860" s="1" t="s">
        <v>68</v>
      </c>
      <c r="B2860" s="1" t="s">
        <v>69</v>
      </c>
      <c r="C2860" s="1" t="s">
        <v>855</v>
      </c>
      <c r="D2860" s="1">
        <v>36.7669</v>
      </c>
      <c r="E2860" s="1">
        <v>-78.936599999999999</v>
      </c>
      <c r="F2860" s="1" t="s">
        <v>1925</v>
      </c>
      <c r="G2860" s="22">
        <v>1839.8895410064363</v>
      </c>
      <c r="H2860" s="20">
        <f ca="1">NOW() - TIME(5,30,0) + (VLOOKUP(MasterTable[[#This Row],[TimeZone]], $O$3:$P$8, 2, FALSE) / 24)</f>
        <v>45990.573544791667</v>
      </c>
      <c r="I2860" s="1" t="s">
        <v>1944</v>
      </c>
      <c r="J2860" s="1">
        <v>731.35</v>
      </c>
    </row>
    <row r="2861" spans="1:10" x14ac:dyDescent="0.25">
      <c r="A2861" s="1" t="s">
        <v>68</v>
      </c>
      <c r="B2861" s="1" t="s">
        <v>69</v>
      </c>
      <c r="C2861" s="1" t="s">
        <v>241</v>
      </c>
      <c r="D2861" s="1">
        <v>37.063600000000001</v>
      </c>
      <c r="E2861" s="1">
        <v>-80.714399999999998</v>
      </c>
      <c r="F2861" s="1" t="s">
        <v>1925</v>
      </c>
      <c r="G2861" s="22">
        <v>1742.1126321008105</v>
      </c>
      <c r="H2861" s="20">
        <f ca="1">NOW() - TIME(5,30,0) + (VLOOKUP(MasterTable[[#This Row],[TimeZone]], $O$3:$P$8, 2, FALSE) / 24)</f>
        <v>45990.573544791667</v>
      </c>
      <c r="I2861" s="1" t="s">
        <v>1944</v>
      </c>
      <c r="J2861" s="1">
        <v>807.84</v>
      </c>
    </row>
    <row r="2862" spans="1:10" x14ac:dyDescent="0.25">
      <c r="A2862" s="1" t="s">
        <v>68</v>
      </c>
      <c r="B2862" s="1" t="s">
        <v>69</v>
      </c>
      <c r="C2862" s="1" t="s">
        <v>1034</v>
      </c>
      <c r="D2862" s="1">
        <v>37.204300000000003</v>
      </c>
      <c r="E2862" s="1">
        <v>-77.391300000000001</v>
      </c>
      <c r="F2862" s="1" t="s">
        <v>1925</v>
      </c>
      <c r="G2862" s="22">
        <v>1925.3166352163687</v>
      </c>
      <c r="H2862" s="20">
        <f ca="1">NOW() - TIME(5,30,0) + (VLOOKUP(MasterTable[[#This Row],[TimeZone]], $O$3:$P$8, 2, FALSE) / 24)</f>
        <v>45990.573544791667</v>
      </c>
      <c r="I2862" s="1" t="s">
        <v>1944</v>
      </c>
      <c r="J2862" s="1">
        <v>9021.2099999999991</v>
      </c>
    </row>
    <row r="2863" spans="1:10" x14ac:dyDescent="0.25">
      <c r="A2863" s="1" t="s">
        <v>68</v>
      </c>
      <c r="B2863" s="1" t="s">
        <v>69</v>
      </c>
      <c r="C2863" s="1" t="s">
        <v>1035</v>
      </c>
      <c r="D2863" s="1">
        <v>37.764400000000002</v>
      </c>
      <c r="E2863" s="1">
        <v>-75.633399999999995</v>
      </c>
      <c r="F2863" s="1" t="s">
        <v>1925</v>
      </c>
      <c r="G2863" s="22">
        <v>2021.830528761453</v>
      </c>
      <c r="H2863" s="20">
        <f ca="1">NOW() - TIME(5,30,0) + (VLOOKUP(MasterTable[[#This Row],[TimeZone]], $O$3:$P$8, 2, FALSE) / 24)</f>
        <v>45990.573544791667</v>
      </c>
      <c r="I2863" s="1" t="s">
        <v>1944</v>
      </c>
      <c r="J2863" s="1">
        <v>1310.05</v>
      </c>
    </row>
    <row r="2864" spans="1:10" x14ac:dyDescent="0.25">
      <c r="A2864" s="1" t="s">
        <v>68</v>
      </c>
      <c r="B2864" s="1" t="s">
        <v>69</v>
      </c>
      <c r="C2864" s="1" t="s">
        <v>1033</v>
      </c>
      <c r="D2864" s="1">
        <v>38.026699999999998</v>
      </c>
      <c r="E2864" s="1">
        <v>-77.347200000000001</v>
      </c>
      <c r="F2864" s="1" t="s">
        <v>1925</v>
      </c>
      <c r="G2864" s="22">
        <v>1928.6945125018196</v>
      </c>
      <c r="H2864" s="20">
        <f ca="1">NOW() - TIME(5,30,0) + (VLOOKUP(MasterTable[[#This Row],[TimeZone]], $O$3:$P$8, 2, FALSE) / 24)</f>
        <v>45990.573544791667</v>
      </c>
      <c r="I2864" s="1" t="s">
        <v>1944</v>
      </c>
      <c r="J2864" s="1">
        <v>326.06</v>
      </c>
    </row>
    <row r="2865" spans="1:10" x14ac:dyDescent="0.25">
      <c r="A2865" s="1" t="s">
        <v>68</v>
      </c>
      <c r="B2865" s="1" t="s">
        <v>69</v>
      </c>
      <c r="C2865" s="1" t="s">
        <v>1052</v>
      </c>
      <c r="D2865" s="1">
        <v>37.604799999999997</v>
      </c>
      <c r="E2865" s="1">
        <v>-79.145200000000003</v>
      </c>
      <c r="F2865" s="1" t="s">
        <v>1925</v>
      </c>
      <c r="G2865" s="22">
        <v>1829.6249751227101</v>
      </c>
      <c r="H2865" s="20">
        <f ca="1">NOW() - TIME(5,30,0) + (VLOOKUP(MasterTable[[#This Row],[TimeZone]], $O$3:$P$8, 2, FALSE) / 24)</f>
        <v>45990.573544791667</v>
      </c>
      <c r="I2865" s="1" t="s">
        <v>1944</v>
      </c>
      <c r="J2865" s="1">
        <v>478.78</v>
      </c>
    </row>
    <row r="2866" spans="1:10" x14ac:dyDescent="0.25">
      <c r="A2866" s="1" t="s">
        <v>68</v>
      </c>
      <c r="B2866" s="1" t="s">
        <v>69</v>
      </c>
      <c r="C2866" s="1" t="s">
        <v>1056</v>
      </c>
      <c r="D2866" s="1">
        <v>37.550199999999997</v>
      </c>
      <c r="E2866" s="1">
        <v>-77.915199999999999</v>
      </c>
      <c r="F2866" s="1" t="s">
        <v>1925</v>
      </c>
      <c r="G2866" s="22">
        <v>1896.8447732310462</v>
      </c>
      <c r="H2866" s="20">
        <f ca="1">NOW() - TIME(5,30,0) + (VLOOKUP(MasterTable[[#This Row],[TimeZone]], $O$3:$P$8, 2, FALSE) / 24)</f>
        <v>45990.573544791667</v>
      </c>
      <c r="I2866" s="1" t="s">
        <v>1944</v>
      </c>
      <c r="J2866" s="1">
        <v>262.39999999999998</v>
      </c>
    </row>
    <row r="2867" spans="1:10" x14ac:dyDescent="0.25">
      <c r="A2867" s="1" t="s">
        <v>68</v>
      </c>
      <c r="B2867" s="1" t="s">
        <v>69</v>
      </c>
      <c r="C2867" s="1" t="s">
        <v>70</v>
      </c>
      <c r="D2867" s="1">
        <v>36.680399999999999</v>
      </c>
      <c r="E2867" s="1">
        <v>-78.362700000000004</v>
      </c>
      <c r="F2867" s="1" t="s">
        <v>1925</v>
      </c>
      <c r="G2867" s="22">
        <v>1871.6697748311583</v>
      </c>
      <c r="H2867" s="20">
        <f ca="1">NOW() - TIME(5,30,0) + (VLOOKUP(MasterTable[[#This Row],[TimeZone]], $O$3:$P$8, 2, FALSE) / 24)</f>
        <v>45990.573544791667</v>
      </c>
      <c r="I2867" s="1" t="s">
        <v>1944</v>
      </c>
      <c r="J2867" s="1">
        <v>546.22</v>
      </c>
    </row>
    <row r="2868" spans="1:10" x14ac:dyDescent="0.25">
      <c r="A2868" s="1" t="s">
        <v>68</v>
      </c>
      <c r="B2868" s="1" t="s">
        <v>69</v>
      </c>
      <c r="C2868" s="1" t="s">
        <v>1083</v>
      </c>
      <c r="D2868" s="1">
        <v>36.843800000000002</v>
      </c>
      <c r="E2868" s="1">
        <v>-81.537000000000006</v>
      </c>
      <c r="F2868" s="1" t="s">
        <v>1925</v>
      </c>
      <c r="G2868" s="22">
        <v>1696.1706726671107</v>
      </c>
      <c r="H2868" s="20">
        <f ca="1">NOW() - TIME(5,30,0) + (VLOOKUP(MasterTable[[#This Row],[TimeZone]], $O$3:$P$8, 2, FALSE) / 24)</f>
        <v>45990.573544791667</v>
      </c>
      <c r="I2868" s="1" t="s">
        <v>1944</v>
      </c>
      <c r="J2868" s="1">
        <v>452.31</v>
      </c>
    </row>
    <row r="2869" spans="1:10" x14ac:dyDescent="0.25">
      <c r="A2869" s="1" t="s">
        <v>68</v>
      </c>
      <c r="B2869" s="1" t="s">
        <v>69</v>
      </c>
      <c r="C2869" s="1" t="s">
        <v>418</v>
      </c>
      <c r="D2869" s="1">
        <v>36.7316</v>
      </c>
      <c r="E2869" s="1">
        <v>-80.733900000000006</v>
      </c>
      <c r="F2869" s="1" t="s">
        <v>1925</v>
      </c>
      <c r="G2869" s="22">
        <v>1740.3582790240912</v>
      </c>
      <c r="H2869" s="20">
        <f ca="1">NOW() - TIME(5,30,0) + (VLOOKUP(MasterTable[[#This Row],[TimeZone]], $O$3:$P$8, 2, FALSE) / 24)</f>
        <v>45990.573544791667</v>
      </c>
      <c r="I2869" s="1" t="s">
        <v>1944</v>
      </c>
      <c r="J2869" s="1">
        <v>638.80999999999995</v>
      </c>
    </row>
    <row r="2870" spans="1:10" x14ac:dyDescent="0.25">
      <c r="A2870" s="1" t="s">
        <v>68</v>
      </c>
      <c r="B2870" s="1" t="s">
        <v>69</v>
      </c>
      <c r="C2870" s="1" t="s">
        <v>1099</v>
      </c>
      <c r="D2870" s="1">
        <v>38.299199999999999</v>
      </c>
      <c r="E2870" s="1">
        <v>-77.487200000000001</v>
      </c>
      <c r="F2870" s="1" t="s">
        <v>1925</v>
      </c>
      <c r="G2870" s="22">
        <v>1921.7633704120917</v>
      </c>
      <c r="H2870" s="20">
        <f ca="1">NOW() - TIME(5,30,0) + (VLOOKUP(MasterTable[[#This Row],[TimeZone]], $O$3:$P$8, 2, FALSE) / 24)</f>
        <v>45990.573544791667</v>
      </c>
      <c r="I2870" s="1" t="s">
        <v>1944</v>
      </c>
      <c r="J2870" s="1">
        <v>10.52</v>
      </c>
    </row>
    <row r="2871" spans="1:10" x14ac:dyDescent="0.25">
      <c r="A2871" s="1" t="s">
        <v>68</v>
      </c>
      <c r="B2871" s="1" t="s">
        <v>69</v>
      </c>
      <c r="C2871" s="1" t="s">
        <v>1103</v>
      </c>
      <c r="D2871" s="1">
        <v>36.917099999999998</v>
      </c>
      <c r="E2871" s="1">
        <v>-81.078699999999998</v>
      </c>
      <c r="F2871" s="1" t="s">
        <v>1925</v>
      </c>
      <c r="G2871" s="22">
        <v>1721.6652060165397</v>
      </c>
      <c r="H2871" s="20">
        <f ca="1">NOW() - TIME(5,30,0) + (VLOOKUP(MasterTable[[#This Row],[TimeZone]], $O$3:$P$8, 2, FALSE) / 24)</f>
        <v>45990.573544791667</v>
      </c>
      <c r="I2871" s="1" t="s">
        <v>1944</v>
      </c>
      <c r="J2871" s="1">
        <v>464.62</v>
      </c>
    </row>
    <row r="2872" spans="1:10" x14ac:dyDescent="0.25">
      <c r="A2872" s="1" t="s">
        <v>68</v>
      </c>
      <c r="B2872" s="1" t="s">
        <v>69</v>
      </c>
      <c r="C2872" s="1" t="s">
        <v>1106</v>
      </c>
      <c r="D2872" s="1">
        <v>37.076000000000001</v>
      </c>
      <c r="E2872" s="1">
        <v>-77.632300000000001</v>
      </c>
      <c r="F2872" s="1" t="s">
        <v>1925</v>
      </c>
      <c r="G2872" s="22">
        <v>1912.0170649723343</v>
      </c>
      <c r="H2872" s="20">
        <f ca="1">NOW() - TIME(5,30,0) + (VLOOKUP(MasterTable[[#This Row],[TimeZone]], $O$3:$P$8, 2, FALSE) / 24)</f>
        <v>45990.573544791667</v>
      </c>
      <c r="I2872" s="1" t="s">
        <v>1944</v>
      </c>
      <c r="J2872" s="1">
        <v>506.98</v>
      </c>
    </row>
    <row r="2873" spans="1:10" x14ac:dyDescent="0.25">
      <c r="A2873" s="1" t="s">
        <v>68</v>
      </c>
      <c r="B2873" s="1" t="s">
        <v>69</v>
      </c>
      <c r="C2873" s="1" t="s">
        <v>1110</v>
      </c>
      <c r="D2873" s="1">
        <v>39.173499999999997</v>
      </c>
      <c r="E2873" s="1">
        <v>-78.174599999999998</v>
      </c>
      <c r="F2873" s="1" t="s">
        <v>1925</v>
      </c>
      <c r="G2873" s="22">
        <v>1888.3847262114191</v>
      </c>
      <c r="H2873" s="20">
        <f ca="1">NOW() - TIME(5,30,0) + (VLOOKUP(MasterTable[[#This Row],[TimeZone]], $O$3:$P$8, 2, FALSE) / 24)</f>
        <v>45990.573544791667</v>
      </c>
      <c r="I2873" s="1" t="s">
        <v>1944</v>
      </c>
      <c r="J2873" s="1">
        <v>9.33</v>
      </c>
    </row>
    <row r="2874" spans="1:10" x14ac:dyDescent="0.25">
      <c r="A2874" s="1" t="s">
        <v>68</v>
      </c>
      <c r="B2874" s="1" t="s">
        <v>69</v>
      </c>
      <c r="C2874" s="1" t="s">
        <v>1114</v>
      </c>
      <c r="D2874" s="1">
        <v>37.841900000000003</v>
      </c>
      <c r="E2874" s="1">
        <v>-78.277299999999997</v>
      </c>
      <c r="F2874" s="1" t="s">
        <v>1925</v>
      </c>
      <c r="G2874" s="22">
        <v>1877.6164893229086</v>
      </c>
      <c r="H2874" s="20">
        <f ca="1">NOW() - TIME(5,30,0) + (VLOOKUP(MasterTable[[#This Row],[TimeZone]], $O$3:$P$8, 2, FALSE) / 24)</f>
        <v>45990.573544791667</v>
      </c>
      <c r="I2874" s="1" t="s">
        <v>1944</v>
      </c>
      <c r="J2874" s="1">
        <v>290.20999999999998</v>
      </c>
    </row>
    <row r="2875" spans="1:10" x14ac:dyDescent="0.25">
      <c r="A2875" s="1" t="s">
        <v>68</v>
      </c>
      <c r="B2875" s="1" t="s">
        <v>69</v>
      </c>
      <c r="C2875" s="1" t="s">
        <v>1118</v>
      </c>
      <c r="D2875" s="1">
        <v>38.273299999999999</v>
      </c>
      <c r="E2875" s="1">
        <v>-77.157200000000003</v>
      </c>
      <c r="F2875" s="1" t="s">
        <v>1925</v>
      </c>
      <c r="G2875" s="22">
        <v>1939.5791463881214</v>
      </c>
      <c r="H2875" s="20">
        <f ca="1">NOW() - TIME(5,30,0) + (VLOOKUP(MasterTable[[#This Row],[TimeZone]], $O$3:$P$8, 2, FALSE) / 24)</f>
        <v>45990.573544791667</v>
      </c>
      <c r="I2875" s="1" t="s">
        <v>1944</v>
      </c>
      <c r="J2875" s="1">
        <v>187.79</v>
      </c>
    </row>
    <row r="2876" spans="1:10" x14ac:dyDescent="0.25">
      <c r="A2876" s="1" t="s">
        <v>68</v>
      </c>
      <c r="B2876" s="1" t="s">
        <v>69</v>
      </c>
      <c r="C2876" s="1" t="s">
        <v>1150</v>
      </c>
      <c r="D2876" s="1">
        <v>38.159300000000002</v>
      </c>
      <c r="E2876" s="1">
        <v>-79.061099999999996</v>
      </c>
      <c r="F2876" s="1" t="s">
        <v>1925</v>
      </c>
      <c r="G2876" s="22">
        <v>1835.9689229878807</v>
      </c>
      <c r="H2876" s="20">
        <f ca="1">NOW() - TIME(5,30,0) + (VLOOKUP(MasterTable[[#This Row],[TimeZone]], $O$3:$P$8, 2, FALSE) / 24)</f>
        <v>45990.573544791667</v>
      </c>
      <c r="I2876" s="1" t="s">
        <v>1944</v>
      </c>
      <c r="J2876" s="1">
        <v>19.71</v>
      </c>
    </row>
    <row r="2877" spans="1:10" x14ac:dyDescent="0.25">
      <c r="A2877" s="1" t="s">
        <v>68</v>
      </c>
      <c r="B2877" s="1" t="s">
        <v>69</v>
      </c>
      <c r="C2877" s="1" t="s">
        <v>789</v>
      </c>
      <c r="D2877" s="1">
        <v>36.933900000000001</v>
      </c>
      <c r="E2877" s="1">
        <v>-82.095399999999998</v>
      </c>
      <c r="F2877" s="1" t="s">
        <v>1925</v>
      </c>
      <c r="G2877" s="22">
        <v>1665.5985382715749</v>
      </c>
      <c r="H2877" s="20">
        <f ca="1">NOW() - TIME(5,30,0) + (VLOOKUP(MasterTable[[#This Row],[TimeZone]], $O$3:$P$8, 2, FALSE) / 24)</f>
        <v>45990.573544791667</v>
      </c>
      <c r="I2877" s="1" t="s">
        <v>1944</v>
      </c>
      <c r="J2877" s="1">
        <v>647.38</v>
      </c>
    </row>
    <row r="2878" spans="1:10" x14ac:dyDescent="0.25">
      <c r="A2878" s="1" t="s">
        <v>68</v>
      </c>
      <c r="B2878" s="1" t="s">
        <v>69</v>
      </c>
      <c r="C2878" s="1" t="s">
        <v>1153</v>
      </c>
      <c r="D2878" s="1">
        <v>37.722099999999998</v>
      </c>
      <c r="E2878" s="1">
        <v>-77.915800000000004</v>
      </c>
      <c r="F2878" s="1" t="s">
        <v>1925</v>
      </c>
      <c r="G2878" s="22">
        <v>1897.0943886920782</v>
      </c>
      <c r="H2878" s="20">
        <f ca="1">NOW() - TIME(5,30,0) + (VLOOKUP(MasterTable[[#This Row],[TimeZone]], $O$3:$P$8, 2, FALSE) / 24)</f>
        <v>45990.573544791667</v>
      </c>
      <c r="I2878" s="1" t="s">
        <v>1944</v>
      </c>
      <c r="J2878" s="1">
        <v>289.99</v>
      </c>
    </row>
    <row r="2879" spans="1:10" x14ac:dyDescent="0.25">
      <c r="A2879" s="1" t="s">
        <v>68</v>
      </c>
      <c r="B2879" s="1" t="s">
        <v>69</v>
      </c>
      <c r="C2879" s="1" t="s">
        <v>748</v>
      </c>
      <c r="D2879" s="1">
        <v>37.2864</v>
      </c>
      <c r="E2879" s="1">
        <v>-80.055400000000006</v>
      </c>
      <c r="F2879" s="1" t="s">
        <v>1925</v>
      </c>
      <c r="G2879" s="22">
        <v>1778.9232876948292</v>
      </c>
      <c r="H2879" s="20">
        <f ca="1">NOW() - TIME(5,30,0) + (VLOOKUP(MasterTable[[#This Row],[TimeZone]], $O$3:$P$8, 2, FALSE) / 24)</f>
        <v>45990.573544791667</v>
      </c>
      <c r="I2879" s="1" t="s">
        <v>1944</v>
      </c>
      <c r="J2879" s="1">
        <v>372.57</v>
      </c>
    </row>
    <row r="2880" spans="1:10" x14ac:dyDescent="0.25">
      <c r="A2880" s="1" t="s">
        <v>68</v>
      </c>
      <c r="B2880" s="1" t="s">
        <v>69</v>
      </c>
      <c r="C2880" s="1" t="s">
        <v>67</v>
      </c>
      <c r="D2880" s="1">
        <v>38.853099999999998</v>
      </c>
      <c r="E2880" s="1">
        <v>-77.299800000000005</v>
      </c>
      <c r="F2880" s="1" t="s">
        <v>1925</v>
      </c>
      <c r="G2880" s="22">
        <v>1933.7456117989436</v>
      </c>
      <c r="H2880" s="20">
        <f ca="1">NOW() - TIME(5,30,0) + (VLOOKUP(MasterTable[[#This Row],[TimeZone]], $O$3:$P$8, 2, FALSE) / 24)</f>
        <v>45990.573544791667</v>
      </c>
      <c r="I2880" s="1" t="s">
        <v>1944</v>
      </c>
      <c r="J2880" s="1">
        <v>406.61</v>
      </c>
    </row>
    <row r="2881" spans="1:10" x14ac:dyDescent="0.25">
      <c r="A2881" s="1" t="s">
        <v>68</v>
      </c>
      <c r="B2881" s="1" t="s">
        <v>69</v>
      </c>
      <c r="C2881" s="1" t="s">
        <v>1187</v>
      </c>
      <c r="D2881" s="1">
        <v>37.505200000000002</v>
      </c>
      <c r="E2881" s="1">
        <v>-76.997399999999999</v>
      </c>
      <c r="F2881" s="1" t="s">
        <v>1925</v>
      </c>
      <c r="G2881" s="22">
        <v>1947.0859971073924</v>
      </c>
      <c r="H2881" s="20">
        <f ca="1">NOW() - TIME(5,30,0) + (VLOOKUP(MasterTable[[#This Row],[TimeZone]], $O$3:$P$8, 2, FALSE) / 24)</f>
        <v>45990.573544791667</v>
      </c>
      <c r="I2881" s="1" t="s">
        <v>1944</v>
      </c>
      <c r="J2881" s="1">
        <v>223.48</v>
      </c>
    </row>
    <row r="2882" spans="1:10" x14ac:dyDescent="0.25">
      <c r="A2882" s="1" t="s">
        <v>68</v>
      </c>
      <c r="B2882" s="1" t="s">
        <v>69</v>
      </c>
      <c r="C2882" s="1" t="s">
        <v>1193</v>
      </c>
      <c r="D2882" s="1">
        <v>38.619399999999999</v>
      </c>
      <c r="E2882" s="1">
        <v>-78.484399999999994</v>
      </c>
      <c r="F2882" s="1" t="s">
        <v>1925</v>
      </c>
      <c r="G2882" s="22">
        <v>1869.0395918809045</v>
      </c>
      <c r="H2882" s="20">
        <f ca="1">NOW() - TIME(5,30,0) + (VLOOKUP(MasterTable[[#This Row],[TimeZone]], $O$3:$P$8, 2, FALSE) / 24)</f>
        <v>45990.573544791667</v>
      </c>
      <c r="I2882" s="1" t="s">
        <v>1944</v>
      </c>
      <c r="J2882" s="1">
        <v>535.35</v>
      </c>
    </row>
    <row r="2883" spans="1:10" x14ac:dyDescent="0.25">
      <c r="A2883" s="1" t="s">
        <v>68</v>
      </c>
      <c r="B2883" s="1" t="s">
        <v>69</v>
      </c>
      <c r="C2883" s="1" t="s">
        <v>1209</v>
      </c>
      <c r="D2883" s="1">
        <v>37.291499999999999</v>
      </c>
      <c r="E2883" s="1">
        <v>-77.298500000000004</v>
      </c>
      <c r="F2883" s="1" t="s">
        <v>1925</v>
      </c>
      <c r="G2883" s="22">
        <v>1930.4485678704409</v>
      </c>
      <c r="H2883" s="20">
        <f ca="1">NOW() - TIME(5,30,0) + (VLOOKUP(MasterTable[[#This Row],[TimeZone]], $O$3:$P$8, 2, FALSE) / 24)</f>
        <v>45990.573544791667</v>
      </c>
      <c r="I2883" s="1" t="s">
        <v>1944</v>
      </c>
      <c r="J2883" s="1">
        <v>10.82</v>
      </c>
    </row>
    <row r="2884" spans="1:10" x14ac:dyDescent="0.25">
      <c r="A2884" s="1" t="s">
        <v>68</v>
      </c>
      <c r="B2884" s="1" t="s">
        <v>69</v>
      </c>
      <c r="C2884" s="1" t="s">
        <v>1216</v>
      </c>
      <c r="D2884" s="1">
        <v>37.814500000000002</v>
      </c>
      <c r="E2884" s="1">
        <v>-79.447299999999998</v>
      </c>
      <c r="F2884" s="1" t="s">
        <v>1925</v>
      </c>
      <c r="G2884" s="22">
        <v>1813.7381757470714</v>
      </c>
      <c r="H2884" s="20">
        <f ca="1">NOW() - TIME(5,30,0) + (VLOOKUP(MasterTable[[#This Row],[TimeZone]], $O$3:$P$8, 2, FALSE) / 24)</f>
        <v>45990.573544791667</v>
      </c>
      <c r="I2884" s="1" t="s">
        <v>1944</v>
      </c>
      <c r="J2884" s="1">
        <v>600.98</v>
      </c>
    </row>
    <row r="2885" spans="1:10" x14ac:dyDescent="0.25">
      <c r="A2885" s="1" t="s">
        <v>68</v>
      </c>
      <c r="B2885" s="1" t="s">
        <v>69</v>
      </c>
      <c r="C2885" s="1" t="s">
        <v>1217</v>
      </c>
      <c r="D2885" s="1">
        <v>38.067399999999999</v>
      </c>
      <c r="E2885" s="1">
        <v>-78.901399999999995</v>
      </c>
      <c r="F2885" s="1" t="s">
        <v>1925</v>
      </c>
      <c r="G2885" s="22">
        <v>1844.3051588698395</v>
      </c>
      <c r="H2885" s="20">
        <f ca="1">NOW() - TIME(5,30,0) + (VLOOKUP(MasterTable[[#This Row],[TimeZone]], $O$3:$P$8, 2, FALSE) / 24)</f>
        <v>45990.573544791667</v>
      </c>
      <c r="I2885" s="1" t="s">
        <v>1944</v>
      </c>
      <c r="J2885" s="1">
        <v>15.38</v>
      </c>
    </row>
    <row r="2886" spans="1:10" x14ac:dyDescent="0.25">
      <c r="A2886" s="1" t="s">
        <v>68</v>
      </c>
      <c r="B2886" s="1" t="s">
        <v>69</v>
      </c>
      <c r="C2886" s="1" t="s">
        <v>127</v>
      </c>
      <c r="D2886" s="1">
        <v>36.705399999999997</v>
      </c>
      <c r="E2886" s="1">
        <v>-83.128600000000006</v>
      </c>
      <c r="F2886" s="1" t="s">
        <v>1925</v>
      </c>
      <c r="G2886" s="22">
        <v>1607.7487399688428</v>
      </c>
      <c r="H2886" s="20">
        <f ca="1">NOW() - TIME(5,30,0) + (VLOOKUP(MasterTable[[#This Row],[TimeZone]], $O$3:$P$8, 2, FALSE) / 24)</f>
        <v>45990.573544791667</v>
      </c>
      <c r="I2886" s="1" t="s">
        <v>1944</v>
      </c>
      <c r="J2886" s="1">
        <v>615.54999999999995</v>
      </c>
    </row>
    <row r="2887" spans="1:10" x14ac:dyDescent="0.25">
      <c r="A2887" s="1" t="s">
        <v>68</v>
      </c>
      <c r="B2887" s="1" t="s">
        <v>69</v>
      </c>
      <c r="C2887" s="1" t="s">
        <v>1227</v>
      </c>
      <c r="D2887" s="1">
        <v>37.224299999999999</v>
      </c>
      <c r="E2887" s="1">
        <v>-78.441100000000006</v>
      </c>
      <c r="F2887" s="1" t="s">
        <v>1925</v>
      </c>
      <c r="G2887" s="22">
        <v>1867.5647205886348</v>
      </c>
      <c r="H2887" s="20">
        <f ca="1">NOW() - TIME(5,30,0) + (VLOOKUP(MasterTable[[#This Row],[TimeZone]], $O$3:$P$8, 2, FALSE) / 24)</f>
        <v>45990.573544791667</v>
      </c>
      <c r="I2887" s="1" t="s">
        <v>1944</v>
      </c>
      <c r="J2887" s="1">
        <v>353.85</v>
      </c>
    </row>
    <row r="2888" spans="1:10" x14ac:dyDescent="0.25">
      <c r="A2888" s="1" t="s">
        <v>68</v>
      </c>
      <c r="B2888" s="1" t="s">
        <v>69</v>
      </c>
      <c r="C2888" s="1" t="s">
        <v>419</v>
      </c>
      <c r="D2888" s="1">
        <v>36.714300000000001</v>
      </c>
      <c r="E2888" s="1">
        <v>-82.602900000000005</v>
      </c>
      <c r="F2888" s="1" t="s">
        <v>1925</v>
      </c>
      <c r="G2888" s="22">
        <v>1636.8657070088352</v>
      </c>
      <c r="H2888" s="20">
        <f ca="1">NOW() - TIME(5,30,0) + (VLOOKUP(MasterTable[[#This Row],[TimeZone]], $O$3:$P$8, 2, FALSE) / 24)</f>
        <v>45990.573544791667</v>
      </c>
      <c r="I2888" s="1" t="s">
        <v>1944</v>
      </c>
      <c r="J2888" s="1">
        <v>898.09</v>
      </c>
    </row>
    <row r="2889" spans="1:10" x14ac:dyDescent="0.25">
      <c r="A2889" s="1" t="s">
        <v>68</v>
      </c>
      <c r="B2889" s="1" t="s">
        <v>69</v>
      </c>
      <c r="C2889" s="1" t="s">
        <v>289</v>
      </c>
      <c r="D2889" s="1">
        <v>38.297600000000003</v>
      </c>
      <c r="E2889" s="1">
        <v>-78.466899999999995</v>
      </c>
      <c r="F2889" s="1" t="s">
        <v>1925</v>
      </c>
      <c r="G2889" s="22">
        <v>1868.6900452879154</v>
      </c>
      <c r="H2889" s="20">
        <f ca="1">NOW() - TIME(5,30,0) + (VLOOKUP(MasterTable[[#This Row],[TimeZone]], $O$3:$P$8, 2, FALSE) / 24)</f>
        <v>45990.573544791667</v>
      </c>
      <c r="I2889" s="1" t="s">
        <v>1944</v>
      </c>
      <c r="J2889" s="1">
        <v>659.93</v>
      </c>
    </row>
    <row r="2890" spans="1:10" x14ac:dyDescent="0.25">
      <c r="A2890" s="1" t="s">
        <v>68</v>
      </c>
      <c r="B2890" s="1" t="s">
        <v>69</v>
      </c>
      <c r="C2890" s="1" t="s">
        <v>651</v>
      </c>
      <c r="D2890" s="1">
        <v>37.266599999999997</v>
      </c>
      <c r="E2890" s="1">
        <v>-82.036000000000001</v>
      </c>
      <c r="F2890" s="1" t="s">
        <v>1925</v>
      </c>
      <c r="G2890" s="22">
        <v>1670.0851534313269</v>
      </c>
      <c r="H2890" s="20">
        <f ca="1">NOW() - TIME(5,30,0) + (VLOOKUP(MasterTable[[#This Row],[TimeZone]], $O$3:$P$8, 2, FALSE) / 24)</f>
        <v>45990.573544791667</v>
      </c>
      <c r="I2890" s="1" t="s">
        <v>1944</v>
      </c>
      <c r="J2890" s="1">
        <v>573.35</v>
      </c>
    </row>
    <row r="2891" spans="1:10" x14ac:dyDescent="0.25">
      <c r="A2891" s="1" t="s">
        <v>68</v>
      </c>
      <c r="B2891" s="1" t="s">
        <v>69</v>
      </c>
      <c r="C2891" s="1" t="s">
        <v>263</v>
      </c>
      <c r="D2891" s="1">
        <v>38.112000000000002</v>
      </c>
      <c r="E2891" s="1">
        <v>-76.804199999999994</v>
      </c>
      <c r="F2891" s="1" t="s">
        <v>1925</v>
      </c>
      <c r="G2891" s="22">
        <v>1958.3888963919571</v>
      </c>
      <c r="H2891" s="20">
        <f ca="1">NOW() - TIME(5,30,0) + (VLOOKUP(MasterTable[[#This Row],[TimeZone]], $O$3:$P$8, 2, FALSE) / 24)</f>
        <v>45990.573544791667</v>
      </c>
      <c r="I2891" s="1" t="s">
        <v>1944</v>
      </c>
      <c r="J2891" s="1">
        <v>1036.3399999999999</v>
      </c>
    </row>
    <row r="2892" spans="1:10" x14ac:dyDescent="0.25">
      <c r="A2892" s="1" t="s">
        <v>68</v>
      </c>
      <c r="B2892" s="1" t="s">
        <v>69</v>
      </c>
      <c r="C2892" s="1" t="s">
        <v>1318</v>
      </c>
      <c r="D2892" s="1">
        <v>37.706600000000002</v>
      </c>
      <c r="E2892" s="1">
        <v>-77.088499999999996</v>
      </c>
      <c r="F2892" s="1" t="s">
        <v>1925</v>
      </c>
      <c r="G2892" s="22">
        <v>1942.2813238440651</v>
      </c>
      <c r="H2892" s="20">
        <f ca="1">NOW() - TIME(5,30,0) + (VLOOKUP(MasterTable[[#This Row],[TimeZone]], $O$3:$P$8, 2, FALSE) / 24)</f>
        <v>45990.573544791667</v>
      </c>
      <c r="I2892" s="1" t="s">
        <v>1944</v>
      </c>
      <c r="J2892" s="1">
        <v>285.64999999999998</v>
      </c>
    </row>
    <row r="2893" spans="1:10" x14ac:dyDescent="0.25">
      <c r="A2893" s="1" t="s">
        <v>68</v>
      </c>
      <c r="B2893" s="1" t="s">
        <v>69</v>
      </c>
      <c r="C2893" s="1" t="s">
        <v>1319</v>
      </c>
      <c r="D2893" s="1">
        <v>37.265000000000001</v>
      </c>
      <c r="E2893" s="1">
        <v>-77.396900000000002</v>
      </c>
      <c r="F2893" s="1" t="s">
        <v>1925</v>
      </c>
      <c r="G2893" s="22">
        <v>1925.0282059393444</v>
      </c>
      <c r="H2893" s="20">
        <f ca="1">NOW() - TIME(5,30,0) + (VLOOKUP(MasterTable[[#This Row],[TimeZone]], $O$3:$P$8, 2, FALSE) / 24)</f>
        <v>45990.573544791667</v>
      </c>
      <c r="I2893" s="1" t="s">
        <v>1944</v>
      </c>
      <c r="J2893" s="1">
        <v>7.79</v>
      </c>
    </row>
    <row r="2894" spans="1:10" x14ac:dyDescent="0.25">
      <c r="A2894" s="1" t="s">
        <v>68</v>
      </c>
      <c r="B2894" s="1" t="s">
        <v>69</v>
      </c>
      <c r="C2894" s="1" t="s">
        <v>1326</v>
      </c>
      <c r="D2894" s="1">
        <v>36.720399999999998</v>
      </c>
      <c r="E2894" s="1">
        <v>-77.106200000000001</v>
      </c>
      <c r="F2894" s="1" t="s">
        <v>1925</v>
      </c>
      <c r="G2894" s="22">
        <v>1941.2507059688623</v>
      </c>
      <c r="H2894" s="20">
        <f ca="1">NOW() - TIME(5,30,0) + (VLOOKUP(MasterTable[[#This Row],[TimeZone]], $O$3:$P$8, 2, FALSE) / 24)</f>
        <v>45990.573544791667</v>
      </c>
      <c r="I2894" s="1" t="s">
        <v>1944</v>
      </c>
      <c r="J2894" s="1">
        <v>602.35</v>
      </c>
    </row>
    <row r="2895" spans="1:10" x14ac:dyDescent="0.25">
      <c r="A2895" s="1" t="s">
        <v>68</v>
      </c>
      <c r="B2895" s="1" t="s">
        <v>69</v>
      </c>
      <c r="C2895" s="1" t="s">
        <v>1334</v>
      </c>
      <c r="D2895" s="1">
        <v>36.6783</v>
      </c>
      <c r="E2895" s="1">
        <v>-80.284400000000005</v>
      </c>
      <c r="F2895" s="1" t="s">
        <v>1925</v>
      </c>
      <c r="G2895" s="22">
        <v>1765.180577482811</v>
      </c>
      <c r="H2895" s="20">
        <f ca="1">NOW() - TIME(5,30,0) + (VLOOKUP(MasterTable[[#This Row],[TimeZone]], $O$3:$P$8, 2, FALSE) / 24)</f>
        <v>45990.573544791667</v>
      </c>
      <c r="I2895" s="1" t="s">
        <v>1944</v>
      </c>
      <c r="J2895" s="1">
        <v>485.87</v>
      </c>
    </row>
    <row r="2896" spans="1:10" x14ac:dyDescent="0.25">
      <c r="A2896" s="1" t="s">
        <v>68</v>
      </c>
      <c r="B2896" s="1" t="s">
        <v>69</v>
      </c>
      <c r="C2896" s="1" t="s">
        <v>173</v>
      </c>
      <c r="D2896" s="1">
        <v>36.618000000000002</v>
      </c>
      <c r="E2896" s="1">
        <v>-82.160499999999999</v>
      </c>
      <c r="F2896" s="1" t="s">
        <v>1925</v>
      </c>
      <c r="G2896" s="22">
        <v>1661.1017197283104</v>
      </c>
      <c r="H2896" s="20">
        <f ca="1">NOW() - TIME(5,30,0) + (VLOOKUP(MasterTable[[#This Row],[TimeZone]], $O$3:$P$8, 2, FALSE) / 24)</f>
        <v>45990.573544791667</v>
      </c>
      <c r="I2896" s="1" t="s">
        <v>1944</v>
      </c>
      <c r="J2896" s="1">
        <v>691.19</v>
      </c>
    </row>
    <row r="2897" spans="1:10" x14ac:dyDescent="0.25">
      <c r="A2897" s="1" t="s">
        <v>68</v>
      </c>
      <c r="B2897" s="1" t="s">
        <v>69</v>
      </c>
      <c r="C2897" s="1" t="s">
        <v>1350</v>
      </c>
      <c r="D2897" s="1">
        <v>38.770899999999997</v>
      </c>
      <c r="E2897" s="1">
        <v>-77.442899999999995</v>
      </c>
      <c r="F2897" s="1" t="s">
        <v>1925</v>
      </c>
      <c r="G2897" s="22">
        <v>1925.732944585749</v>
      </c>
      <c r="H2897" s="20">
        <f ca="1">NOW() - TIME(5,30,0) + (VLOOKUP(MasterTable[[#This Row],[TimeZone]], $O$3:$P$8, 2, FALSE) / 24)</f>
        <v>45990.573544791667</v>
      </c>
      <c r="I2897" s="1" t="s">
        <v>1944</v>
      </c>
      <c r="J2897" s="1">
        <v>2.4900000000000002</v>
      </c>
    </row>
    <row r="2898" spans="1:10" x14ac:dyDescent="0.25">
      <c r="A2898" s="1" t="s">
        <v>68</v>
      </c>
      <c r="B2898" s="1" t="s">
        <v>69</v>
      </c>
      <c r="C2898" s="1" t="s">
        <v>1351</v>
      </c>
      <c r="D2898" s="1">
        <v>37.572200000000002</v>
      </c>
      <c r="E2898" s="1">
        <v>-78.528800000000004</v>
      </c>
      <c r="F2898" s="1" t="s">
        <v>1925</v>
      </c>
      <c r="G2898" s="22">
        <v>1863.2834700801927</v>
      </c>
      <c r="H2898" s="20">
        <f ca="1">NOW() - TIME(5,30,0) + (VLOOKUP(MasterTable[[#This Row],[TimeZone]], $O$3:$P$8, 2, FALSE) / 24)</f>
        <v>45990.573544791667</v>
      </c>
      <c r="I2898" s="1" t="s">
        <v>1944</v>
      </c>
      <c r="J2898" s="1">
        <v>583.55999999999995</v>
      </c>
    </row>
    <row r="2899" spans="1:10" x14ac:dyDescent="0.25">
      <c r="A2899" s="1" t="s">
        <v>68</v>
      </c>
      <c r="B2899" s="1" t="s">
        <v>69</v>
      </c>
      <c r="C2899" s="1" t="s">
        <v>1071</v>
      </c>
      <c r="D2899" s="1">
        <v>37.3142</v>
      </c>
      <c r="E2899" s="1">
        <v>-80.7029</v>
      </c>
      <c r="F2899" s="1" t="s">
        <v>1925</v>
      </c>
      <c r="G2899" s="22">
        <v>1743.4400760419651</v>
      </c>
      <c r="H2899" s="20">
        <f ca="1">NOW() - TIME(5,30,0) + (VLOOKUP(MasterTable[[#This Row],[TimeZone]], $O$3:$P$8, 2, FALSE) / 24)</f>
        <v>45990.573544791667</v>
      </c>
      <c r="I2899" s="1" t="s">
        <v>1944</v>
      </c>
      <c r="J2899" s="1">
        <v>611.16999999999996</v>
      </c>
    </row>
    <row r="2900" spans="1:10" x14ac:dyDescent="0.25">
      <c r="A2900" s="1" t="s">
        <v>68</v>
      </c>
      <c r="B2900" s="1" t="s">
        <v>69</v>
      </c>
      <c r="C2900" s="1" t="s">
        <v>1365</v>
      </c>
      <c r="D2900" s="1">
        <v>37.122900000000001</v>
      </c>
      <c r="E2900" s="1">
        <v>-80.558700000000002</v>
      </c>
      <c r="F2900" s="1" t="s">
        <v>1925</v>
      </c>
      <c r="G2900" s="22">
        <v>1750.8352265415076</v>
      </c>
      <c r="H2900" s="20">
        <f ca="1">NOW() - TIME(5,30,0) + (VLOOKUP(MasterTable[[#This Row],[TimeZone]], $O$3:$P$8, 2, FALSE) / 24)</f>
        <v>45990.573544791667</v>
      </c>
      <c r="I2900" s="1" t="s">
        <v>1944</v>
      </c>
      <c r="J2900" s="1">
        <v>10.19</v>
      </c>
    </row>
    <row r="2901" spans="1:10" x14ac:dyDescent="0.25">
      <c r="A2901" s="1" t="s">
        <v>68</v>
      </c>
      <c r="B2901" s="1" t="s">
        <v>69</v>
      </c>
      <c r="C2901" s="1" t="s">
        <v>1366</v>
      </c>
      <c r="D2901" s="1">
        <v>37.372300000000003</v>
      </c>
      <c r="E2901" s="1">
        <v>-78.812600000000003</v>
      </c>
      <c r="F2901" s="1" t="s">
        <v>1925</v>
      </c>
      <c r="G2901" s="22">
        <v>1847.3562680585512</v>
      </c>
      <c r="H2901" s="20">
        <f ca="1">NOW() - TIME(5,30,0) + (VLOOKUP(MasterTable[[#This Row],[TimeZone]], $O$3:$P$8, 2, FALSE) / 24)</f>
        <v>45990.573544791667</v>
      </c>
      <c r="I2901" s="1" t="s">
        <v>1944</v>
      </c>
      <c r="J2901" s="1">
        <v>334.73</v>
      </c>
    </row>
    <row r="2902" spans="1:10" x14ac:dyDescent="0.25">
      <c r="A2902" s="1" t="s">
        <v>68</v>
      </c>
      <c r="B2902" s="1" t="s">
        <v>69</v>
      </c>
      <c r="C2902" s="1" t="s">
        <v>476</v>
      </c>
      <c r="D2902" s="1">
        <v>36.764800000000001</v>
      </c>
      <c r="E2902" s="1">
        <v>-77.858999999999995</v>
      </c>
      <c r="F2902" s="1" t="s">
        <v>1925</v>
      </c>
      <c r="G2902" s="22">
        <v>1899.5379596018067</v>
      </c>
      <c r="H2902" s="20">
        <f ca="1">NOW() - TIME(5,30,0) + (VLOOKUP(MasterTable[[#This Row],[TimeZone]], $O$3:$P$8, 2, FALSE) / 24)</f>
        <v>45990.573544791667</v>
      </c>
      <c r="I2902" s="1" t="s">
        <v>1944</v>
      </c>
      <c r="J2902" s="1">
        <v>1050.01</v>
      </c>
    </row>
    <row r="2903" spans="1:10" x14ac:dyDescent="0.25">
      <c r="A2903" s="1" t="s">
        <v>68</v>
      </c>
      <c r="B2903" s="1" t="s">
        <v>69</v>
      </c>
      <c r="C2903" s="1" t="s">
        <v>1387</v>
      </c>
      <c r="D2903" s="1">
        <v>37.143000000000001</v>
      </c>
      <c r="E2903" s="1">
        <v>-78.051199999999994</v>
      </c>
      <c r="F2903" s="1" t="s">
        <v>1925</v>
      </c>
      <c r="G2903" s="22">
        <v>1888.958834782442</v>
      </c>
      <c r="H2903" s="20">
        <f ca="1">NOW() - TIME(5,30,0) + (VLOOKUP(MasterTable[[#This Row],[TimeZone]], $O$3:$P$8, 2, FALSE) / 24)</f>
        <v>45990.573544791667</v>
      </c>
      <c r="I2903" s="1" t="s">
        <v>1944</v>
      </c>
      <c r="J2903" s="1">
        <v>316.10000000000002</v>
      </c>
    </row>
    <row r="2904" spans="1:10" x14ac:dyDescent="0.25">
      <c r="A2904" s="1" t="s">
        <v>68</v>
      </c>
      <c r="B2904" s="1" t="s">
        <v>69</v>
      </c>
      <c r="C2904" s="1" t="s">
        <v>1070</v>
      </c>
      <c r="D2904" s="1">
        <v>37.269300000000001</v>
      </c>
      <c r="E2904" s="1">
        <v>-76.707599999999999</v>
      </c>
      <c r="F2904" s="1" t="s">
        <v>1925</v>
      </c>
      <c r="G2904" s="22">
        <v>1962.9327884087581</v>
      </c>
      <c r="H2904" s="20">
        <f ca="1">NOW() - TIME(5,30,0) + (VLOOKUP(MasterTable[[#This Row],[TimeZone]], $O$3:$P$8, 2, FALSE) / 24)</f>
        <v>45990.573544791667</v>
      </c>
      <c r="I2904" s="1" t="s">
        <v>1944</v>
      </c>
      <c r="J2904" s="1">
        <v>936.92</v>
      </c>
    </row>
    <row r="2905" spans="1:10" x14ac:dyDescent="0.25">
      <c r="A2905" s="1" t="s">
        <v>68</v>
      </c>
      <c r="B2905" s="1" t="s">
        <v>69</v>
      </c>
      <c r="C2905" s="1" t="s">
        <v>595</v>
      </c>
      <c r="D2905" s="1">
        <v>36.931600000000003</v>
      </c>
      <c r="E2905" s="1">
        <v>-80.362499999999997</v>
      </c>
      <c r="F2905" s="1" t="s">
        <v>1925</v>
      </c>
      <c r="G2905" s="22">
        <v>1761.2391817796229</v>
      </c>
      <c r="H2905" s="20">
        <f ca="1">NOW() - TIME(5,30,0) + (VLOOKUP(MasterTable[[#This Row],[TimeZone]], $O$3:$P$8, 2, FALSE) / 24)</f>
        <v>45990.573544791667</v>
      </c>
      <c r="I2905" s="1" t="s">
        <v>1944</v>
      </c>
      <c r="J2905" s="1">
        <v>518.46</v>
      </c>
    </row>
    <row r="2906" spans="1:10" x14ac:dyDescent="0.25">
      <c r="A2906" s="1" t="s">
        <v>68</v>
      </c>
      <c r="B2906" s="1" t="s">
        <v>69</v>
      </c>
      <c r="C2906" s="1" t="s">
        <v>486</v>
      </c>
      <c r="D2906" s="1">
        <v>36.656500000000001</v>
      </c>
      <c r="E2906" s="1">
        <v>-81.224900000000005</v>
      </c>
      <c r="F2906" s="1" t="s">
        <v>1925</v>
      </c>
      <c r="G2906" s="22">
        <v>1713.0339989491501</v>
      </c>
      <c r="H2906" s="20">
        <f ca="1">NOW() - TIME(5,30,0) + (VLOOKUP(MasterTable[[#This Row],[TimeZone]], $O$3:$P$8, 2, FALSE) / 24)</f>
        <v>45990.573544791667</v>
      </c>
      <c r="I2906" s="1" t="s">
        <v>1944</v>
      </c>
      <c r="J2906" s="1">
        <v>510.85</v>
      </c>
    </row>
    <row r="2907" spans="1:10" x14ac:dyDescent="0.25">
      <c r="A2907" s="1" t="s">
        <v>68</v>
      </c>
      <c r="B2907" s="1" t="s">
        <v>69</v>
      </c>
      <c r="C2907" s="1" t="s">
        <v>508</v>
      </c>
      <c r="D2907" s="1">
        <v>39.112299999999998</v>
      </c>
      <c r="E2907" s="1">
        <v>-77.996700000000004</v>
      </c>
      <c r="F2907" s="1" t="s">
        <v>1925</v>
      </c>
      <c r="G2907" s="22">
        <v>1897.5674781123882</v>
      </c>
      <c r="H2907" s="20">
        <f ca="1">NOW() - TIME(5,30,0) + (VLOOKUP(MasterTable[[#This Row],[TimeZone]], $O$3:$P$8, 2, FALSE) / 24)</f>
        <v>45990.573544791667</v>
      </c>
      <c r="I2907" s="1" t="s">
        <v>1944</v>
      </c>
      <c r="J2907" s="1">
        <v>1252.51</v>
      </c>
    </row>
    <row r="2908" spans="1:10" x14ac:dyDescent="0.25">
      <c r="A2908" s="1" t="s">
        <v>68</v>
      </c>
      <c r="B2908" s="1" t="s">
        <v>69</v>
      </c>
      <c r="C2908" s="1" t="s">
        <v>1403</v>
      </c>
      <c r="D2908" s="1">
        <v>37.787799999999997</v>
      </c>
      <c r="E2908" s="1">
        <v>-80.006200000000007</v>
      </c>
      <c r="F2908" s="1" t="s">
        <v>1925</v>
      </c>
      <c r="G2908" s="22">
        <v>1783.1697002817461</v>
      </c>
      <c r="H2908" s="20">
        <f ca="1">NOW() - TIME(5,30,0) + (VLOOKUP(MasterTable[[#This Row],[TimeZone]], $O$3:$P$8, 2, FALSE) / 24)</f>
        <v>45990.573544791667</v>
      </c>
      <c r="I2908" s="1" t="s">
        <v>1944</v>
      </c>
      <c r="J2908" s="1">
        <v>235.52</v>
      </c>
    </row>
    <row r="2909" spans="1:10" x14ac:dyDescent="0.25">
      <c r="A2909" s="1" t="s">
        <v>68</v>
      </c>
      <c r="B2909" s="1" t="s">
        <v>69</v>
      </c>
      <c r="C2909" s="1" t="s">
        <v>866</v>
      </c>
      <c r="D2909" s="1">
        <v>37.787399999999998</v>
      </c>
      <c r="E2909" s="1">
        <v>-78.886799999999994</v>
      </c>
      <c r="F2909" s="1" t="s">
        <v>1925</v>
      </c>
      <c r="G2909" s="22">
        <v>1844.2279474237571</v>
      </c>
      <c r="H2909" s="20">
        <f ca="1">NOW() - TIME(5,30,0) + (VLOOKUP(MasterTable[[#This Row],[TimeZone]], $O$3:$P$8, 2, FALSE) / 24)</f>
        <v>45990.573544791667</v>
      </c>
      <c r="I2909" s="1" t="s">
        <v>1944</v>
      </c>
      <c r="J2909" s="1">
        <v>424.07</v>
      </c>
    </row>
    <row r="2910" spans="1:10" x14ac:dyDescent="0.25">
      <c r="A2910" s="1" t="s">
        <v>68</v>
      </c>
      <c r="B2910" s="1" t="s">
        <v>69</v>
      </c>
      <c r="C2910" s="1" t="s">
        <v>1413</v>
      </c>
      <c r="D2910" s="1">
        <v>38.884700000000002</v>
      </c>
      <c r="E2910" s="1">
        <v>-77.1751</v>
      </c>
      <c r="F2910" s="1" t="s">
        <v>1925</v>
      </c>
      <c r="G2910" s="22">
        <v>1940.5670650585639</v>
      </c>
      <c r="H2910" s="20">
        <f ca="1">NOW() - TIME(5,30,0) + (VLOOKUP(MasterTable[[#This Row],[TimeZone]], $O$3:$P$8, 2, FALSE) / 24)</f>
        <v>45990.573544791667</v>
      </c>
      <c r="I2910" s="1" t="s">
        <v>1944</v>
      </c>
      <c r="J2910" s="1">
        <v>1.99</v>
      </c>
    </row>
    <row r="2911" spans="1:10" x14ac:dyDescent="0.25">
      <c r="A2911" s="1" t="s">
        <v>68</v>
      </c>
      <c r="B2911" s="1" t="s">
        <v>69</v>
      </c>
      <c r="C2911" s="1" t="s">
        <v>244</v>
      </c>
      <c r="D2911" s="1">
        <v>38.413699999999999</v>
      </c>
      <c r="E2911" s="1">
        <v>-78.279200000000003</v>
      </c>
      <c r="F2911" s="1" t="s">
        <v>1925</v>
      </c>
      <c r="G2911" s="22">
        <v>1879.2748582101581</v>
      </c>
      <c r="H2911" s="20">
        <f ca="1">NOW() - TIME(5,30,0) + (VLOOKUP(MasterTable[[#This Row],[TimeZone]], $O$3:$P$8, 2, FALSE) / 24)</f>
        <v>45990.573544791667</v>
      </c>
      <c r="I2911" s="1" t="s">
        <v>1944</v>
      </c>
      <c r="J2911" s="1">
        <v>812.85</v>
      </c>
    </row>
    <row r="2912" spans="1:10" x14ac:dyDescent="0.25">
      <c r="A2912" s="1" t="s">
        <v>68</v>
      </c>
      <c r="B2912" s="1" t="s">
        <v>69</v>
      </c>
      <c r="C2912" s="1" t="s">
        <v>1440</v>
      </c>
      <c r="D2912" s="1">
        <v>37.125799999999998</v>
      </c>
      <c r="E2912" s="1">
        <v>-82.350399999999993</v>
      </c>
      <c r="F2912" s="1" t="s">
        <v>1925</v>
      </c>
      <c r="G2912" s="22">
        <v>1652.2428088215652</v>
      </c>
      <c r="H2912" s="20">
        <f ca="1">NOW() - TIME(5,30,0) + (VLOOKUP(MasterTable[[#This Row],[TimeZone]], $O$3:$P$8, 2, FALSE) / 24)</f>
        <v>45990.573544791667</v>
      </c>
      <c r="I2912" s="1" t="s">
        <v>1944</v>
      </c>
      <c r="J2912" s="1">
        <v>333.63</v>
      </c>
    </row>
    <row r="2913" spans="1:10" x14ac:dyDescent="0.25">
      <c r="A2913" s="1" t="s">
        <v>68</v>
      </c>
      <c r="B2913" s="1" t="s">
        <v>69</v>
      </c>
      <c r="C2913" s="1" t="s">
        <v>1453</v>
      </c>
      <c r="D2913" s="1">
        <v>36.682699999999997</v>
      </c>
      <c r="E2913" s="1">
        <v>-79.863600000000005</v>
      </c>
      <c r="F2913" s="1" t="s">
        <v>1925</v>
      </c>
      <c r="G2913" s="22">
        <v>1788.5010728884879</v>
      </c>
      <c r="H2913" s="20">
        <f ca="1">NOW() - TIME(5,30,0) + (VLOOKUP(MasterTable[[#This Row],[TimeZone]], $O$3:$P$8, 2, FALSE) / 24)</f>
        <v>45990.573544791667</v>
      </c>
      <c r="I2913" s="1" t="s">
        <v>1944</v>
      </c>
      <c r="J2913" s="1">
        <v>11.01</v>
      </c>
    </row>
    <row r="2914" spans="1:10" x14ac:dyDescent="0.25">
      <c r="A2914" s="1" t="s">
        <v>68</v>
      </c>
      <c r="B2914" s="1" t="s">
        <v>69</v>
      </c>
      <c r="C2914" s="1" t="s">
        <v>1457</v>
      </c>
      <c r="D2914" s="1">
        <v>37.335999999999999</v>
      </c>
      <c r="E2914" s="1">
        <v>-77.976100000000002</v>
      </c>
      <c r="F2914" s="1" t="s">
        <v>1925</v>
      </c>
      <c r="G2914" s="22">
        <v>1893.2433863287799</v>
      </c>
      <c r="H2914" s="20">
        <f ca="1">NOW() - TIME(5,30,0) + (VLOOKUP(MasterTable[[#This Row],[TimeZone]], $O$3:$P$8, 2, FALSE) / 24)</f>
        <v>45990.573544791667</v>
      </c>
      <c r="I2914" s="1" t="s">
        <v>1944</v>
      </c>
      <c r="J2914" s="1">
        <v>358.54</v>
      </c>
    </row>
    <row r="2915" spans="1:10" x14ac:dyDescent="0.25">
      <c r="A2915" s="1" t="s">
        <v>68</v>
      </c>
      <c r="B2915" s="1" t="s">
        <v>69</v>
      </c>
      <c r="C2915" s="1" t="s">
        <v>1481</v>
      </c>
      <c r="D2915" s="1">
        <v>37.130899999999997</v>
      </c>
      <c r="E2915" s="1">
        <v>-76.356899999999996</v>
      </c>
      <c r="F2915" s="1" t="s">
        <v>1925</v>
      </c>
      <c r="G2915" s="22">
        <v>1982.2871740892147</v>
      </c>
      <c r="H2915" s="20">
        <f ca="1">NOW() - TIME(5,30,0) + (VLOOKUP(MasterTable[[#This Row],[TimeZone]], $O$3:$P$8, 2, FALSE) / 24)</f>
        <v>45990.573544791667</v>
      </c>
      <c r="I2915" s="1" t="s">
        <v>1944</v>
      </c>
      <c r="J2915" s="1">
        <v>78.430000000000007</v>
      </c>
    </row>
    <row r="2916" spans="1:10" x14ac:dyDescent="0.25">
      <c r="A2916" s="1" t="s">
        <v>68</v>
      </c>
      <c r="B2916" s="1" t="s">
        <v>69</v>
      </c>
      <c r="C2916" s="1" t="s">
        <v>281</v>
      </c>
      <c r="D2916" s="1">
        <v>37.344000000000001</v>
      </c>
      <c r="E2916" s="1">
        <v>-75.877200000000002</v>
      </c>
      <c r="F2916" s="1" t="s">
        <v>1925</v>
      </c>
      <c r="G2916" s="22">
        <v>2008.5474861086398</v>
      </c>
      <c r="H2916" s="20">
        <f ca="1">NOW() - TIME(5,30,0) + (VLOOKUP(MasterTable[[#This Row],[TimeZone]], $O$3:$P$8, 2, FALSE) / 24)</f>
        <v>45990.573544791667</v>
      </c>
      <c r="I2916" s="1" t="s">
        <v>1944</v>
      </c>
      <c r="J2916" s="1">
        <v>550.61</v>
      </c>
    </row>
    <row r="2917" spans="1:10" x14ac:dyDescent="0.25">
      <c r="A2917" s="1" t="s">
        <v>68</v>
      </c>
      <c r="B2917" s="1" t="s">
        <v>69</v>
      </c>
      <c r="C2917" s="1" t="s">
        <v>630</v>
      </c>
      <c r="D2917" s="1">
        <v>37.887300000000003</v>
      </c>
      <c r="E2917" s="1">
        <v>-76.419499999999999</v>
      </c>
      <c r="F2917" s="1" t="s">
        <v>1925</v>
      </c>
      <c r="G2917" s="22">
        <v>1979.0046300192691</v>
      </c>
      <c r="H2917" s="20">
        <f ca="1">NOW() - TIME(5,30,0) + (VLOOKUP(MasterTable[[#This Row],[TimeZone]], $O$3:$P$8, 2, FALSE) / 24)</f>
        <v>45990.573544791667</v>
      </c>
      <c r="I2917" s="1" t="s">
        <v>1944</v>
      </c>
      <c r="J2917" s="1">
        <v>477.38</v>
      </c>
    </row>
    <row r="2918" spans="1:10" x14ac:dyDescent="0.25">
      <c r="A2918" s="1" t="s">
        <v>68</v>
      </c>
      <c r="B2918" s="1" t="s">
        <v>69</v>
      </c>
      <c r="C2918" s="1" t="s">
        <v>1501</v>
      </c>
      <c r="D2918" s="1">
        <v>36.946199999999997</v>
      </c>
      <c r="E2918" s="1">
        <v>-78.240600000000001</v>
      </c>
      <c r="F2918" s="1" t="s">
        <v>1925</v>
      </c>
      <c r="G2918" s="22">
        <v>1878.4269372772508</v>
      </c>
      <c r="H2918" s="20">
        <f ca="1">NOW() - TIME(5,30,0) + (VLOOKUP(MasterTable[[#This Row],[TimeZone]], $O$3:$P$8, 2, FALSE) / 24)</f>
        <v>45990.573544791667</v>
      </c>
      <c r="I2918" s="1" t="s">
        <v>1944</v>
      </c>
      <c r="J2918" s="1">
        <v>432.38</v>
      </c>
    </row>
    <row r="2919" spans="1:10" x14ac:dyDescent="0.25">
      <c r="A2919" s="1" t="s">
        <v>68</v>
      </c>
      <c r="B2919" s="1" t="s">
        <v>69</v>
      </c>
      <c r="C2919" s="1" t="s">
        <v>385</v>
      </c>
      <c r="D2919" s="1">
        <v>37.011600000000001</v>
      </c>
      <c r="E2919" s="1">
        <v>-78.661600000000007</v>
      </c>
      <c r="F2919" s="1" t="s">
        <v>1925</v>
      </c>
      <c r="G2919" s="22">
        <v>1855.2222022742808</v>
      </c>
      <c r="H2919" s="20">
        <f ca="1">NOW() - TIME(5,30,0) + (VLOOKUP(MasterTable[[#This Row],[TimeZone]], $O$3:$P$8, 2, FALSE) / 24)</f>
        <v>45990.573544791667</v>
      </c>
      <c r="I2919" s="1" t="s">
        <v>1944</v>
      </c>
      <c r="J2919" s="1">
        <v>859.12</v>
      </c>
    </row>
    <row r="2920" spans="1:10" x14ac:dyDescent="0.25">
      <c r="A2920" s="1" t="s">
        <v>68</v>
      </c>
      <c r="B2920" s="1" t="s">
        <v>69</v>
      </c>
      <c r="C2920" s="1" t="s">
        <v>1519</v>
      </c>
      <c r="D2920" s="1">
        <v>36.675899999999999</v>
      </c>
      <c r="E2920" s="1">
        <v>-77.559600000000003</v>
      </c>
      <c r="F2920" s="1" t="s">
        <v>1925</v>
      </c>
      <c r="G2920" s="22">
        <v>1916.1757064431695</v>
      </c>
      <c r="H2920" s="20">
        <f ca="1">NOW() - TIME(5,30,0) + (VLOOKUP(MasterTable[[#This Row],[TimeZone]], $O$3:$P$8, 2, FALSE) / 24)</f>
        <v>45990.573544791667</v>
      </c>
      <c r="I2920" s="1" t="s">
        <v>1944</v>
      </c>
      <c r="J2920" s="1">
        <v>296.81</v>
      </c>
    </row>
    <row r="2921" spans="1:10" x14ac:dyDescent="0.25">
      <c r="A2921" s="1" t="s">
        <v>68</v>
      </c>
      <c r="B2921" s="1" t="s">
        <v>69</v>
      </c>
      <c r="C2921" s="1" t="s">
        <v>181</v>
      </c>
      <c r="D2921" s="1">
        <v>37.734499999999997</v>
      </c>
      <c r="E2921" s="1">
        <v>-76.463200000000001</v>
      </c>
      <c r="F2921" s="1" t="s">
        <v>1925</v>
      </c>
      <c r="G2921" s="22">
        <v>1976.4813853654741</v>
      </c>
      <c r="H2921" s="20">
        <f ca="1">NOW() - TIME(5,30,0) + (VLOOKUP(MasterTable[[#This Row],[TimeZone]], $O$3:$P$8, 2, FALSE) / 24)</f>
        <v>45990.573544791667</v>
      </c>
      <c r="I2921" s="1" t="s">
        <v>1944</v>
      </c>
      <c r="J2921" s="1">
        <v>846.71</v>
      </c>
    </row>
    <row r="2922" spans="1:10" x14ac:dyDescent="0.25">
      <c r="A2922" s="1" t="s">
        <v>68</v>
      </c>
      <c r="B2922" s="1" t="s">
        <v>69</v>
      </c>
      <c r="C2922" s="1" t="s">
        <v>330</v>
      </c>
      <c r="D2922" s="1">
        <v>36.921799999999998</v>
      </c>
      <c r="E2922" s="1">
        <v>-77.261799999999994</v>
      </c>
      <c r="F2922" s="1" t="s">
        <v>1925</v>
      </c>
      <c r="G2922" s="22">
        <v>1932.4898973794152</v>
      </c>
      <c r="H2922" s="20">
        <f ca="1">NOW() - TIME(5,30,0) + (VLOOKUP(MasterTable[[#This Row],[TimeZone]], $O$3:$P$8, 2, FALSE) / 24)</f>
        <v>45990.573544791667</v>
      </c>
      <c r="I2922" s="1" t="s">
        <v>1944</v>
      </c>
      <c r="J2922" s="1">
        <v>1195.6500000000001</v>
      </c>
    </row>
    <row r="2923" spans="1:10" x14ac:dyDescent="0.25">
      <c r="A2923" s="1" t="s">
        <v>68</v>
      </c>
      <c r="B2923" s="1" t="s">
        <v>69</v>
      </c>
      <c r="C2923" s="1" t="s">
        <v>38</v>
      </c>
      <c r="D2923" s="1">
        <v>37.630299999999998</v>
      </c>
      <c r="E2923" s="1">
        <v>-76.569800000000001</v>
      </c>
      <c r="F2923" s="1" t="s">
        <v>1925</v>
      </c>
      <c r="G2923" s="22">
        <v>1970.5819488725465</v>
      </c>
      <c r="H2923" s="20">
        <f ca="1">NOW() - TIME(5,30,0) + (VLOOKUP(MasterTable[[#This Row],[TimeZone]], $O$3:$P$8, 2, FALSE) / 24)</f>
        <v>45990.573544791667</v>
      </c>
      <c r="I2923" s="1" t="s">
        <v>1944</v>
      </c>
      <c r="J2923" s="1">
        <v>439.07</v>
      </c>
    </row>
    <row r="2924" spans="1:10" x14ac:dyDescent="0.25">
      <c r="A2924" s="1" t="s">
        <v>68</v>
      </c>
      <c r="B2924" s="1" t="s">
        <v>69</v>
      </c>
      <c r="C2924" s="1" t="s">
        <v>116</v>
      </c>
      <c r="D2924" s="1">
        <v>37.942799999999998</v>
      </c>
      <c r="E2924" s="1">
        <v>-76.951899999999995</v>
      </c>
      <c r="F2924" s="1" t="s">
        <v>1925</v>
      </c>
      <c r="G2924" s="22">
        <v>1950.0608219376027</v>
      </c>
      <c r="H2924" s="20">
        <f ca="1">NOW() - TIME(5,30,0) + (VLOOKUP(MasterTable[[#This Row],[TimeZone]], $O$3:$P$8, 2, FALSE) / 24)</f>
        <v>45990.573544791667</v>
      </c>
      <c r="I2924" s="1" t="s">
        <v>1944</v>
      </c>
      <c r="J2924" s="1">
        <v>828.53</v>
      </c>
    </row>
    <row r="2925" spans="1:10" x14ac:dyDescent="0.25">
      <c r="A2925" s="1" t="s">
        <v>68</v>
      </c>
      <c r="B2925" s="1" t="s">
        <v>69</v>
      </c>
      <c r="C2925" s="1" t="s">
        <v>271</v>
      </c>
      <c r="D2925" s="1">
        <v>37.512099999999997</v>
      </c>
      <c r="E2925" s="1">
        <v>-78.245000000000005</v>
      </c>
      <c r="F2925" s="1" t="s">
        <v>1925</v>
      </c>
      <c r="G2925" s="22">
        <v>1878.7193250147436</v>
      </c>
      <c r="H2925" s="20">
        <f ca="1">NOW() - TIME(5,30,0) + (VLOOKUP(MasterTable[[#This Row],[TimeZone]], $O$3:$P$8, 2, FALSE) / 24)</f>
        <v>45990.573544791667</v>
      </c>
      <c r="I2925" s="1" t="s">
        <v>1944</v>
      </c>
      <c r="J2925" s="1">
        <v>347</v>
      </c>
    </row>
    <row r="2926" spans="1:10" x14ac:dyDescent="0.25">
      <c r="A2926" s="1" t="s">
        <v>68</v>
      </c>
      <c r="B2926" s="1" t="s">
        <v>69</v>
      </c>
      <c r="C2926" s="1" t="s">
        <v>203</v>
      </c>
      <c r="D2926" s="1">
        <v>37.942599999999999</v>
      </c>
      <c r="E2926" s="1">
        <v>-76.725200000000001</v>
      </c>
      <c r="F2926" s="1" t="s">
        <v>1925</v>
      </c>
      <c r="G2926" s="22">
        <v>1962.4109724743842</v>
      </c>
      <c r="H2926" s="20">
        <f ca="1">NOW() - TIME(5,30,0) + (VLOOKUP(MasterTable[[#This Row],[TimeZone]], $O$3:$P$8, 2, FALSE) / 24)</f>
        <v>45990.573544791667</v>
      </c>
      <c r="I2926" s="1" t="s">
        <v>1944</v>
      </c>
      <c r="J2926" s="1">
        <v>328.45</v>
      </c>
    </row>
    <row r="2927" spans="1:10" x14ac:dyDescent="0.25">
      <c r="A2927" s="1" t="s">
        <v>68</v>
      </c>
      <c r="B2927" s="1" t="s">
        <v>69</v>
      </c>
      <c r="C2927" s="1" t="s">
        <v>1607</v>
      </c>
      <c r="D2927" s="1">
        <v>37.435299999999998</v>
      </c>
      <c r="E2927" s="1">
        <v>-76.343800000000002</v>
      </c>
      <c r="F2927" s="1" t="s">
        <v>1925</v>
      </c>
      <c r="G2927" s="22">
        <v>1982.9069684050587</v>
      </c>
      <c r="H2927" s="20">
        <f ca="1">NOW() - TIME(5,30,0) + (VLOOKUP(MasterTable[[#This Row],[TimeZone]], $O$3:$P$8, 2, FALSE) / 24)</f>
        <v>45990.573544791667</v>
      </c>
      <c r="I2927" s="1" t="s">
        <v>1944</v>
      </c>
      <c r="J2927" s="1">
        <v>251.96</v>
      </c>
    </row>
    <row r="2928" spans="1:10" x14ac:dyDescent="0.25">
      <c r="A2928" s="1" t="s">
        <v>68</v>
      </c>
      <c r="B2928" s="1" t="s">
        <v>69</v>
      </c>
      <c r="C2928" s="1" t="s">
        <v>50</v>
      </c>
      <c r="D2928" s="1">
        <v>36.683100000000003</v>
      </c>
      <c r="E2928" s="1">
        <v>-76.938599999999994</v>
      </c>
      <c r="F2928" s="1" t="s">
        <v>1925</v>
      </c>
      <c r="G2928" s="22">
        <v>1950.577266253905</v>
      </c>
      <c r="H2928" s="20">
        <f ca="1">NOW() - TIME(5,30,0) + (VLOOKUP(MasterTable[[#This Row],[TimeZone]], $O$3:$P$8, 2, FALSE) / 24)</f>
        <v>45990.573544791667</v>
      </c>
      <c r="I2928" s="1" t="s">
        <v>1944</v>
      </c>
      <c r="J2928" s="1">
        <v>646.51</v>
      </c>
    </row>
    <row r="2929" spans="1:10" x14ac:dyDescent="0.25">
      <c r="A2929" s="1" t="s">
        <v>68</v>
      </c>
      <c r="B2929" s="1" t="s">
        <v>69</v>
      </c>
      <c r="C2929" s="1" t="s">
        <v>290</v>
      </c>
      <c r="D2929" s="1">
        <v>37.782499999999999</v>
      </c>
      <c r="E2929" s="1">
        <v>-79.444000000000003</v>
      </c>
      <c r="F2929" s="1" t="s">
        <v>1925</v>
      </c>
      <c r="G2929" s="22">
        <v>1813.8138404023734</v>
      </c>
      <c r="H2929" s="20">
        <f ca="1">NOW() - TIME(5,30,0) + (VLOOKUP(MasterTable[[#This Row],[TimeZone]], $O$3:$P$8, 2, FALSE) / 24)</f>
        <v>45990.573544791667</v>
      </c>
      <c r="I2929" s="1" t="s">
        <v>1944</v>
      </c>
      <c r="J2929" s="1">
        <v>757.88</v>
      </c>
    </row>
    <row r="2930" spans="1:10" x14ac:dyDescent="0.25">
      <c r="A2930" s="1" t="s">
        <v>68</v>
      </c>
      <c r="B2930" s="1" t="s">
        <v>69</v>
      </c>
      <c r="C2930" s="1" t="s">
        <v>1651</v>
      </c>
      <c r="D2930" s="1">
        <v>38.684800000000003</v>
      </c>
      <c r="E2930" s="1">
        <v>-78.159199999999998</v>
      </c>
      <c r="F2930" s="1" t="s">
        <v>1925</v>
      </c>
      <c r="G2930" s="22">
        <v>1886.8374727984785</v>
      </c>
      <c r="H2930" s="20">
        <f ca="1">NOW() - TIME(5,30,0) + (VLOOKUP(MasterTable[[#This Row],[TimeZone]], $O$3:$P$8, 2, FALSE) / 24)</f>
        <v>45990.573544791667</v>
      </c>
      <c r="I2930" s="1" t="s">
        <v>1944</v>
      </c>
      <c r="J2930" s="1">
        <v>266.83</v>
      </c>
    </row>
    <row r="2931" spans="1:10" x14ac:dyDescent="0.25">
      <c r="A2931" s="1" t="s">
        <v>68</v>
      </c>
      <c r="B2931" s="1" t="s">
        <v>69</v>
      </c>
      <c r="C2931" s="1" t="s">
        <v>1683</v>
      </c>
      <c r="D2931" s="1">
        <v>36.665999999999997</v>
      </c>
      <c r="E2931" s="1">
        <v>-80.917599999999993</v>
      </c>
      <c r="F2931" s="1" t="s">
        <v>1925</v>
      </c>
      <c r="G2931" s="22">
        <v>1730.0782217277895</v>
      </c>
      <c r="H2931" s="20">
        <f ca="1">NOW() - TIME(5,30,0) + (VLOOKUP(MasterTable[[#This Row],[TimeZone]], $O$3:$P$8, 2, FALSE) / 24)</f>
        <v>45990.573544791667</v>
      </c>
      <c r="I2931" s="1" t="s">
        <v>1944</v>
      </c>
      <c r="J2931" s="1">
        <v>8.23</v>
      </c>
    </row>
    <row r="2932" spans="1:10" x14ac:dyDescent="0.25">
      <c r="A2932" s="1" t="s">
        <v>68</v>
      </c>
      <c r="B2932" s="1" t="s">
        <v>69</v>
      </c>
      <c r="C2932" s="1" t="s">
        <v>1687</v>
      </c>
      <c r="D2932" s="1">
        <v>37.356699999999996</v>
      </c>
      <c r="E2932" s="1">
        <v>-77.062200000000004</v>
      </c>
      <c r="F2932" s="1" t="s">
        <v>1925</v>
      </c>
      <c r="G2932" s="22">
        <v>1943.4565624523989</v>
      </c>
      <c r="H2932" s="20">
        <f ca="1">NOW() - TIME(5,30,0) + (VLOOKUP(MasterTable[[#This Row],[TimeZone]], $O$3:$P$8, 2, FALSE) / 24)</f>
        <v>45990.573544791667</v>
      </c>
      <c r="I2932" s="1" t="s">
        <v>1944</v>
      </c>
      <c r="J2932" s="1">
        <v>204.22</v>
      </c>
    </row>
    <row r="2933" spans="1:10" x14ac:dyDescent="0.25">
      <c r="A2933" s="1" t="s">
        <v>68</v>
      </c>
      <c r="B2933" s="1" t="s">
        <v>69</v>
      </c>
      <c r="C2933" s="1" t="s">
        <v>1688</v>
      </c>
      <c r="D2933" s="1">
        <v>37.718600000000002</v>
      </c>
      <c r="E2933" s="1">
        <v>-76.895300000000006</v>
      </c>
      <c r="F2933" s="1" t="s">
        <v>1925</v>
      </c>
      <c r="G2933" s="22">
        <v>1952.853985704912</v>
      </c>
      <c r="H2933" s="20">
        <f ca="1">NOW() - TIME(5,30,0) + (VLOOKUP(MasterTable[[#This Row],[TimeZone]], $O$3:$P$8, 2, FALSE) / 24)</f>
        <v>45990.573544791667</v>
      </c>
      <c r="I2933" s="1" t="s">
        <v>1944</v>
      </c>
      <c r="J2933" s="1">
        <v>326.33</v>
      </c>
    </row>
    <row r="2934" spans="1:10" x14ac:dyDescent="0.25">
      <c r="A2934" s="1" t="s">
        <v>68</v>
      </c>
      <c r="B2934" s="1" t="s">
        <v>69</v>
      </c>
      <c r="C2934" s="1" t="s">
        <v>1259</v>
      </c>
      <c r="D2934" s="1">
        <v>37.731900000000003</v>
      </c>
      <c r="E2934" s="1">
        <v>-79.356800000000007</v>
      </c>
      <c r="F2934" s="1" t="s">
        <v>1925</v>
      </c>
      <c r="G2934" s="22">
        <v>1818.4147065707912</v>
      </c>
      <c r="H2934" s="20">
        <f ca="1">NOW() - TIME(5,30,0) + (VLOOKUP(MasterTable[[#This Row],[TimeZone]], $O$3:$P$8, 2, FALSE) / 24)</f>
        <v>45990.573544791667</v>
      </c>
      <c r="I2934" s="1" t="s">
        <v>1944</v>
      </c>
      <c r="J2934" s="1">
        <v>580.07000000000005</v>
      </c>
    </row>
    <row r="2935" spans="1:10" x14ac:dyDescent="0.25">
      <c r="A2935" s="1" t="s">
        <v>68</v>
      </c>
      <c r="B2935" s="1" t="s">
        <v>69</v>
      </c>
      <c r="C2935" s="1" t="s">
        <v>707</v>
      </c>
      <c r="D2935" s="1">
        <v>37.1098</v>
      </c>
      <c r="E2935" s="1">
        <v>-76.900199999999998</v>
      </c>
      <c r="F2935" s="1" t="s">
        <v>1925</v>
      </c>
      <c r="G2935" s="22">
        <v>1952.3644670838648</v>
      </c>
      <c r="H2935" s="20">
        <f ca="1">NOW() - TIME(5,30,0) + (VLOOKUP(MasterTable[[#This Row],[TimeZone]], $O$3:$P$8, 2, FALSE) / 24)</f>
        <v>45990.573544791667</v>
      </c>
      <c r="I2935" s="1" t="s">
        <v>1944</v>
      </c>
      <c r="J2935" s="1">
        <v>537.79</v>
      </c>
    </row>
    <row r="2936" spans="1:10" x14ac:dyDescent="0.25">
      <c r="A2936" s="1" t="s">
        <v>68</v>
      </c>
      <c r="B2936" s="1" t="s">
        <v>69</v>
      </c>
      <c r="C2936" s="1" t="s">
        <v>1705</v>
      </c>
      <c r="D2936" s="1">
        <v>37.134</v>
      </c>
      <c r="E2936" s="1">
        <v>-81.130200000000002</v>
      </c>
      <c r="F2936" s="1" t="s">
        <v>1925</v>
      </c>
      <c r="G2936" s="22">
        <v>1719.4059589892131</v>
      </c>
      <c r="H2936" s="20">
        <f ca="1">NOW() - TIME(5,30,0) + (VLOOKUP(MasterTable[[#This Row],[TimeZone]], $O$3:$P$8, 2, FALSE) / 24)</f>
        <v>45990.573544791667</v>
      </c>
      <c r="I2936" s="1" t="s">
        <v>1944</v>
      </c>
      <c r="J2936" s="1">
        <v>358.73</v>
      </c>
    </row>
    <row r="2937" spans="1:10" x14ac:dyDescent="0.25">
      <c r="A2937" s="1" t="s">
        <v>68</v>
      </c>
      <c r="B2937" s="1" t="s">
        <v>69</v>
      </c>
      <c r="C2937" s="1" t="s">
        <v>979</v>
      </c>
      <c r="D2937" s="1">
        <v>37.778500000000001</v>
      </c>
      <c r="E2937" s="1">
        <v>-79.986800000000002</v>
      </c>
      <c r="F2937" s="1" t="s">
        <v>1925</v>
      </c>
      <c r="G2937" s="22">
        <v>1784.1933872536197</v>
      </c>
      <c r="H2937" s="20">
        <f ca="1">NOW() - TIME(5,30,0) + (VLOOKUP(MasterTable[[#This Row],[TimeZone]], $O$3:$P$8, 2, FALSE) / 24)</f>
        <v>45990.573544791667</v>
      </c>
      <c r="I2937" s="1" t="s">
        <v>1944</v>
      </c>
      <c r="J2937" s="1">
        <v>1043.8599999999999</v>
      </c>
    </row>
    <row r="2938" spans="1:10" x14ac:dyDescent="0.25">
      <c r="A2938" s="1" t="s">
        <v>68</v>
      </c>
      <c r="B2938" s="1" t="s">
        <v>69</v>
      </c>
      <c r="C2938" s="1" t="s">
        <v>1728</v>
      </c>
      <c r="D2938" s="1">
        <v>36.6952</v>
      </c>
      <c r="E2938" s="1">
        <v>-77.5364</v>
      </c>
      <c r="F2938" s="1" t="s">
        <v>1925</v>
      </c>
      <c r="G2938" s="22">
        <v>1917.4452943603155</v>
      </c>
      <c r="H2938" s="20">
        <f ca="1">NOW() - TIME(5,30,0) + (VLOOKUP(MasterTable[[#This Row],[TimeZone]], $O$3:$P$8, 2, FALSE) / 24)</f>
        <v>45990.573544791667</v>
      </c>
      <c r="I2938" s="1" t="s">
        <v>1944</v>
      </c>
      <c r="J2938" s="1">
        <v>6.97</v>
      </c>
    </row>
    <row r="2939" spans="1:10" x14ac:dyDescent="0.25">
      <c r="A2939" s="1" t="s">
        <v>68</v>
      </c>
      <c r="B2939" s="1" t="s">
        <v>69</v>
      </c>
      <c r="C2939" s="1" t="s">
        <v>1427</v>
      </c>
      <c r="D2939" s="1">
        <v>37.481699999999996</v>
      </c>
      <c r="E2939" s="1">
        <v>-80.211399999999998</v>
      </c>
      <c r="F2939" s="1" t="s">
        <v>1925</v>
      </c>
      <c r="G2939" s="22">
        <v>1770.9122575317642</v>
      </c>
      <c r="H2939" s="20">
        <f ca="1">NOW() - TIME(5,30,0) + (VLOOKUP(MasterTable[[#This Row],[TimeZone]], $O$3:$P$8, 2, FALSE) / 24)</f>
        <v>45990.573544791667</v>
      </c>
      <c r="I2939" s="1" t="s">
        <v>1944</v>
      </c>
      <c r="J2939" s="1">
        <v>762.71</v>
      </c>
    </row>
    <row r="2940" spans="1:10" x14ac:dyDescent="0.25">
      <c r="A2940" s="1" t="s">
        <v>68</v>
      </c>
      <c r="B2940" s="1" t="s">
        <v>69</v>
      </c>
      <c r="C2940" s="1" t="s">
        <v>1471</v>
      </c>
      <c r="D2940" s="1">
        <v>38.058700000000002</v>
      </c>
      <c r="E2940" s="1">
        <v>-79.741100000000003</v>
      </c>
      <c r="F2940" s="1" t="s">
        <v>1925</v>
      </c>
      <c r="G2940" s="22">
        <v>1798.659392711174</v>
      </c>
      <c r="H2940" s="20">
        <f ca="1">NOW() - TIME(5,30,0) + (VLOOKUP(MasterTable[[#This Row],[TimeZone]], $O$3:$P$8, 2, FALSE) / 24)</f>
        <v>45990.573544791667</v>
      </c>
      <c r="I2940" s="1" t="s">
        <v>1944</v>
      </c>
      <c r="J2940" s="1">
        <v>283.94</v>
      </c>
    </row>
    <row r="2941" spans="1:10" x14ac:dyDescent="0.25">
      <c r="A2941" s="1" t="s">
        <v>68</v>
      </c>
      <c r="B2941" s="1" t="s">
        <v>69</v>
      </c>
      <c r="C2941" s="1" t="s">
        <v>1739</v>
      </c>
      <c r="D2941" s="1">
        <v>36.9315</v>
      </c>
      <c r="E2941" s="1">
        <v>-82.626199999999997</v>
      </c>
      <c r="F2941" s="1" t="s">
        <v>1925</v>
      </c>
      <c r="G2941" s="22">
        <v>1636.3095059089869</v>
      </c>
      <c r="H2941" s="20">
        <f ca="1">NOW() - TIME(5,30,0) + (VLOOKUP(MasterTable[[#This Row],[TimeZone]], $O$3:$P$8, 2, FALSE) / 24)</f>
        <v>45990.573544791667</v>
      </c>
      <c r="I2941" s="1" t="s">
        <v>1944</v>
      </c>
      <c r="J2941" s="1">
        <v>881.39</v>
      </c>
    </row>
    <row r="2942" spans="1:10" x14ac:dyDescent="0.25">
      <c r="A2942" s="1" t="s">
        <v>68</v>
      </c>
      <c r="B2942" s="1" t="s">
        <v>69</v>
      </c>
      <c r="C2942" s="1" t="s">
        <v>912</v>
      </c>
      <c r="D2942" s="1">
        <v>38.362299999999998</v>
      </c>
      <c r="E2942" s="1">
        <v>-79.568600000000004</v>
      </c>
      <c r="F2942" s="1" t="s">
        <v>1925</v>
      </c>
      <c r="G2942" s="22">
        <v>1809.3548539917242</v>
      </c>
      <c r="H2942" s="20">
        <f ca="1">NOW() - TIME(5,30,0) + (VLOOKUP(MasterTable[[#This Row],[TimeZone]], $O$3:$P$8, 2, FALSE) / 24)</f>
        <v>45990.573544791667</v>
      </c>
      <c r="I2942" s="1" t="s">
        <v>1944</v>
      </c>
      <c r="J2942" s="1">
        <v>557.84</v>
      </c>
    </row>
    <row r="2943" spans="1:10" x14ac:dyDescent="0.25">
      <c r="A2943" s="1" t="s">
        <v>429</v>
      </c>
      <c r="B2943" s="1" t="s">
        <v>430</v>
      </c>
      <c r="C2943" s="1" t="s">
        <v>428</v>
      </c>
      <c r="D2943" s="1">
        <v>44.461100000000002</v>
      </c>
      <c r="E2943" s="1">
        <v>-73.081299999999999</v>
      </c>
      <c r="F2943" s="1" t="s">
        <v>1925</v>
      </c>
      <c r="G2943" s="22">
        <v>2194.4476143734969</v>
      </c>
      <c r="H2943" s="20">
        <f ca="1">NOW() - TIME(5,30,0) + (VLOOKUP(MasterTable[[#This Row],[TimeZone]], $O$3:$P$8, 2, FALSE) / 24)</f>
        <v>45990.573544791667</v>
      </c>
      <c r="I2943" s="1" t="s">
        <v>1944</v>
      </c>
      <c r="J2943" s="1">
        <v>619.64</v>
      </c>
    </row>
    <row r="2944" spans="1:10" x14ac:dyDescent="0.25">
      <c r="A2944" s="1" t="s">
        <v>429</v>
      </c>
      <c r="B2944" s="1" t="s">
        <v>430</v>
      </c>
      <c r="C2944" s="1" t="s">
        <v>774</v>
      </c>
      <c r="D2944" s="1">
        <v>43.580100000000002</v>
      </c>
      <c r="E2944" s="1">
        <v>-73.036299999999997</v>
      </c>
      <c r="F2944" s="1" t="s">
        <v>1925</v>
      </c>
      <c r="G2944" s="22">
        <v>2187.3115751155956</v>
      </c>
      <c r="H2944" s="20">
        <f ca="1">NOW() - TIME(5,30,0) + (VLOOKUP(MasterTable[[#This Row],[TimeZone]], $O$3:$P$8, 2, FALSE) / 24)</f>
        <v>45990.573544791667</v>
      </c>
      <c r="I2944" s="1" t="s">
        <v>1944</v>
      </c>
      <c r="J2944" s="1">
        <v>944.77</v>
      </c>
    </row>
    <row r="2945" spans="1:10" x14ac:dyDescent="0.25">
      <c r="A2945" s="1" t="s">
        <v>429</v>
      </c>
      <c r="B2945" s="1" t="s">
        <v>430</v>
      </c>
      <c r="C2945" s="1" t="s">
        <v>28</v>
      </c>
      <c r="D2945" s="1">
        <v>44.273600000000002</v>
      </c>
      <c r="E2945" s="1">
        <v>-72.614699999999999</v>
      </c>
      <c r="F2945" s="1" t="s">
        <v>1925</v>
      </c>
      <c r="G2945" s="22">
        <v>2215.1280066292165</v>
      </c>
      <c r="H2945" s="20">
        <f ca="1">NOW() - TIME(5,30,0) + (VLOOKUP(MasterTable[[#This Row],[TimeZone]], $O$3:$P$8, 2, FALSE) / 24)</f>
        <v>45990.573544791667</v>
      </c>
      <c r="I2945" s="1" t="s">
        <v>1944</v>
      </c>
      <c r="J2945" s="1">
        <v>1088.54</v>
      </c>
    </row>
    <row r="2946" spans="1:10" x14ac:dyDescent="0.25">
      <c r="A2946" s="1" t="s">
        <v>429</v>
      </c>
      <c r="B2946" s="1" t="s">
        <v>430</v>
      </c>
      <c r="C2946" s="1" t="s">
        <v>795</v>
      </c>
      <c r="D2946" s="1">
        <v>43.579900000000002</v>
      </c>
      <c r="E2946" s="1">
        <v>-72.586200000000005</v>
      </c>
      <c r="F2946" s="1" t="s">
        <v>1925</v>
      </c>
      <c r="G2946" s="22">
        <v>2209.6248705944745</v>
      </c>
      <c r="H2946" s="20">
        <f ca="1">NOW() - TIME(5,30,0) + (VLOOKUP(MasterTable[[#This Row],[TimeZone]], $O$3:$P$8, 2, FALSE) / 24)</f>
        <v>45990.573544791667</v>
      </c>
      <c r="I2946" s="1" t="s">
        <v>1944</v>
      </c>
      <c r="J2946" s="1">
        <v>975.74</v>
      </c>
    </row>
    <row r="2947" spans="1:10" x14ac:dyDescent="0.25">
      <c r="A2947" s="1" t="s">
        <v>429</v>
      </c>
      <c r="B2947" s="1" t="s">
        <v>430</v>
      </c>
      <c r="C2947" s="1" t="s">
        <v>50</v>
      </c>
      <c r="D2947" s="1">
        <v>44.857599999999998</v>
      </c>
      <c r="E2947" s="1">
        <v>-72.9131</v>
      </c>
      <c r="F2947" s="1" t="s">
        <v>1925</v>
      </c>
      <c r="G2947" s="22">
        <v>2207.2544435567888</v>
      </c>
      <c r="H2947" s="20">
        <f ca="1">NOW() - TIME(5,30,0) + (VLOOKUP(MasterTable[[#This Row],[TimeZone]], $O$3:$P$8, 2, FALSE) / 24)</f>
        <v>45990.573544791667</v>
      </c>
      <c r="I2947" s="1" t="s">
        <v>1944</v>
      </c>
      <c r="J2947" s="1">
        <v>646.51</v>
      </c>
    </row>
    <row r="2948" spans="1:10" x14ac:dyDescent="0.25">
      <c r="A2948" s="1" t="s">
        <v>429</v>
      </c>
      <c r="B2948" s="1" t="s">
        <v>430</v>
      </c>
      <c r="C2948" s="1" t="s">
        <v>879</v>
      </c>
      <c r="D2948" s="1">
        <v>42.990600000000001</v>
      </c>
      <c r="E2948" s="1">
        <v>-72.713899999999995</v>
      </c>
      <c r="F2948" s="1" t="s">
        <v>1925</v>
      </c>
      <c r="G2948" s="22">
        <v>2198.0746004072721</v>
      </c>
      <c r="H2948" s="20">
        <f ca="1">NOW() - TIME(5,30,0) + (VLOOKUP(MasterTable[[#This Row],[TimeZone]], $O$3:$P$8, 2, FALSE) / 24)</f>
        <v>45990.573544791667</v>
      </c>
      <c r="I2948" s="1" t="s">
        <v>1944</v>
      </c>
      <c r="J2948" s="1">
        <v>521.47</v>
      </c>
    </row>
    <row r="2949" spans="1:10" x14ac:dyDescent="0.25">
      <c r="A2949" s="1" t="s">
        <v>429</v>
      </c>
      <c r="B2949" s="1" t="s">
        <v>430</v>
      </c>
      <c r="C2949" s="1" t="s">
        <v>981</v>
      </c>
      <c r="D2949" s="1">
        <v>44.030900000000003</v>
      </c>
      <c r="E2949" s="1">
        <v>-73.140799999999999</v>
      </c>
      <c r="F2949" s="1" t="s">
        <v>1925</v>
      </c>
      <c r="G2949" s="22">
        <v>2186.7688853257337</v>
      </c>
      <c r="H2949" s="20">
        <f ca="1">NOW() - TIME(5,30,0) + (VLOOKUP(MasterTable[[#This Row],[TimeZone]], $O$3:$P$8, 2, FALSE) / 24)</f>
        <v>45990.573544791667</v>
      </c>
      <c r="I2949" s="1" t="s">
        <v>1944</v>
      </c>
      <c r="J2949" s="1">
        <v>808.3</v>
      </c>
    </row>
    <row r="2950" spans="1:10" x14ac:dyDescent="0.25">
      <c r="A2950" s="1" t="s">
        <v>429</v>
      </c>
      <c r="B2950" s="1" t="s">
        <v>430</v>
      </c>
      <c r="C2950" s="1" t="s">
        <v>985</v>
      </c>
      <c r="D2950" s="1">
        <v>43.035400000000003</v>
      </c>
      <c r="E2950" s="1">
        <v>-73.093199999999996</v>
      </c>
      <c r="F2950" s="1" t="s">
        <v>1925</v>
      </c>
      <c r="G2950" s="22">
        <v>2179.438810690167</v>
      </c>
      <c r="H2950" s="20">
        <f ca="1">NOW() - TIME(5,30,0) + (VLOOKUP(MasterTable[[#This Row],[TimeZone]], $O$3:$P$8, 2, FALSE) / 24)</f>
        <v>45990.573544791667</v>
      </c>
      <c r="I2950" s="1" t="s">
        <v>1944</v>
      </c>
      <c r="J2950" s="1">
        <v>677.67</v>
      </c>
    </row>
    <row r="2951" spans="1:10" x14ac:dyDescent="0.25">
      <c r="A2951" s="1" t="s">
        <v>429</v>
      </c>
      <c r="B2951" s="1" t="s">
        <v>430</v>
      </c>
      <c r="C2951" s="1" t="s">
        <v>1072</v>
      </c>
      <c r="D2951" s="1">
        <v>44.464700000000001</v>
      </c>
      <c r="E2951" s="1">
        <v>-72.102199999999996</v>
      </c>
      <c r="F2951" s="1" t="s">
        <v>1925</v>
      </c>
      <c r="G2951" s="22">
        <v>2242.1601852257127</v>
      </c>
      <c r="H2951" s="20">
        <f ca="1">NOW() - TIME(5,30,0) + (VLOOKUP(MasterTable[[#This Row],[TimeZone]], $O$3:$P$8, 2, FALSE) / 24)</f>
        <v>45990.573544791667</v>
      </c>
      <c r="I2951" s="1" t="s">
        <v>1944</v>
      </c>
      <c r="J2951" s="1">
        <v>657.52</v>
      </c>
    </row>
    <row r="2952" spans="1:10" x14ac:dyDescent="0.25">
      <c r="A2952" s="1" t="s">
        <v>429</v>
      </c>
      <c r="B2952" s="1" t="s">
        <v>430</v>
      </c>
      <c r="C2952" s="1" t="s">
        <v>13</v>
      </c>
      <c r="D2952" s="1">
        <v>44.005600000000001</v>
      </c>
      <c r="E2952" s="1">
        <v>-72.376800000000003</v>
      </c>
      <c r="F2952" s="1" t="s">
        <v>1925</v>
      </c>
      <c r="G2952" s="22">
        <v>2224.0472927890523</v>
      </c>
      <c r="H2952" s="20">
        <f ca="1">NOW() - TIME(5,30,0) + (VLOOKUP(MasterTable[[#This Row],[TimeZone]], $O$3:$P$8, 2, FALSE) / 24)</f>
        <v>45990.573544791667</v>
      </c>
      <c r="I2952" s="1" t="s">
        <v>1944</v>
      </c>
      <c r="J2952" s="1">
        <v>947.98</v>
      </c>
    </row>
    <row r="2953" spans="1:10" x14ac:dyDescent="0.25">
      <c r="A2953" s="1" t="s">
        <v>429</v>
      </c>
      <c r="B2953" s="1" t="s">
        <v>430</v>
      </c>
      <c r="C2953" s="1" t="s">
        <v>253</v>
      </c>
      <c r="D2953" s="1">
        <v>44.829000000000001</v>
      </c>
      <c r="E2953" s="1">
        <v>-72.243600000000001</v>
      </c>
      <c r="F2953" s="1" t="s">
        <v>1925</v>
      </c>
      <c r="G2953" s="22">
        <v>2239.2518323062727</v>
      </c>
      <c r="H2953" s="20">
        <f ca="1">NOW() - TIME(5,30,0) + (VLOOKUP(MasterTable[[#This Row],[TimeZone]], $O$3:$P$8, 2, FALSE) / 24)</f>
        <v>45990.573544791667</v>
      </c>
      <c r="I2953" s="1" t="s">
        <v>1944</v>
      </c>
      <c r="J2953" s="1">
        <v>350.21</v>
      </c>
    </row>
    <row r="2954" spans="1:10" x14ac:dyDescent="0.25">
      <c r="A2954" s="1" t="s">
        <v>429</v>
      </c>
      <c r="B2954" s="1" t="s">
        <v>430</v>
      </c>
      <c r="C2954" s="1" t="s">
        <v>1144</v>
      </c>
      <c r="D2954" s="1">
        <v>44.606999999999999</v>
      </c>
      <c r="E2954" s="1">
        <v>-72.641900000000007</v>
      </c>
      <c r="F2954" s="1" t="s">
        <v>1925</v>
      </c>
      <c r="G2954" s="22">
        <v>2217.4545524080049</v>
      </c>
      <c r="H2954" s="20">
        <f ca="1">NOW() - TIME(5,30,0) + (VLOOKUP(MasterTable[[#This Row],[TimeZone]], $O$3:$P$8, 2, FALSE) / 24)</f>
        <v>45990.573544791667</v>
      </c>
      <c r="I2954" s="1" t="s">
        <v>1944</v>
      </c>
      <c r="J2954" s="1">
        <v>463.75</v>
      </c>
    </row>
    <row r="2955" spans="1:10" x14ac:dyDescent="0.25">
      <c r="A2955" s="1" t="s">
        <v>429</v>
      </c>
      <c r="B2955" s="1" t="s">
        <v>430</v>
      </c>
      <c r="C2955" s="1" t="s">
        <v>1653</v>
      </c>
      <c r="D2955" s="1">
        <v>44.798099999999998</v>
      </c>
      <c r="E2955" s="1">
        <v>-73.294799999999995</v>
      </c>
      <c r="F2955" s="1" t="s">
        <v>1925</v>
      </c>
      <c r="G2955" s="22">
        <v>2188.1170103334662</v>
      </c>
      <c r="H2955" s="20">
        <f ca="1">NOW() - TIME(5,30,0) + (VLOOKUP(MasterTable[[#This Row],[TimeZone]], $O$3:$P$8, 2, FALSE) / 24)</f>
        <v>45990.573544791667</v>
      </c>
      <c r="I2955" s="1" t="s">
        <v>1944</v>
      </c>
      <c r="J2955" s="1">
        <v>194.67</v>
      </c>
    </row>
    <row r="2956" spans="1:10" x14ac:dyDescent="0.25">
      <c r="A2956" s="1" t="s">
        <v>429</v>
      </c>
      <c r="B2956" s="1" t="s">
        <v>430</v>
      </c>
      <c r="C2956" s="1" t="s">
        <v>116</v>
      </c>
      <c r="D2956" s="1">
        <v>44.727499999999999</v>
      </c>
      <c r="E2956" s="1">
        <v>-71.735900000000001</v>
      </c>
      <c r="F2956" s="1" t="s">
        <v>1925</v>
      </c>
      <c r="G2956" s="22">
        <v>2262.7335034935172</v>
      </c>
      <c r="H2956" s="20">
        <f ca="1">NOW() - TIME(5,30,0) + (VLOOKUP(MasterTable[[#This Row],[TimeZone]], $O$3:$P$8, 2, FALSE) / 24)</f>
        <v>45990.573544791667</v>
      </c>
      <c r="I2956" s="1" t="s">
        <v>1944</v>
      </c>
      <c r="J2956" s="1">
        <v>828.53</v>
      </c>
    </row>
    <row r="2957" spans="1:10" x14ac:dyDescent="0.25">
      <c r="A2957" s="1" t="s">
        <v>27</v>
      </c>
      <c r="B2957" s="1" t="s">
        <v>28</v>
      </c>
      <c r="C2957" s="1" t="s">
        <v>26</v>
      </c>
      <c r="D2957" s="1">
        <v>47.490299999999998</v>
      </c>
      <c r="E2957" s="1">
        <v>-121.8052</v>
      </c>
      <c r="F2957" s="1" t="s">
        <v>1924</v>
      </c>
      <c r="G2957" s="22">
        <v>1199.8009926817376</v>
      </c>
      <c r="H2957" s="20">
        <f ca="1">NOW() - TIME(5,30,0) + (VLOOKUP(MasterTable[[#This Row],[TimeZone]], $O$3:$P$8, 2, FALSE) / 24)</f>
        <v>45990.448544791667</v>
      </c>
      <c r="I2957" s="1" t="s">
        <v>1944</v>
      </c>
      <c r="J2957" s="1">
        <v>913.33</v>
      </c>
    </row>
    <row r="2958" spans="1:10" x14ac:dyDescent="0.25">
      <c r="A2958" s="1" t="s">
        <v>27</v>
      </c>
      <c r="B2958" s="1" t="s">
        <v>28</v>
      </c>
      <c r="C2958" s="1" t="s">
        <v>106</v>
      </c>
      <c r="D2958" s="1">
        <v>47.023899999999998</v>
      </c>
      <c r="E2958" s="1">
        <v>-122.1041</v>
      </c>
      <c r="F2958" s="1" t="s">
        <v>1924</v>
      </c>
      <c r="G2958" s="22">
        <v>1180.4772393269163</v>
      </c>
      <c r="H2958" s="20">
        <f ca="1">NOW() - TIME(5,30,0) + (VLOOKUP(MasterTable[[#This Row],[TimeZone]], $O$3:$P$8, 2, FALSE) / 24)</f>
        <v>45990.448544791667</v>
      </c>
      <c r="I2958" s="1" t="s">
        <v>1944</v>
      </c>
      <c r="J2958" s="1">
        <v>343.9</v>
      </c>
    </row>
    <row r="2959" spans="1:10" x14ac:dyDescent="0.25">
      <c r="A2959" s="1" t="s">
        <v>27</v>
      </c>
      <c r="B2959" s="1" t="s">
        <v>28</v>
      </c>
      <c r="C2959" s="1" t="s">
        <v>120</v>
      </c>
      <c r="D2959" s="1">
        <v>48.047400000000003</v>
      </c>
      <c r="E2959" s="1">
        <v>-121.6972</v>
      </c>
      <c r="F2959" s="1" t="s">
        <v>1924</v>
      </c>
      <c r="G2959" s="22">
        <v>1229.8994510337179</v>
      </c>
      <c r="H2959" s="20">
        <f ca="1">NOW() - TIME(5,30,0) + (VLOOKUP(MasterTable[[#This Row],[TimeZone]], $O$3:$P$8, 2, FALSE) / 24)</f>
        <v>45990.448544791667</v>
      </c>
      <c r="I2959" s="1" t="s">
        <v>1944</v>
      </c>
      <c r="J2959" s="1">
        <v>2196.41</v>
      </c>
    </row>
    <row r="2960" spans="1:10" x14ac:dyDescent="0.25">
      <c r="A2960" s="1" t="s">
        <v>27</v>
      </c>
      <c r="B2960" s="1" t="s">
        <v>28</v>
      </c>
      <c r="C2960" s="1" t="s">
        <v>184</v>
      </c>
      <c r="D2960" s="1">
        <v>47.620800000000003</v>
      </c>
      <c r="E2960" s="1">
        <v>-117.404</v>
      </c>
      <c r="F2960" s="1" t="s">
        <v>1924</v>
      </c>
      <c r="G2960" s="22">
        <v>1117.0272138354956</v>
      </c>
      <c r="H2960" s="20">
        <f ca="1">NOW() - TIME(5,30,0) + (VLOOKUP(MasterTable[[#This Row],[TimeZone]], $O$3:$P$8, 2, FALSE) / 24)</f>
        <v>45990.448544791667</v>
      </c>
      <c r="I2960" s="1" t="s">
        <v>1944</v>
      </c>
      <c r="J2960" s="1">
        <v>1780.72</v>
      </c>
    </row>
    <row r="2961" spans="1:10" x14ac:dyDescent="0.25">
      <c r="A2961" s="1" t="s">
        <v>27</v>
      </c>
      <c r="B2961" s="1" t="s">
        <v>28</v>
      </c>
      <c r="C2961" s="1" t="s">
        <v>23</v>
      </c>
      <c r="D2961" s="1">
        <v>45.779200000000003</v>
      </c>
      <c r="E2961" s="1">
        <v>-122.4825</v>
      </c>
      <c r="F2961" s="1" t="s">
        <v>1924</v>
      </c>
      <c r="G2961" s="22">
        <v>1121.0614798900071</v>
      </c>
      <c r="H2961" s="20">
        <f ca="1">NOW() - TIME(5,30,0) + (VLOOKUP(MasterTable[[#This Row],[TimeZone]], $O$3:$P$8, 2, FALSE) / 24)</f>
        <v>45990.448544791667</v>
      </c>
      <c r="I2961" s="1" t="s">
        <v>1944</v>
      </c>
      <c r="J2961" s="1">
        <v>882.6</v>
      </c>
    </row>
    <row r="2962" spans="1:10" x14ac:dyDescent="0.25">
      <c r="A2962" s="1" t="s">
        <v>27</v>
      </c>
      <c r="B2962" s="1" t="s">
        <v>28</v>
      </c>
      <c r="C2962" s="1" t="s">
        <v>296</v>
      </c>
      <c r="D2962" s="1">
        <v>46.925600000000003</v>
      </c>
      <c r="E2962" s="1">
        <v>-122.83329999999999</v>
      </c>
      <c r="F2962" s="1" t="s">
        <v>1924</v>
      </c>
      <c r="G2962" s="22">
        <v>1194.6061918308158</v>
      </c>
      <c r="H2962" s="20">
        <f ca="1">NOW() - TIME(5,30,0) + (VLOOKUP(MasterTable[[#This Row],[TimeZone]], $O$3:$P$8, 2, FALSE) / 24)</f>
        <v>45990.448544791667</v>
      </c>
      <c r="I2962" s="1" t="s">
        <v>1944</v>
      </c>
      <c r="J2962" s="1">
        <v>396.25</v>
      </c>
    </row>
    <row r="2963" spans="1:10" x14ac:dyDescent="0.25">
      <c r="A2963" s="1" t="s">
        <v>27</v>
      </c>
      <c r="B2963" s="1" t="s">
        <v>28</v>
      </c>
      <c r="C2963" s="1" t="s">
        <v>311</v>
      </c>
      <c r="D2963" s="1">
        <v>47.612699999999997</v>
      </c>
      <c r="E2963" s="1">
        <v>-122.67619999999999</v>
      </c>
      <c r="F2963" s="1" t="s">
        <v>1924</v>
      </c>
      <c r="G2963" s="22">
        <v>1229.1904370402569</v>
      </c>
      <c r="H2963" s="20">
        <f ca="1">NOW() - TIME(5,30,0) + (VLOOKUP(MasterTable[[#This Row],[TimeZone]], $O$3:$P$8, 2, FALSE) / 24)</f>
        <v>45990.448544791667</v>
      </c>
      <c r="I2963" s="1" t="s">
        <v>1944</v>
      </c>
      <c r="J2963" s="1">
        <v>565.98</v>
      </c>
    </row>
    <row r="2964" spans="1:10" x14ac:dyDescent="0.25">
      <c r="A2964" s="1" t="s">
        <v>27</v>
      </c>
      <c r="B2964" s="1" t="s">
        <v>28</v>
      </c>
      <c r="C2964" s="1" t="s">
        <v>325</v>
      </c>
      <c r="D2964" s="1">
        <v>46.457099999999997</v>
      </c>
      <c r="E2964" s="1">
        <v>-120.7385</v>
      </c>
      <c r="F2964" s="1" t="s">
        <v>1924</v>
      </c>
      <c r="G2964" s="22">
        <v>1112.6229482221058</v>
      </c>
      <c r="H2964" s="20">
        <f ca="1">NOW() - TIME(5,30,0) + (VLOOKUP(MasterTable[[#This Row],[TimeZone]], $O$3:$P$8, 2, FALSE) / 24)</f>
        <v>45990.448544791667</v>
      </c>
      <c r="I2964" s="1" t="s">
        <v>1944</v>
      </c>
      <c r="J2964" s="1">
        <v>4311.6099999999997</v>
      </c>
    </row>
    <row r="2965" spans="1:10" x14ac:dyDescent="0.25">
      <c r="A2965" s="1" t="s">
        <v>27</v>
      </c>
      <c r="B2965" s="1" t="s">
        <v>28</v>
      </c>
      <c r="C2965" s="1" t="s">
        <v>350</v>
      </c>
      <c r="D2965" s="1">
        <v>48.825899999999997</v>
      </c>
      <c r="E2965" s="1">
        <v>-121.7199</v>
      </c>
      <c r="F2965" s="1" t="s">
        <v>1924</v>
      </c>
      <c r="G2965" s="22">
        <v>1276.7480329685782</v>
      </c>
      <c r="H2965" s="20">
        <f ca="1">NOW() - TIME(5,30,0) + (VLOOKUP(MasterTable[[#This Row],[TimeZone]], $O$3:$P$8, 2, FALSE) / 24)</f>
        <v>45990.448544791667</v>
      </c>
      <c r="I2965" s="1" t="s">
        <v>1944</v>
      </c>
      <c r="J2965" s="1">
        <v>2503.5500000000002</v>
      </c>
    </row>
    <row r="2966" spans="1:10" x14ac:dyDescent="0.25">
      <c r="A2966" s="1" t="s">
        <v>27</v>
      </c>
      <c r="B2966" s="1" t="s">
        <v>28</v>
      </c>
      <c r="C2966" s="1" t="s">
        <v>298</v>
      </c>
      <c r="D2966" s="1">
        <v>46.239800000000002</v>
      </c>
      <c r="E2966" s="1">
        <v>-119.5112</v>
      </c>
      <c r="F2966" s="1" t="s">
        <v>1924</v>
      </c>
      <c r="G2966" s="22">
        <v>1070.5199265438475</v>
      </c>
      <c r="H2966" s="20">
        <f ca="1">NOW() - TIME(5,30,0) + (VLOOKUP(MasterTable[[#This Row],[TimeZone]], $O$3:$P$8, 2, FALSE) / 24)</f>
        <v>45990.448544791667</v>
      </c>
      <c r="I2966" s="1" t="s">
        <v>1944</v>
      </c>
      <c r="J2966" s="1">
        <v>880.24</v>
      </c>
    </row>
    <row r="2967" spans="1:10" x14ac:dyDescent="0.25">
      <c r="A2967" s="1" t="s">
        <v>27</v>
      </c>
      <c r="B2967" s="1" t="s">
        <v>28</v>
      </c>
      <c r="C2967" s="1" t="s">
        <v>505</v>
      </c>
      <c r="D2967" s="1">
        <v>48.479500000000002</v>
      </c>
      <c r="E2967" s="1">
        <v>-121.729</v>
      </c>
      <c r="F2967" s="1" t="s">
        <v>1924</v>
      </c>
      <c r="G2967" s="22">
        <v>1256.2844215555072</v>
      </c>
      <c r="H2967" s="20">
        <f ca="1">NOW() - TIME(5,30,0) + (VLOOKUP(MasterTable[[#This Row],[TimeZone]], $O$3:$P$8, 2, FALSE) / 24)</f>
        <v>45990.448544791667</v>
      </c>
      <c r="I2967" s="1" t="s">
        <v>1944</v>
      </c>
      <c r="J2967" s="1">
        <v>1920.47</v>
      </c>
    </row>
    <row r="2968" spans="1:10" x14ac:dyDescent="0.25">
      <c r="A2968" s="1" t="s">
        <v>27</v>
      </c>
      <c r="B2968" s="1" t="s">
        <v>28</v>
      </c>
      <c r="C2968" s="1" t="s">
        <v>550</v>
      </c>
      <c r="D2968" s="1">
        <v>46.193199999999997</v>
      </c>
      <c r="E2968" s="1">
        <v>-122.681</v>
      </c>
      <c r="F2968" s="1" t="s">
        <v>1924</v>
      </c>
      <c r="G2968" s="22">
        <v>1149.6137428664069</v>
      </c>
      <c r="H2968" s="20">
        <f ca="1">NOW() - TIME(5,30,0) + (VLOOKUP(MasterTable[[#This Row],[TimeZone]], $O$3:$P$8, 2, FALSE) / 24)</f>
        <v>45990.448544791667</v>
      </c>
      <c r="I2968" s="1" t="s">
        <v>1944</v>
      </c>
      <c r="J2968" s="1">
        <v>1166.33</v>
      </c>
    </row>
    <row r="2969" spans="1:10" x14ac:dyDescent="0.25">
      <c r="A2969" s="1" t="s">
        <v>27</v>
      </c>
      <c r="B2969" s="1" t="s">
        <v>28</v>
      </c>
      <c r="C2969" s="1" t="s">
        <v>590</v>
      </c>
      <c r="D2969" s="1">
        <v>47.2057</v>
      </c>
      <c r="E2969" s="1">
        <v>-119.45180000000001</v>
      </c>
      <c r="F2969" s="1" t="s">
        <v>1924</v>
      </c>
      <c r="G2969" s="22">
        <v>1128.5145772112826</v>
      </c>
      <c r="H2969" s="20">
        <f ca="1">NOW() - TIME(5,30,0) + (VLOOKUP(MasterTable[[#This Row],[TimeZone]], $O$3:$P$8, 2, FALSE) / 24)</f>
        <v>45990.448544791667</v>
      </c>
      <c r="I2969" s="1" t="s">
        <v>1944</v>
      </c>
      <c r="J2969" s="1">
        <v>633.01</v>
      </c>
    </row>
    <row r="2970" spans="1:10" x14ac:dyDescent="0.25">
      <c r="A2970" s="1" t="s">
        <v>27</v>
      </c>
      <c r="B2970" s="1" t="s">
        <v>28</v>
      </c>
      <c r="C2970" s="1" t="s">
        <v>50</v>
      </c>
      <c r="D2970" s="1">
        <v>46.534700000000001</v>
      </c>
      <c r="E2970" s="1">
        <v>-118.899</v>
      </c>
      <c r="F2970" s="1" t="s">
        <v>1924</v>
      </c>
      <c r="G2970" s="22">
        <v>1075.3841397810895</v>
      </c>
      <c r="H2970" s="20">
        <f ca="1">NOW() - TIME(5,30,0) + (VLOOKUP(MasterTable[[#This Row],[TimeZone]], $O$3:$P$8, 2, FALSE) / 24)</f>
        <v>45990.448544791667</v>
      </c>
      <c r="I2970" s="1" t="s">
        <v>1944</v>
      </c>
      <c r="J2970" s="1">
        <v>646.51</v>
      </c>
    </row>
    <row r="2971" spans="1:10" x14ac:dyDescent="0.25">
      <c r="A2971" s="1" t="s">
        <v>27</v>
      </c>
      <c r="B2971" s="1" t="s">
        <v>28</v>
      </c>
      <c r="C2971" s="1" t="s">
        <v>642</v>
      </c>
      <c r="D2971" s="1">
        <v>48.162999999999997</v>
      </c>
      <c r="E2971" s="1">
        <v>-122.54810000000001</v>
      </c>
      <c r="F2971" s="1" t="s">
        <v>1924</v>
      </c>
      <c r="G2971" s="22">
        <v>1257.5344713899883</v>
      </c>
      <c r="H2971" s="20">
        <f ca="1">NOW() - TIME(5,30,0) + (VLOOKUP(MasterTable[[#This Row],[TimeZone]], $O$3:$P$8, 2, FALSE) / 24)</f>
        <v>45990.448544791667</v>
      </c>
      <c r="I2971" s="1" t="s">
        <v>1944</v>
      </c>
      <c r="J2971" s="1">
        <v>517.39</v>
      </c>
    </row>
    <row r="2972" spans="1:10" x14ac:dyDescent="0.25">
      <c r="A2972" s="1" t="s">
        <v>27</v>
      </c>
      <c r="B2972" s="1" t="s">
        <v>28</v>
      </c>
      <c r="C2972" s="1" t="s">
        <v>649</v>
      </c>
      <c r="D2972" s="1">
        <v>46.577800000000003</v>
      </c>
      <c r="E2972" s="1">
        <v>-122.3927</v>
      </c>
      <c r="F2972" s="1" t="s">
        <v>1924</v>
      </c>
      <c r="G2972" s="22">
        <v>1162.9159413763191</v>
      </c>
      <c r="H2972" s="20">
        <f ca="1">NOW() - TIME(5,30,0) + (VLOOKUP(MasterTable[[#This Row],[TimeZone]], $O$3:$P$8, 2, FALSE) / 24)</f>
        <v>45990.448544791667</v>
      </c>
      <c r="I2972" s="1" t="s">
        <v>1944</v>
      </c>
      <c r="J2972" s="1">
        <v>479.81</v>
      </c>
    </row>
    <row r="2973" spans="1:10" x14ac:dyDescent="0.25">
      <c r="A2973" s="1" t="s">
        <v>27</v>
      </c>
      <c r="B2973" s="1" t="s">
        <v>28</v>
      </c>
      <c r="C2973" s="1" t="s">
        <v>674</v>
      </c>
      <c r="D2973" s="1">
        <v>47.869199999999999</v>
      </c>
      <c r="E2973" s="1">
        <v>-120.619</v>
      </c>
      <c r="F2973" s="1" t="s">
        <v>1924</v>
      </c>
      <c r="G2973" s="22">
        <v>1194.3554037853187</v>
      </c>
      <c r="H2973" s="20">
        <f ca="1">NOW() - TIME(5,30,0) + (VLOOKUP(MasterTable[[#This Row],[TimeZone]], $O$3:$P$8, 2, FALSE) / 24)</f>
        <v>45990.448544791667</v>
      </c>
      <c r="I2973" s="1" t="s">
        <v>1944</v>
      </c>
      <c r="J2973" s="1">
        <v>2993.62</v>
      </c>
    </row>
    <row r="2974" spans="1:10" x14ac:dyDescent="0.25">
      <c r="A2974" s="1" t="s">
        <v>27</v>
      </c>
      <c r="B2974" s="1" t="s">
        <v>28</v>
      </c>
      <c r="C2974" s="1" t="s">
        <v>681</v>
      </c>
      <c r="D2974" s="1">
        <v>48.049300000000002</v>
      </c>
      <c r="E2974" s="1">
        <v>-123.9308</v>
      </c>
      <c r="F2974" s="1" t="s">
        <v>1924</v>
      </c>
      <c r="G2974" s="22">
        <v>1287.5208582397552</v>
      </c>
      <c r="H2974" s="20">
        <f ca="1">NOW() - TIME(5,30,0) + (VLOOKUP(MasterTable[[#This Row],[TimeZone]], $O$3:$P$8, 2, FALSE) / 24)</f>
        <v>45990.448544791667</v>
      </c>
      <c r="I2974" s="1" t="s">
        <v>1944</v>
      </c>
      <c r="J2974" s="1">
        <v>2670.34</v>
      </c>
    </row>
    <row r="2975" spans="1:10" x14ac:dyDescent="0.25">
      <c r="A2975" s="1" t="s">
        <v>27</v>
      </c>
      <c r="B2975" s="1" t="s">
        <v>28</v>
      </c>
      <c r="C2975" s="1" t="s">
        <v>689</v>
      </c>
      <c r="D2975" s="1">
        <v>47.150300000000001</v>
      </c>
      <c r="E2975" s="1">
        <v>-123.7735</v>
      </c>
      <c r="F2975" s="1" t="s">
        <v>1924</v>
      </c>
      <c r="G2975" s="22">
        <v>1233.6109817455131</v>
      </c>
      <c r="H2975" s="20">
        <f ca="1">NOW() - TIME(5,30,0) + (VLOOKUP(MasterTable[[#This Row],[TimeZone]], $O$3:$P$8, 2, FALSE) / 24)</f>
        <v>45990.448544791667</v>
      </c>
      <c r="I2975" s="1" t="s">
        <v>1944</v>
      </c>
      <c r="J2975" s="1">
        <v>2224.44</v>
      </c>
    </row>
    <row r="2976" spans="1:10" x14ac:dyDescent="0.25">
      <c r="A2976" s="1" t="s">
        <v>27</v>
      </c>
      <c r="B2976" s="1" t="s">
        <v>28</v>
      </c>
      <c r="C2976" s="1" t="s">
        <v>730</v>
      </c>
      <c r="D2976" s="1">
        <v>47.348300000000002</v>
      </c>
      <c r="E2976" s="1">
        <v>-123.193</v>
      </c>
      <c r="F2976" s="1" t="s">
        <v>1924</v>
      </c>
      <c r="G2976" s="22">
        <v>1228.1721619177056</v>
      </c>
      <c r="H2976" s="20">
        <f ca="1">NOW() - TIME(5,30,0) + (VLOOKUP(MasterTable[[#This Row],[TimeZone]], $O$3:$P$8, 2, FALSE) / 24)</f>
        <v>45990.448544791667</v>
      </c>
      <c r="I2976" s="1" t="s">
        <v>1944</v>
      </c>
      <c r="J2976" s="1">
        <v>563.37</v>
      </c>
    </row>
    <row r="2977" spans="1:10" x14ac:dyDescent="0.25">
      <c r="A2977" s="1" t="s">
        <v>27</v>
      </c>
      <c r="B2977" s="1" t="s">
        <v>28</v>
      </c>
      <c r="C2977" s="1" t="s">
        <v>766</v>
      </c>
      <c r="D2977" s="1">
        <v>46.229799999999997</v>
      </c>
      <c r="E2977" s="1">
        <v>-118.47839999999999</v>
      </c>
      <c r="F2977" s="1" t="s">
        <v>1924</v>
      </c>
      <c r="G2977" s="22">
        <v>1047.7303598336782</v>
      </c>
      <c r="H2977" s="20">
        <f ca="1">NOW() - TIME(5,30,0) + (VLOOKUP(MasterTable[[#This Row],[TimeZone]], $O$3:$P$8, 2, FALSE) / 24)</f>
        <v>45990.448544791667</v>
      </c>
      <c r="I2977" s="1" t="s">
        <v>1944</v>
      </c>
      <c r="J2977" s="1">
        <v>1299.25</v>
      </c>
    </row>
    <row r="2978" spans="1:10" x14ac:dyDescent="0.25">
      <c r="A2978" s="1" t="s">
        <v>27</v>
      </c>
      <c r="B2978" s="1" t="s">
        <v>28</v>
      </c>
      <c r="C2978" s="1" t="s">
        <v>863</v>
      </c>
      <c r="D2978" s="1">
        <v>48.399099999999997</v>
      </c>
      <c r="E2978" s="1">
        <v>-117.8552</v>
      </c>
      <c r="F2978" s="1" t="s">
        <v>1924</v>
      </c>
      <c r="G2978" s="22">
        <v>1174.7004770204621</v>
      </c>
      <c r="H2978" s="20">
        <f ca="1">NOW() - TIME(5,30,0) + (VLOOKUP(MasterTable[[#This Row],[TimeZone]], $O$3:$P$8, 2, FALSE) / 24)</f>
        <v>45990.448544791667</v>
      </c>
      <c r="I2978" s="1" t="s">
        <v>1944</v>
      </c>
      <c r="J2978" s="1">
        <v>727.71</v>
      </c>
    </row>
    <row r="2979" spans="1:10" x14ac:dyDescent="0.25">
      <c r="A2979" s="1" t="s">
        <v>27</v>
      </c>
      <c r="B2979" s="1" t="s">
        <v>28</v>
      </c>
      <c r="C2979" s="1" t="s">
        <v>867</v>
      </c>
      <c r="D2979" s="1">
        <v>46.901200000000003</v>
      </c>
      <c r="E2979" s="1">
        <v>-117.523</v>
      </c>
      <c r="F2979" s="1" t="s">
        <v>1924</v>
      </c>
      <c r="G2979" s="22">
        <v>1072.4731561768945</v>
      </c>
      <c r="H2979" s="20">
        <f ca="1">NOW() - TIME(5,30,0) + (VLOOKUP(MasterTable[[#This Row],[TimeZone]], $O$3:$P$8, 2, FALSE) / 24)</f>
        <v>45990.448544791667</v>
      </c>
      <c r="I2979" s="1" t="s">
        <v>1944</v>
      </c>
      <c r="J2979" s="1">
        <v>2177.6</v>
      </c>
    </row>
    <row r="2980" spans="1:10" x14ac:dyDescent="0.25">
      <c r="A2980" s="1" t="s">
        <v>27</v>
      </c>
      <c r="B2980" s="1" t="s">
        <v>28</v>
      </c>
      <c r="C2980" s="1" t="s">
        <v>892</v>
      </c>
      <c r="D2980" s="1">
        <v>47.124400000000001</v>
      </c>
      <c r="E2980" s="1">
        <v>-120.6799</v>
      </c>
      <c r="F2980" s="1" t="s">
        <v>1924</v>
      </c>
      <c r="G2980" s="22">
        <v>1150.874660509216</v>
      </c>
      <c r="H2980" s="20">
        <f ca="1">NOW() - TIME(5,30,0) + (VLOOKUP(MasterTable[[#This Row],[TimeZone]], $O$3:$P$8, 2, FALSE) / 24)</f>
        <v>45990.448544791667</v>
      </c>
      <c r="I2980" s="1" t="s">
        <v>1944</v>
      </c>
      <c r="J2980" s="1">
        <v>2333.11</v>
      </c>
    </row>
    <row r="2981" spans="1:10" x14ac:dyDescent="0.25">
      <c r="A2981" s="1" t="s">
        <v>27</v>
      </c>
      <c r="B2981" s="1" t="s">
        <v>28</v>
      </c>
      <c r="C2981" s="1" t="s">
        <v>170</v>
      </c>
      <c r="D2981" s="1">
        <v>47.7361</v>
      </c>
      <c r="E2981" s="1">
        <v>-119.6918</v>
      </c>
      <c r="F2981" s="1" t="s">
        <v>1924</v>
      </c>
      <c r="G2981" s="22">
        <v>1166.3236972998948</v>
      </c>
      <c r="H2981" s="20">
        <f ca="1">NOW() - TIME(5,30,0) + (VLOOKUP(MasterTable[[#This Row],[TimeZone]], $O$3:$P$8, 2, FALSE) / 24)</f>
        <v>45990.448544791667</v>
      </c>
      <c r="I2981" s="1" t="s">
        <v>1944</v>
      </c>
      <c r="J2981" s="1">
        <v>842.75</v>
      </c>
    </row>
    <row r="2982" spans="1:10" x14ac:dyDescent="0.25">
      <c r="A2982" s="1" t="s">
        <v>27</v>
      </c>
      <c r="B2982" s="1" t="s">
        <v>28</v>
      </c>
      <c r="C2982" s="1" t="s">
        <v>918</v>
      </c>
      <c r="D2982" s="1">
        <v>48.5488</v>
      </c>
      <c r="E2982" s="1">
        <v>-119.74079999999999</v>
      </c>
      <c r="F2982" s="1" t="s">
        <v>1924</v>
      </c>
      <c r="G2982" s="22">
        <v>1217.8459918849862</v>
      </c>
      <c r="H2982" s="20">
        <f ca="1">NOW() - TIME(5,30,0) + (VLOOKUP(MasterTable[[#This Row],[TimeZone]], $O$3:$P$8, 2, FALSE) / 24)</f>
        <v>45990.448544791667</v>
      </c>
      <c r="I2982" s="1" t="s">
        <v>1944</v>
      </c>
      <c r="J2982" s="1">
        <v>5315.16</v>
      </c>
    </row>
    <row r="2983" spans="1:10" x14ac:dyDescent="0.25">
      <c r="A2983" s="1" t="s">
        <v>27</v>
      </c>
      <c r="B2983" s="1" t="s">
        <v>28</v>
      </c>
      <c r="C2983" s="1" t="s">
        <v>129</v>
      </c>
      <c r="D2983" s="1">
        <v>47.748600000000003</v>
      </c>
      <c r="E2983" s="1">
        <v>-123.5964</v>
      </c>
      <c r="F2983" s="1" t="s">
        <v>1924</v>
      </c>
      <c r="G2983" s="22">
        <v>1261.6041616713742</v>
      </c>
      <c r="H2983" s="20">
        <f ca="1">NOW() - TIME(5,30,0) + (VLOOKUP(MasterTable[[#This Row],[TimeZone]], $O$3:$P$8, 2, FALSE) / 24)</f>
        <v>45990.448544791667</v>
      </c>
      <c r="I2983" s="1" t="s">
        <v>1944</v>
      </c>
      <c r="J2983" s="1">
        <v>1123.8</v>
      </c>
    </row>
    <row r="2984" spans="1:10" x14ac:dyDescent="0.25">
      <c r="A2984" s="1" t="s">
        <v>27</v>
      </c>
      <c r="B2984" s="1" t="s">
        <v>28</v>
      </c>
      <c r="C2984" s="1" t="s">
        <v>1192</v>
      </c>
      <c r="D2984" s="1">
        <v>46.555599999999998</v>
      </c>
      <c r="E2984" s="1">
        <v>-123.7039</v>
      </c>
      <c r="F2984" s="1" t="s">
        <v>1924</v>
      </c>
      <c r="G2984" s="22">
        <v>1199.3406058532776</v>
      </c>
      <c r="H2984" s="20">
        <f ca="1">NOW() - TIME(5,30,0) + (VLOOKUP(MasterTable[[#This Row],[TimeZone]], $O$3:$P$8, 2, FALSE) / 24)</f>
        <v>45990.448544791667</v>
      </c>
      <c r="I2984" s="1" t="s">
        <v>1944</v>
      </c>
      <c r="J2984" s="1">
        <v>1223.5</v>
      </c>
    </row>
    <row r="2985" spans="1:10" x14ac:dyDescent="0.25">
      <c r="A2985" s="1" t="s">
        <v>27</v>
      </c>
      <c r="B2985" s="1" t="s">
        <v>28</v>
      </c>
      <c r="C2985" s="1" t="s">
        <v>1205</v>
      </c>
      <c r="D2985" s="1">
        <v>45.873800000000003</v>
      </c>
      <c r="E2985" s="1">
        <v>-120.7891</v>
      </c>
      <c r="F2985" s="1" t="s">
        <v>1924</v>
      </c>
      <c r="G2985" s="22">
        <v>1079.6966665224861</v>
      </c>
      <c r="H2985" s="20">
        <f ca="1">NOW() - TIME(5,30,0) + (VLOOKUP(MasterTable[[#This Row],[TimeZone]], $O$3:$P$8, 2, FALSE) / 24)</f>
        <v>45990.448544791667</v>
      </c>
      <c r="I2985" s="1" t="s">
        <v>1944</v>
      </c>
      <c r="J2985" s="1">
        <v>1904.18</v>
      </c>
    </row>
    <row r="2986" spans="1:10" x14ac:dyDescent="0.25">
      <c r="A2986" s="1" t="s">
        <v>27</v>
      </c>
      <c r="B2986" s="1" t="s">
        <v>28</v>
      </c>
      <c r="C2986" s="1" t="s">
        <v>1218</v>
      </c>
      <c r="D2986" s="1">
        <v>46.191800000000001</v>
      </c>
      <c r="E2986" s="1">
        <v>-117.203</v>
      </c>
      <c r="F2986" s="1" t="s">
        <v>1924</v>
      </c>
      <c r="G2986" s="22">
        <v>1021.2781165594428</v>
      </c>
      <c r="H2986" s="20">
        <f ca="1">NOW() - TIME(5,30,0) + (VLOOKUP(MasterTable[[#This Row],[TimeZone]], $O$3:$P$8, 2, FALSE) / 24)</f>
        <v>45990.448544791667</v>
      </c>
      <c r="I2986" s="1" t="s">
        <v>1944</v>
      </c>
      <c r="J2986" s="1">
        <v>640.69000000000005</v>
      </c>
    </row>
    <row r="2987" spans="1:10" x14ac:dyDescent="0.25">
      <c r="A2987" s="1" t="s">
        <v>27</v>
      </c>
      <c r="B2987" s="1" t="s">
        <v>28</v>
      </c>
      <c r="C2987" s="1" t="s">
        <v>193</v>
      </c>
      <c r="D2987" s="1">
        <v>46.983400000000003</v>
      </c>
      <c r="E2987" s="1">
        <v>-118.56059999999999</v>
      </c>
      <c r="F2987" s="1" t="s">
        <v>1924</v>
      </c>
      <c r="G2987" s="22">
        <v>1096.6673029516558</v>
      </c>
      <c r="H2987" s="20">
        <f ca="1">NOW() - TIME(5,30,0) + (VLOOKUP(MasterTable[[#This Row],[TimeZone]], $O$3:$P$8, 2, FALSE) / 24)</f>
        <v>45990.448544791667</v>
      </c>
      <c r="I2987" s="1" t="s">
        <v>1944</v>
      </c>
      <c r="J2987" s="1">
        <v>1197.71</v>
      </c>
    </row>
    <row r="2988" spans="1:10" x14ac:dyDescent="0.25">
      <c r="A2988" s="1" t="s">
        <v>27</v>
      </c>
      <c r="B2988" s="1" t="s">
        <v>28</v>
      </c>
      <c r="C2988" s="1" t="s">
        <v>527</v>
      </c>
      <c r="D2988" s="1">
        <v>48.577599999999997</v>
      </c>
      <c r="E2988" s="1">
        <v>-122.9654</v>
      </c>
      <c r="F2988" s="1" t="s">
        <v>1924</v>
      </c>
      <c r="G2988" s="22">
        <v>1291.994670876107</v>
      </c>
      <c r="H2988" s="20">
        <f ca="1">NOW() - TIME(5,30,0) + (VLOOKUP(MasterTable[[#This Row],[TimeZone]], $O$3:$P$8, 2, FALSE) / 24)</f>
        <v>45990.448544791667</v>
      </c>
      <c r="I2988" s="1" t="s">
        <v>1944</v>
      </c>
      <c r="J2988" s="1">
        <v>388.29</v>
      </c>
    </row>
    <row r="2989" spans="1:10" x14ac:dyDescent="0.25">
      <c r="A2989" s="1" t="s">
        <v>27</v>
      </c>
      <c r="B2989" s="1" t="s">
        <v>28</v>
      </c>
      <c r="C2989" s="1" t="s">
        <v>1448</v>
      </c>
      <c r="D2989" s="1">
        <v>48.532299999999999</v>
      </c>
      <c r="E2989" s="1">
        <v>-117.274</v>
      </c>
      <c r="F2989" s="1" t="s">
        <v>1924</v>
      </c>
      <c r="G2989" s="22">
        <v>1174.465500780077</v>
      </c>
      <c r="H2989" s="20">
        <f ca="1">NOW() - TIME(5,30,0) + (VLOOKUP(MasterTable[[#This Row],[TimeZone]], $O$3:$P$8, 2, FALSE) / 24)</f>
        <v>45990.448544791667</v>
      </c>
      <c r="I2989" s="1" t="s">
        <v>1944</v>
      </c>
      <c r="J2989" s="1">
        <v>1425.32</v>
      </c>
    </row>
    <row r="2990" spans="1:10" x14ac:dyDescent="0.25">
      <c r="A2990" s="1" t="s">
        <v>27</v>
      </c>
      <c r="B2990" s="1" t="s">
        <v>28</v>
      </c>
      <c r="C2990" s="1" t="s">
        <v>1491</v>
      </c>
      <c r="D2990" s="1">
        <v>46.023000000000003</v>
      </c>
      <c r="E2990" s="1">
        <v>-121.9147</v>
      </c>
      <c r="F2990" s="1" t="s">
        <v>1924</v>
      </c>
      <c r="G2990" s="22">
        <v>1118.4510399979945</v>
      </c>
      <c r="H2990" s="20">
        <f ca="1">NOW() - TIME(5,30,0) + (VLOOKUP(MasterTable[[#This Row],[TimeZone]], $O$3:$P$8, 2, FALSE) / 24)</f>
        <v>45990.448544791667</v>
      </c>
      <c r="I2990" s="1" t="s">
        <v>1944</v>
      </c>
      <c r="J2990" s="1">
        <v>1683.86</v>
      </c>
    </row>
    <row r="2991" spans="1:10" x14ac:dyDescent="0.25">
      <c r="A2991" s="1" t="s">
        <v>27</v>
      </c>
      <c r="B2991" s="1" t="s">
        <v>28</v>
      </c>
      <c r="C2991" s="1" t="s">
        <v>632</v>
      </c>
      <c r="D2991" s="1">
        <v>47.576300000000003</v>
      </c>
      <c r="E2991" s="1">
        <v>-118.4187</v>
      </c>
      <c r="F2991" s="1" t="s">
        <v>1924</v>
      </c>
      <c r="G2991" s="22">
        <v>1131.5283137330755</v>
      </c>
      <c r="H2991" s="20">
        <f ca="1">NOW() - TIME(5,30,0) + (VLOOKUP(MasterTable[[#This Row],[TimeZone]], $O$3:$P$8, 2, FALSE) / 24)</f>
        <v>45990.448544791667</v>
      </c>
      <c r="I2991" s="1" t="s">
        <v>1944</v>
      </c>
      <c r="J2991" s="1">
        <v>572.16999999999996</v>
      </c>
    </row>
    <row r="2992" spans="1:10" x14ac:dyDescent="0.25">
      <c r="A2992" s="1" t="s">
        <v>27</v>
      </c>
      <c r="B2992" s="1" t="s">
        <v>28</v>
      </c>
      <c r="C2992" s="1" t="s">
        <v>1657</v>
      </c>
      <c r="D2992" s="1">
        <v>48.470300000000002</v>
      </c>
      <c r="E2992" s="1">
        <v>-118.5166</v>
      </c>
      <c r="F2992" s="1" t="s">
        <v>1924</v>
      </c>
      <c r="G2992" s="22">
        <v>1190.2986709588536</v>
      </c>
      <c r="H2992" s="20">
        <f ca="1">NOW() - TIME(5,30,0) + (VLOOKUP(MasterTable[[#This Row],[TimeZone]], $O$3:$P$8, 2, FALSE) / 24)</f>
        <v>45990.448544791667</v>
      </c>
      <c r="I2992" s="1" t="s">
        <v>1944</v>
      </c>
      <c r="J2992" s="1">
        <v>2257.46</v>
      </c>
    </row>
    <row r="2993" spans="1:10" x14ac:dyDescent="0.25">
      <c r="A2993" s="1" t="s">
        <v>27</v>
      </c>
      <c r="B2993" s="1" t="s">
        <v>28</v>
      </c>
      <c r="C2993" s="1" t="s">
        <v>1768</v>
      </c>
      <c r="D2993" s="1">
        <v>46.291800000000002</v>
      </c>
      <c r="E2993" s="1">
        <v>-123.42440000000001</v>
      </c>
      <c r="F2993" s="1" t="s">
        <v>1924</v>
      </c>
      <c r="G2993" s="22">
        <v>1176.792490059891</v>
      </c>
      <c r="H2993" s="20">
        <f ca="1">NOW() - TIME(5,30,0) + (VLOOKUP(MasterTable[[#This Row],[TimeZone]], $O$3:$P$8, 2, FALSE) / 24)</f>
        <v>45990.448544791667</v>
      </c>
      <c r="I2993" s="1" t="s">
        <v>1944</v>
      </c>
      <c r="J2993" s="1">
        <v>286.69</v>
      </c>
    </row>
    <row r="2994" spans="1:10" x14ac:dyDescent="0.25">
      <c r="A2994" s="1" t="s">
        <v>27</v>
      </c>
      <c r="B2994" s="1" t="s">
        <v>28</v>
      </c>
      <c r="C2994" s="1" t="s">
        <v>455</v>
      </c>
      <c r="D2994" s="1">
        <v>46.297499999999999</v>
      </c>
      <c r="E2994" s="1">
        <v>-117.90779999999999</v>
      </c>
      <c r="F2994" s="1" t="s">
        <v>1924</v>
      </c>
      <c r="G2994" s="22">
        <v>1040.8084166358369</v>
      </c>
      <c r="H2994" s="20">
        <f ca="1">NOW() - TIME(5,30,0) + (VLOOKUP(MasterTable[[#This Row],[TimeZone]], $O$3:$P$8, 2, FALSE) / 24)</f>
        <v>45990.448544791667</v>
      </c>
      <c r="I2994" s="1" t="s">
        <v>1944</v>
      </c>
      <c r="J2994" s="1">
        <v>766.86</v>
      </c>
    </row>
    <row r="2995" spans="1:10" x14ac:dyDescent="0.25">
      <c r="A2995" s="1" t="s">
        <v>27</v>
      </c>
      <c r="B2995" s="1" t="s">
        <v>28</v>
      </c>
      <c r="C2995" s="1" t="s">
        <v>765</v>
      </c>
      <c r="D2995" s="1">
        <v>46.431600000000003</v>
      </c>
      <c r="E2995" s="1">
        <v>-117.54519999999999</v>
      </c>
      <c r="F2995" s="1" t="s">
        <v>1924</v>
      </c>
      <c r="G2995" s="22">
        <v>1042.7008999837556</v>
      </c>
      <c r="H2995" s="20">
        <f ca="1">NOW() - TIME(5,30,0) + (VLOOKUP(MasterTable[[#This Row],[TimeZone]], $O$3:$P$8, 2, FALSE) / 24)</f>
        <v>45990.448544791667</v>
      </c>
      <c r="I2995" s="1" t="s">
        <v>1944</v>
      </c>
      <c r="J2995" s="1">
        <v>2955.76</v>
      </c>
    </row>
    <row r="2996" spans="1:10" x14ac:dyDescent="0.25">
      <c r="A2996" s="1" t="s">
        <v>103</v>
      </c>
      <c r="B2996" s="1" t="s">
        <v>104</v>
      </c>
      <c r="C2996" s="1" t="s">
        <v>102</v>
      </c>
      <c r="D2996" s="1">
        <v>43.007199999999997</v>
      </c>
      <c r="E2996" s="1">
        <v>-87.966899999999995</v>
      </c>
      <c r="F2996" s="1" t="s">
        <v>1922</v>
      </c>
      <c r="G2996" s="22">
        <v>1453.8622764563988</v>
      </c>
      <c r="H2996" s="20">
        <f ca="1">NOW() - TIME(5,30,0) + (VLOOKUP(MasterTable[[#This Row],[TimeZone]], $O$3:$P$8, 2, FALSE) / 24)</f>
        <v>45990.531878125003</v>
      </c>
      <c r="I2996" s="1" t="s">
        <v>1944</v>
      </c>
      <c r="J2996" s="1">
        <v>1189.7</v>
      </c>
    </row>
    <row r="2997" spans="1:10" x14ac:dyDescent="0.25">
      <c r="A2997" s="1" t="s">
        <v>103</v>
      </c>
      <c r="B2997" s="1" t="s">
        <v>104</v>
      </c>
      <c r="C2997" s="1" t="s">
        <v>180</v>
      </c>
      <c r="D2997" s="1">
        <v>43.067300000000003</v>
      </c>
      <c r="E2997" s="1">
        <v>-89.418099999999995</v>
      </c>
      <c r="F2997" s="1" t="s">
        <v>1922</v>
      </c>
      <c r="G2997" s="22">
        <v>1388.7973500427136</v>
      </c>
      <c r="H2997" s="20">
        <f ca="1">NOW() - TIME(5,30,0) + (VLOOKUP(MasterTable[[#This Row],[TimeZone]], $O$3:$P$8, 2, FALSE) / 24)</f>
        <v>45990.531878125003</v>
      </c>
      <c r="I2997" s="1" t="s">
        <v>1944</v>
      </c>
      <c r="J2997" s="1">
        <v>1238.32</v>
      </c>
    </row>
    <row r="2998" spans="1:10" x14ac:dyDescent="0.25">
      <c r="A2998" s="1" t="s">
        <v>103</v>
      </c>
      <c r="B2998" s="1" t="s">
        <v>104</v>
      </c>
      <c r="C2998" s="1" t="s">
        <v>238</v>
      </c>
      <c r="D2998" s="1">
        <v>43.0182</v>
      </c>
      <c r="E2998" s="1">
        <v>-88.304500000000004</v>
      </c>
      <c r="F2998" s="1" t="s">
        <v>1922</v>
      </c>
      <c r="G2998" s="22">
        <v>1438.5169492902253</v>
      </c>
      <c r="H2998" s="20">
        <f ca="1">NOW() - TIME(5,30,0) + (VLOOKUP(MasterTable[[#This Row],[TimeZone]], $O$3:$P$8, 2, FALSE) / 24)</f>
        <v>45990.531878125003</v>
      </c>
      <c r="I2998" s="1" t="s">
        <v>1944</v>
      </c>
      <c r="J2998" s="1">
        <v>580.48</v>
      </c>
    </row>
    <row r="2999" spans="1:10" x14ac:dyDescent="0.25">
      <c r="A2999" s="1" t="s">
        <v>103</v>
      </c>
      <c r="B2999" s="1" t="s">
        <v>104</v>
      </c>
      <c r="C2999" s="1" t="s">
        <v>316</v>
      </c>
      <c r="D2999" s="1">
        <v>44.452500000000001</v>
      </c>
      <c r="E2999" s="1">
        <v>-88.003699999999995</v>
      </c>
      <c r="F2999" s="1" t="s">
        <v>1922</v>
      </c>
      <c r="G2999" s="22">
        <v>1494.2666176550611</v>
      </c>
      <c r="H2999" s="20">
        <f ca="1">NOW() - TIME(5,30,0) + (VLOOKUP(MasterTable[[#This Row],[TimeZone]], $O$3:$P$8, 2, FALSE) / 24)</f>
        <v>45990.531878125003</v>
      </c>
      <c r="I2999" s="1" t="s">
        <v>1944</v>
      </c>
      <c r="J2999" s="1">
        <v>307.24</v>
      </c>
    </row>
    <row r="3000" spans="1:10" x14ac:dyDescent="0.25">
      <c r="A3000" s="1" t="s">
        <v>103</v>
      </c>
      <c r="B3000" s="1" t="s">
        <v>104</v>
      </c>
      <c r="C3000" s="1" t="s">
        <v>382</v>
      </c>
      <c r="D3000" s="1">
        <v>42.747500000000002</v>
      </c>
      <c r="E3000" s="1">
        <v>-88.061300000000003</v>
      </c>
      <c r="F3000" s="1" t="s">
        <v>1922</v>
      </c>
      <c r="G3000" s="22">
        <v>1442.462856072015</v>
      </c>
      <c r="H3000" s="20">
        <f ca="1">NOW() - TIME(5,30,0) + (VLOOKUP(MasterTable[[#This Row],[TimeZone]], $O$3:$P$8, 2, FALSE) / 24)</f>
        <v>45990.531878125003</v>
      </c>
      <c r="I3000" s="1" t="s">
        <v>1944</v>
      </c>
      <c r="J3000" s="1">
        <v>791.9</v>
      </c>
    </row>
    <row r="3001" spans="1:10" x14ac:dyDescent="0.25">
      <c r="A3001" s="1" t="s">
        <v>103</v>
      </c>
      <c r="B3001" s="1" t="s">
        <v>104</v>
      </c>
      <c r="C3001" s="1" t="s">
        <v>391</v>
      </c>
      <c r="D3001" s="1">
        <v>44.4161</v>
      </c>
      <c r="E3001" s="1">
        <v>-88.4649</v>
      </c>
      <c r="F3001" s="1" t="s">
        <v>1922</v>
      </c>
      <c r="G3001" s="22">
        <v>1472.8380182745102</v>
      </c>
      <c r="H3001" s="20">
        <f ca="1">NOW() - TIME(5,30,0) + (VLOOKUP(MasterTable[[#This Row],[TimeZone]], $O$3:$P$8, 2, FALSE) / 24)</f>
        <v>45990.531878125003</v>
      </c>
      <c r="I3001" s="1" t="s">
        <v>1944</v>
      </c>
      <c r="J3001" s="1">
        <v>644.4</v>
      </c>
    </row>
    <row r="3002" spans="1:10" x14ac:dyDescent="0.25">
      <c r="A3002" s="1" t="s">
        <v>103</v>
      </c>
      <c r="B3002" s="1" t="s">
        <v>104</v>
      </c>
      <c r="C3002" s="1" t="s">
        <v>305</v>
      </c>
      <c r="D3002" s="1">
        <v>44.068899999999999</v>
      </c>
      <c r="E3002" s="1">
        <v>-88.644599999999997</v>
      </c>
      <c r="F3002" s="1" t="s">
        <v>1922</v>
      </c>
      <c r="G3002" s="22">
        <v>1454.0305146749488</v>
      </c>
      <c r="H3002" s="20">
        <f ca="1">NOW() - TIME(5,30,0) + (VLOOKUP(MasterTable[[#This Row],[TimeZone]], $O$3:$P$8, 2, FALSE) / 24)</f>
        <v>45990.531878125003</v>
      </c>
      <c r="I3002" s="1" t="s">
        <v>1944</v>
      </c>
      <c r="J3002" s="1">
        <v>519.27</v>
      </c>
    </row>
    <row r="3003" spans="1:10" x14ac:dyDescent="0.25">
      <c r="A3003" s="1" t="s">
        <v>103</v>
      </c>
      <c r="B3003" s="1" t="s">
        <v>104</v>
      </c>
      <c r="C3003" s="1" t="s">
        <v>433</v>
      </c>
      <c r="D3003" s="1">
        <v>42.576900000000002</v>
      </c>
      <c r="E3003" s="1">
        <v>-88.042400000000001</v>
      </c>
      <c r="F3003" s="1" t="s">
        <v>1922</v>
      </c>
      <c r="G3003" s="22">
        <v>1438.8415563737465</v>
      </c>
      <c r="H3003" s="20">
        <f ca="1">NOW() - TIME(5,30,0) + (VLOOKUP(MasterTable[[#This Row],[TimeZone]], $O$3:$P$8, 2, FALSE) / 24)</f>
        <v>45990.531878125003</v>
      </c>
      <c r="I3003" s="1" t="s">
        <v>1944</v>
      </c>
      <c r="J3003" s="1">
        <v>754.31</v>
      </c>
    </row>
    <row r="3004" spans="1:10" x14ac:dyDescent="0.25">
      <c r="A3004" s="1" t="s">
        <v>103</v>
      </c>
      <c r="B3004" s="1" t="s">
        <v>104</v>
      </c>
      <c r="C3004" s="1" t="s">
        <v>442</v>
      </c>
      <c r="D3004" s="1">
        <v>42.671199999999999</v>
      </c>
      <c r="E3004" s="1">
        <v>-89.071600000000004</v>
      </c>
      <c r="F3004" s="1" t="s">
        <v>1922</v>
      </c>
      <c r="G3004" s="22">
        <v>1393.2776550615281</v>
      </c>
      <c r="H3004" s="20">
        <f ca="1">NOW() - TIME(5,30,0) + (VLOOKUP(MasterTable[[#This Row],[TimeZone]], $O$3:$P$8, 2, FALSE) / 24)</f>
        <v>45990.531878125003</v>
      </c>
      <c r="I3004" s="1" t="s">
        <v>1944</v>
      </c>
      <c r="J3004" s="1">
        <v>482.84</v>
      </c>
    </row>
    <row r="3005" spans="1:10" x14ac:dyDescent="0.25">
      <c r="A3005" s="1" t="s">
        <v>103</v>
      </c>
      <c r="B3005" s="1" t="s">
        <v>104</v>
      </c>
      <c r="C3005" s="1" t="s">
        <v>487</v>
      </c>
      <c r="D3005" s="1">
        <v>44.898299999999999</v>
      </c>
      <c r="E3005" s="1">
        <v>-89.759100000000004</v>
      </c>
      <c r="F3005" s="1" t="s">
        <v>1922</v>
      </c>
      <c r="G3005" s="22">
        <v>1433.1474689649679</v>
      </c>
      <c r="H3005" s="20">
        <f ca="1">NOW() - TIME(5,30,0) + (VLOOKUP(MasterTable[[#This Row],[TimeZone]], $O$3:$P$8, 2, FALSE) / 24)</f>
        <v>45990.531878125003</v>
      </c>
      <c r="I3005" s="1" t="s">
        <v>1944</v>
      </c>
      <c r="J3005" s="1">
        <v>1576.14</v>
      </c>
    </row>
    <row r="3006" spans="1:10" x14ac:dyDescent="0.25">
      <c r="A3006" s="1" t="s">
        <v>103</v>
      </c>
      <c r="B3006" s="1" t="s">
        <v>104</v>
      </c>
      <c r="C3006" s="1" t="s">
        <v>28</v>
      </c>
      <c r="D3006" s="1">
        <v>43.368499999999997</v>
      </c>
      <c r="E3006" s="1">
        <v>-88.230699999999999</v>
      </c>
      <c r="F3006" s="1" t="s">
        <v>1922</v>
      </c>
      <c r="G3006" s="22">
        <v>1451.7855331854319</v>
      </c>
      <c r="H3006" s="20">
        <f ca="1">NOW() - TIME(5,30,0) + (VLOOKUP(MasterTable[[#This Row],[TimeZone]], $O$3:$P$8, 2, FALSE) / 24)</f>
        <v>45990.531878125003</v>
      </c>
      <c r="I3006" s="1" t="s">
        <v>1944</v>
      </c>
      <c r="J3006" s="1">
        <v>1088.54</v>
      </c>
    </row>
    <row r="3007" spans="1:10" x14ac:dyDescent="0.25">
      <c r="A3007" s="1" t="s">
        <v>103</v>
      </c>
      <c r="B3007" s="1" t="s">
        <v>104</v>
      </c>
      <c r="C3007" s="1" t="s">
        <v>529</v>
      </c>
      <c r="D3007" s="1">
        <v>43.906599999999997</v>
      </c>
      <c r="E3007" s="1">
        <v>-91.115200000000002</v>
      </c>
      <c r="F3007" s="1" t="s">
        <v>1922</v>
      </c>
      <c r="G3007" s="22">
        <v>1340.744282550299</v>
      </c>
      <c r="H3007" s="20">
        <f ca="1">NOW() - TIME(5,30,0) + (VLOOKUP(MasterTable[[#This Row],[TimeZone]], $O$3:$P$8, 2, FALSE) / 24)</f>
        <v>45990.531878125003</v>
      </c>
      <c r="I3007" s="1" t="s">
        <v>1944</v>
      </c>
      <c r="J3007" s="1">
        <v>479.92</v>
      </c>
    </row>
    <row r="3008" spans="1:10" x14ac:dyDescent="0.25">
      <c r="A3008" s="1" t="s">
        <v>103</v>
      </c>
      <c r="B3008" s="1" t="s">
        <v>104</v>
      </c>
      <c r="C3008" s="1" t="s">
        <v>534</v>
      </c>
      <c r="D3008" s="1">
        <v>43.721200000000003</v>
      </c>
      <c r="E3008" s="1">
        <v>-87.945400000000006</v>
      </c>
      <c r="F3008" s="1" t="s">
        <v>1922</v>
      </c>
      <c r="G3008" s="22">
        <v>1474.9354026736603</v>
      </c>
      <c r="H3008" s="20">
        <f ca="1">NOW() - TIME(5,30,0) + (VLOOKUP(MasterTable[[#This Row],[TimeZone]], $O$3:$P$8, 2, FALSE) / 24)</f>
        <v>45990.531878125003</v>
      </c>
      <c r="I3008" s="1" t="s">
        <v>1944</v>
      </c>
      <c r="J3008" s="1">
        <v>1270.97</v>
      </c>
    </row>
    <row r="3009" spans="1:10" x14ac:dyDescent="0.25">
      <c r="A3009" s="1" t="s">
        <v>103</v>
      </c>
      <c r="B3009" s="1" t="s">
        <v>104</v>
      </c>
      <c r="C3009" s="1" t="s">
        <v>568</v>
      </c>
      <c r="D3009" s="1">
        <v>44.726799999999997</v>
      </c>
      <c r="E3009" s="1">
        <v>-91.286000000000001</v>
      </c>
      <c r="F3009" s="1" t="s">
        <v>1922</v>
      </c>
      <c r="G3009" s="22">
        <v>1363.1347514409244</v>
      </c>
      <c r="H3009" s="20">
        <f ca="1">NOW() - TIME(5,30,0) + (VLOOKUP(MasterTable[[#This Row],[TimeZone]], $O$3:$P$8, 2, FALSE) / 24)</f>
        <v>45990.531878125003</v>
      </c>
      <c r="I3009" s="1" t="s">
        <v>1944</v>
      </c>
      <c r="J3009" s="1">
        <v>645.28</v>
      </c>
    </row>
    <row r="3010" spans="1:10" x14ac:dyDescent="0.25">
      <c r="A3010" s="1" t="s">
        <v>103</v>
      </c>
      <c r="B3010" s="1" t="s">
        <v>104</v>
      </c>
      <c r="C3010" s="1" t="s">
        <v>571</v>
      </c>
      <c r="D3010" s="1">
        <v>42.668500000000002</v>
      </c>
      <c r="E3010" s="1">
        <v>-88.541899999999998</v>
      </c>
      <c r="F3010" s="1" t="s">
        <v>1922</v>
      </c>
      <c r="G3010" s="22">
        <v>1417.8642728416041</v>
      </c>
      <c r="H3010" s="20">
        <f ca="1">NOW() - TIME(5,30,0) + (VLOOKUP(MasterTable[[#This Row],[TimeZone]], $O$3:$P$8, 2, FALSE) / 24)</f>
        <v>45990.531878125003</v>
      </c>
      <c r="I3010" s="1" t="s">
        <v>1944</v>
      </c>
      <c r="J3010" s="1">
        <v>744.22</v>
      </c>
    </row>
    <row r="3011" spans="1:10" x14ac:dyDescent="0.25">
      <c r="A3011" s="1" t="s">
        <v>103</v>
      </c>
      <c r="B3011" s="1" t="s">
        <v>104</v>
      </c>
      <c r="C3011" s="1" t="s">
        <v>576</v>
      </c>
      <c r="D3011" s="1">
        <v>43.753599999999999</v>
      </c>
      <c r="E3011" s="1">
        <v>-88.488299999999995</v>
      </c>
      <c r="F3011" s="1" t="s">
        <v>1922</v>
      </c>
      <c r="G3011" s="22">
        <v>1451.3853723011366</v>
      </c>
      <c r="H3011" s="20">
        <f ca="1">NOW() - TIME(5,30,0) + (VLOOKUP(MasterTable[[#This Row],[TimeZone]], $O$3:$P$8, 2, FALSE) / 24)</f>
        <v>45990.531878125003</v>
      </c>
      <c r="I3011" s="1" t="s">
        <v>1944</v>
      </c>
      <c r="J3011" s="1">
        <v>765.8</v>
      </c>
    </row>
    <row r="3012" spans="1:10" x14ac:dyDescent="0.25">
      <c r="A3012" s="1" t="s">
        <v>103</v>
      </c>
      <c r="B3012" s="1" t="s">
        <v>104</v>
      </c>
      <c r="C3012" s="1" t="s">
        <v>616</v>
      </c>
      <c r="D3012" s="1">
        <v>45.033999999999999</v>
      </c>
      <c r="E3012" s="1">
        <v>-92.452600000000004</v>
      </c>
      <c r="F3012" s="1" t="s">
        <v>1922</v>
      </c>
      <c r="G3012" s="22">
        <v>1327.6724823232548</v>
      </c>
      <c r="H3012" s="20">
        <f ca="1">NOW() - TIME(5,30,0) + (VLOOKUP(MasterTable[[#This Row],[TimeZone]], $O$3:$P$8, 2, FALSE) / 24)</f>
        <v>45990.531878125003</v>
      </c>
      <c r="I3012" s="1" t="s">
        <v>1944</v>
      </c>
      <c r="J3012" s="1">
        <v>735.81</v>
      </c>
    </row>
    <row r="3013" spans="1:10" x14ac:dyDescent="0.25">
      <c r="A3013" s="1" t="s">
        <v>103</v>
      </c>
      <c r="B3013" s="1" t="s">
        <v>104</v>
      </c>
      <c r="C3013" s="1" t="s">
        <v>624</v>
      </c>
      <c r="D3013" s="1">
        <v>43.384</v>
      </c>
      <c r="E3013" s="1">
        <v>-87.950900000000004</v>
      </c>
      <c r="F3013" s="1" t="s">
        <v>1922</v>
      </c>
      <c r="G3013" s="22">
        <v>1465.0378960314265</v>
      </c>
      <c r="H3013" s="20">
        <f ca="1">NOW() - TIME(5,30,0) + (VLOOKUP(MasterTable[[#This Row],[TimeZone]], $O$3:$P$8, 2, FALSE) / 24)</f>
        <v>45990.531878125003</v>
      </c>
      <c r="I3013" s="1" t="s">
        <v>1944</v>
      </c>
      <c r="J3013" s="1">
        <v>1116.2</v>
      </c>
    </row>
    <row r="3014" spans="1:10" x14ac:dyDescent="0.25">
      <c r="A3014" s="1" t="s">
        <v>103</v>
      </c>
      <c r="B3014" s="1" t="s">
        <v>104</v>
      </c>
      <c r="C3014" s="1" t="s">
        <v>634</v>
      </c>
      <c r="D3014" s="1">
        <v>43.4163</v>
      </c>
      <c r="E3014" s="1">
        <v>-88.707499999999996</v>
      </c>
      <c r="F3014" s="1" t="s">
        <v>1922</v>
      </c>
      <c r="G3014" s="22">
        <v>1431.4497043168396</v>
      </c>
      <c r="H3014" s="20">
        <f ca="1">NOW() - TIME(5,30,0) + (VLOOKUP(MasterTable[[#This Row],[TimeZone]], $O$3:$P$8, 2, FALSE) / 24)</f>
        <v>45990.531878125003</v>
      </c>
      <c r="I3014" s="1" t="s">
        <v>1944</v>
      </c>
      <c r="J3014" s="1">
        <v>503.17</v>
      </c>
    </row>
    <row r="3015" spans="1:10" x14ac:dyDescent="0.25">
      <c r="A3015" s="1" t="s">
        <v>103</v>
      </c>
      <c r="B3015" s="1" t="s">
        <v>104</v>
      </c>
      <c r="C3015" s="1" t="s">
        <v>129</v>
      </c>
      <c r="D3015" s="1">
        <v>43.020800000000001</v>
      </c>
      <c r="E3015" s="1">
        <v>-88.775899999999993</v>
      </c>
      <c r="F3015" s="1" t="s">
        <v>1922</v>
      </c>
      <c r="G3015" s="22">
        <v>1416.8447144204085</v>
      </c>
      <c r="H3015" s="20">
        <f ca="1">NOW() - TIME(5,30,0) + (VLOOKUP(MasterTable[[#This Row],[TimeZone]], $O$3:$P$8, 2, FALSE) / 24)</f>
        <v>45990.531878125003</v>
      </c>
      <c r="I3015" s="1" t="s">
        <v>1944</v>
      </c>
      <c r="J3015" s="1">
        <v>1123.8</v>
      </c>
    </row>
    <row r="3016" spans="1:10" x14ac:dyDescent="0.25">
      <c r="A3016" s="1" t="s">
        <v>103</v>
      </c>
      <c r="B3016" s="1" t="s">
        <v>104</v>
      </c>
      <c r="C3016" s="1" t="s">
        <v>665</v>
      </c>
      <c r="D3016" s="1">
        <v>44.12</v>
      </c>
      <c r="E3016" s="1">
        <v>-87.809700000000007</v>
      </c>
      <c r="F3016" s="1" t="s">
        <v>1922</v>
      </c>
      <c r="G3016" s="22">
        <v>1492.7823273938693</v>
      </c>
      <c r="H3016" s="20">
        <f ca="1">NOW() - TIME(5,30,0) + (VLOOKUP(MasterTable[[#This Row],[TimeZone]], $O$3:$P$8, 2, FALSE) / 24)</f>
        <v>45990.531878125003</v>
      </c>
      <c r="I3016" s="1" t="s">
        <v>1944</v>
      </c>
      <c r="J3016" s="1">
        <v>1493.87</v>
      </c>
    </row>
    <row r="3017" spans="1:10" x14ac:dyDescent="0.25">
      <c r="A3017" s="1" t="s">
        <v>103</v>
      </c>
      <c r="B3017" s="1" t="s">
        <v>104</v>
      </c>
      <c r="C3017" s="1" t="s">
        <v>501</v>
      </c>
      <c r="D3017" s="1">
        <v>44.455300000000001</v>
      </c>
      <c r="E3017" s="1">
        <v>-90.041600000000003</v>
      </c>
      <c r="F3017" s="1" t="s">
        <v>1922</v>
      </c>
      <c r="G3017" s="22">
        <v>1405.7823615695565</v>
      </c>
      <c r="H3017" s="20">
        <f ca="1">NOW() - TIME(5,30,0) + (VLOOKUP(MasterTable[[#This Row],[TimeZone]], $O$3:$P$8, 2, FALSE) / 24)</f>
        <v>45990.531878125003</v>
      </c>
      <c r="I3017" s="1" t="s">
        <v>1944</v>
      </c>
      <c r="J3017" s="1">
        <v>620.54</v>
      </c>
    </row>
    <row r="3018" spans="1:10" x14ac:dyDescent="0.25">
      <c r="A3018" s="1" t="s">
        <v>103</v>
      </c>
      <c r="B3018" s="1" t="s">
        <v>104</v>
      </c>
      <c r="C3018" s="1" t="s">
        <v>448</v>
      </c>
      <c r="D3018" s="1">
        <v>44.475999999999999</v>
      </c>
      <c r="E3018" s="1">
        <v>-89.501400000000004</v>
      </c>
      <c r="F3018" s="1" t="s">
        <v>1922</v>
      </c>
      <c r="G3018" s="22">
        <v>1429.6891845407247</v>
      </c>
      <c r="H3018" s="20">
        <f ca="1">NOW() - TIME(5,30,0) + (VLOOKUP(MasterTable[[#This Row],[TimeZone]], $O$3:$P$8, 2, FALSE) / 24)</f>
        <v>45990.531878125003</v>
      </c>
      <c r="I3018" s="1" t="s">
        <v>1944</v>
      </c>
      <c r="J3018" s="1">
        <v>507.11</v>
      </c>
    </row>
    <row r="3019" spans="1:10" x14ac:dyDescent="0.25">
      <c r="A3019" s="1" t="s">
        <v>103</v>
      </c>
      <c r="B3019" s="1" t="s">
        <v>104</v>
      </c>
      <c r="C3019" s="1" t="s">
        <v>735</v>
      </c>
      <c r="D3019" s="1">
        <v>45.069400000000002</v>
      </c>
      <c r="E3019" s="1">
        <v>-91.279899999999998</v>
      </c>
      <c r="F3019" s="1" t="s">
        <v>1922</v>
      </c>
      <c r="G3019" s="22">
        <v>1376.2781706540322</v>
      </c>
      <c r="H3019" s="20">
        <f ca="1">NOW() - TIME(5,30,0) + (VLOOKUP(MasterTable[[#This Row],[TimeZone]], $O$3:$P$8, 2, FALSE) / 24)</f>
        <v>45990.531878125003</v>
      </c>
      <c r="I3019" s="1" t="s">
        <v>1944</v>
      </c>
      <c r="J3019" s="1">
        <v>2697.98</v>
      </c>
    </row>
    <row r="3020" spans="1:10" x14ac:dyDescent="0.25">
      <c r="A3020" s="1" t="s">
        <v>103</v>
      </c>
      <c r="B3020" s="1" t="s">
        <v>104</v>
      </c>
      <c r="C3020" s="1" t="s">
        <v>742</v>
      </c>
      <c r="D3020" s="1">
        <v>43.426699999999997</v>
      </c>
      <c r="E3020" s="1">
        <v>-89.9482</v>
      </c>
      <c r="F3020" s="1" t="s">
        <v>1922</v>
      </c>
      <c r="G3020" s="22">
        <v>1375.9150213115604</v>
      </c>
      <c r="H3020" s="20">
        <f ca="1">NOW() - TIME(5,30,0) + (VLOOKUP(MasterTable[[#This Row],[TimeZone]], $O$3:$P$8, 2, FALSE) / 24)</f>
        <v>45990.531878125003</v>
      </c>
      <c r="I3020" s="1" t="s">
        <v>1944</v>
      </c>
      <c r="J3020" s="1">
        <v>848.43</v>
      </c>
    </row>
    <row r="3021" spans="1:10" x14ac:dyDescent="0.25">
      <c r="A3021" s="1" t="s">
        <v>103</v>
      </c>
      <c r="B3021" s="1" t="s">
        <v>104</v>
      </c>
      <c r="C3021" s="1" t="s">
        <v>455</v>
      </c>
      <c r="D3021" s="1">
        <v>43.4666</v>
      </c>
      <c r="E3021" s="1">
        <v>-89.333699999999993</v>
      </c>
      <c r="F3021" s="1" t="s">
        <v>1922</v>
      </c>
      <c r="G3021" s="22">
        <v>1404.6779090527184</v>
      </c>
      <c r="H3021" s="20">
        <f ca="1">NOW() - TIME(5,30,0) + (VLOOKUP(MasterTable[[#This Row],[TimeZone]], $O$3:$P$8, 2, FALSE) / 24)</f>
        <v>45990.531878125003</v>
      </c>
      <c r="I3021" s="1" t="s">
        <v>1944</v>
      </c>
      <c r="J3021" s="1">
        <v>766.86</v>
      </c>
    </row>
    <row r="3022" spans="1:10" x14ac:dyDescent="0.25">
      <c r="A3022" s="1" t="s">
        <v>103</v>
      </c>
      <c r="B3022" s="1" t="s">
        <v>104</v>
      </c>
      <c r="C3022" s="1" t="s">
        <v>826</v>
      </c>
      <c r="D3022" s="1">
        <v>44.081600000000002</v>
      </c>
      <c r="E3022" s="1">
        <v>-88.218100000000007</v>
      </c>
      <c r="F3022" s="1" t="s">
        <v>1922</v>
      </c>
      <c r="G3022" s="22">
        <v>1473.3855339968045</v>
      </c>
      <c r="H3022" s="20">
        <f ca="1">NOW() - TIME(5,30,0) + (VLOOKUP(MasterTable[[#This Row],[TimeZone]], $O$3:$P$8, 2, FALSE) / 24)</f>
        <v>45990.531878125003</v>
      </c>
      <c r="I3022" s="1" t="s">
        <v>1944</v>
      </c>
      <c r="J3022" s="1">
        <v>397.03</v>
      </c>
    </row>
    <row r="3023" spans="1:10" x14ac:dyDescent="0.25">
      <c r="A3023" s="1" t="s">
        <v>103</v>
      </c>
      <c r="B3023" s="1" t="s">
        <v>104</v>
      </c>
      <c r="C3023" s="1" t="s">
        <v>829</v>
      </c>
      <c r="D3023" s="1">
        <v>44.470500000000001</v>
      </c>
      <c r="E3023" s="1">
        <v>-88.964799999999997</v>
      </c>
      <c r="F3023" s="1" t="s">
        <v>1922</v>
      </c>
      <c r="G3023" s="22">
        <v>1452.7449939623575</v>
      </c>
      <c r="H3023" s="20">
        <f ca="1">NOW() - TIME(5,30,0) + (VLOOKUP(MasterTable[[#This Row],[TimeZone]], $O$3:$P$8, 2, FALSE) / 24)</f>
        <v>45990.531878125003</v>
      </c>
      <c r="I3023" s="1" t="s">
        <v>1944</v>
      </c>
      <c r="J3023" s="1">
        <v>765.33</v>
      </c>
    </row>
    <row r="3024" spans="1:10" x14ac:dyDescent="0.25">
      <c r="A3024" s="1" t="s">
        <v>103</v>
      </c>
      <c r="B3024" s="1" t="s">
        <v>104</v>
      </c>
      <c r="C3024" s="1" t="s">
        <v>590</v>
      </c>
      <c r="D3024" s="1">
        <v>42.8675</v>
      </c>
      <c r="E3024" s="1">
        <v>-90.706199999999995</v>
      </c>
      <c r="F3024" s="1" t="s">
        <v>1922</v>
      </c>
      <c r="G3024" s="22">
        <v>1324.2851334240206</v>
      </c>
      <c r="H3024" s="20">
        <f ca="1">NOW() - TIME(5,30,0) + (VLOOKUP(MasterTable[[#This Row],[TimeZone]], $O$3:$P$8, 2, FALSE) / 24)</f>
        <v>45990.531878125003</v>
      </c>
      <c r="I3024" s="1" t="s">
        <v>1944</v>
      </c>
      <c r="J3024" s="1">
        <v>633.01</v>
      </c>
    </row>
    <row r="3025" spans="1:10" x14ac:dyDescent="0.25">
      <c r="A3025" s="1" t="s">
        <v>103</v>
      </c>
      <c r="B3025" s="1" t="s">
        <v>104</v>
      </c>
      <c r="C3025" s="1" t="s">
        <v>869</v>
      </c>
      <c r="D3025" s="1">
        <v>45.423699999999997</v>
      </c>
      <c r="E3025" s="1">
        <v>-91.848299999999995</v>
      </c>
      <c r="F3025" s="1" t="s">
        <v>1922</v>
      </c>
      <c r="G3025" s="22">
        <v>1367.236950191397</v>
      </c>
      <c r="H3025" s="20">
        <f ca="1">NOW() - TIME(5,30,0) + (VLOOKUP(MasterTable[[#This Row],[TimeZone]], $O$3:$P$8, 2, FALSE) / 24)</f>
        <v>45990.531878125003</v>
      </c>
      <c r="I3025" s="1" t="s">
        <v>1944</v>
      </c>
      <c r="J3025" s="1">
        <v>890.02</v>
      </c>
    </row>
    <row r="3026" spans="1:10" x14ac:dyDescent="0.25">
      <c r="A3026" s="1" t="s">
        <v>103</v>
      </c>
      <c r="B3026" s="1" t="s">
        <v>104</v>
      </c>
      <c r="C3026" s="1" t="s">
        <v>135</v>
      </c>
      <c r="D3026" s="1">
        <v>43.945700000000002</v>
      </c>
      <c r="E3026" s="1">
        <v>-90.617800000000003</v>
      </c>
      <c r="F3026" s="1" t="s">
        <v>1922</v>
      </c>
      <c r="G3026" s="22">
        <v>1363.5394240359572</v>
      </c>
      <c r="H3026" s="20">
        <f ca="1">NOW() - TIME(5,30,0) + (VLOOKUP(MasterTable[[#This Row],[TimeZone]], $O$3:$P$8, 2, FALSE) / 24)</f>
        <v>45990.531878125003</v>
      </c>
      <c r="I3026" s="1" t="s">
        <v>1944</v>
      </c>
      <c r="J3026" s="1">
        <v>1034.53</v>
      </c>
    </row>
    <row r="3027" spans="1:10" x14ac:dyDescent="0.25">
      <c r="A3027" s="1" t="s">
        <v>103</v>
      </c>
      <c r="B3027" s="1" t="s">
        <v>104</v>
      </c>
      <c r="C3027" s="1" t="s">
        <v>886</v>
      </c>
      <c r="D3027" s="1">
        <v>44.946599999999997</v>
      </c>
      <c r="E3027" s="1">
        <v>-91.8964</v>
      </c>
      <c r="F3027" s="1" t="s">
        <v>1922</v>
      </c>
      <c r="G3027" s="22">
        <v>1346.5315675815752</v>
      </c>
      <c r="H3027" s="20">
        <f ca="1">NOW() - TIME(5,30,0) + (VLOOKUP(MasterTable[[#This Row],[TimeZone]], $O$3:$P$8, 2, FALSE) / 24)</f>
        <v>45990.531878125003</v>
      </c>
      <c r="I3027" s="1" t="s">
        <v>1944</v>
      </c>
      <c r="J3027" s="1">
        <v>2082.25</v>
      </c>
    </row>
    <row r="3028" spans="1:10" x14ac:dyDescent="0.25">
      <c r="A3028" s="1" t="s">
        <v>103</v>
      </c>
      <c r="B3028" s="1" t="s">
        <v>104</v>
      </c>
      <c r="C3028" s="1" t="s">
        <v>134</v>
      </c>
      <c r="D3028" s="1">
        <v>45.461399999999998</v>
      </c>
      <c r="E3028" s="1">
        <v>-92.441400000000002</v>
      </c>
      <c r="F3028" s="1" t="s">
        <v>1922</v>
      </c>
      <c r="G3028" s="22">
        <v>1345.4478087480541</v>
      </c>
      <c r="H3028" s="20">
        <f ca="1">NOW() - TIME(5,30,0) + (VLOOKUP(MasterTable[[#This Row],[TimeZone]], $O$3:$P$8, 2, FALSE) / 24)</f>
        <v>45990.531878125003</v>
      </c>
      <c r="I3028" s="1" t="s">
        <v>1944</v>
      </c>
      <c r="J3028" s="1">
        <v>862.42</v>
      </c>
    </row>
    <row r="3029" spans="1:10" x14ac:dyDescent="0.25">
      <c r="A3029" s="1" t="s">
        <v>103</v>
      </c>
      <c r="B3029" s="1" t="s">
        <v>104</v>
      </c>
      <c r="C3029" s="1" t="s">
        <v>170</v>
      </c>
      <c r="D3029" s="1">
        <v>46.432899999999997</v>
      </c>
      <c r="E3029" s="1">
        <v>-91.916200000000003</v>
      </c>
      <c r="F3029" s="1" t="s">
        <v>1922</v>
      </c>
      <c r="G3029" s="22">
        <v>1406.0052218689066</v>
      </c>
      <c r="H3029" s="20">
        <f ca="1">NOW() - TIME(5,30,0) + (VLOOKUP(MasterTable[[#This Row],[TimeZone]], $O$3:$P$8, 2, FALSE) / 24)</f>
        <v>45990.531878125003</v>
      </c>
      <c r="I3029" s="1" t="s">
        <v>1944</v>
      </c>
      <c r="J3029" s="1">
        <v>842.75</v>
      </c>
    </row>
    <row r="3030" spans="1:10" x14ac:dyDescent="0.25">
      <c r="A3030" s="1" t="s">
        <v>103</v>
      </c>
      <c r="B3030" s="1" t="s">
        <v>104</v>
      </c>
      <c r="C3030" s="1" t="s">
        <v>106</v>
      </c>
      <c r="D3030" s="1">
        <v>44.7194</v>
      </c>
      <c r="E3030" s="1">
        <v>-92.422399999999996</v>
      </c>
      <c r="F3030" s="1" t="s">
        <v>1922</v>
      </c>
      <c r="G3030" s="22">
        <v>1316.3962108152507</v>
      </c>
      <c r="H3030" s="20">
        <f ca="1">NOW() - TIME(5,30,0) + (VLOOKUP(MasterTable[[#This Row],[TimeZone]], $O$3:$P$8, 2, FALSE) / 24)</f>
        <v>45990.531878125003</v>
      </c>
      <c r="I3030" s="1" t="s">
        <v>1944</v>
      </c>
      <c r="J3030" s="1">
        <v>343.9</v>
      </c>
    </row>
    <row r="3031" spans="1:10" x14ac:dyDescent="0.25">
      <c r="A3031" s="1" t="s">
        <v>103</v>
      </c>
      <c r="B3031" s="1" t="s">
        <v>104</v>
      </c>
      <c r="C3031" s="1" t="s">
        <v>929</v>
      </c>
      <c r="D3031" s="1">
        <v>45.383400000000002</v>
      </c>
      <c r="E3031" s="1">
        <v>-88.033699999999996</v>
      </c>
      <c r="F3031" s="1" t="s">
        <v>1922</v>
      </c>
      <c r="G3031" s="22">
        <v>1522.832247130696</v>
      </c>
      <c r="H3031" s="20">
        <f ca="1">NOW() - TIME(5,30,0) + (VLOOKUP(MasterTable[[#This Row],[TimeZone]], $O$3:$P$8, 2, FALSE) / 24)</f>
        <v>45990.531878125003</v>
      </c>
      <c r="I3031" s="1" t="s">
        <v>1944</v>
      </c>
      <c r="J3031" s="1">
        <v>1550.07</v>
      </c>
    </row>
    <row r="3032" spans="1:10" x14ac:dyDescent="0.25">
      <c r="A3032" s="1" t="s">
        <v>103</v>
      </c>
      <c r="B3032" s="1" t="s">
        <v>104</v>
      </c>
      <c r="C3032" s="1" t="s">
        <v>940</v>
      </c>
      <c r="D3032" s="1">
        <v>44.789200000000001</v>
      </c>
      <c r="E3032" s="1">
        <v>-88.7654</v>
      </c>
      <c r="F3032" s="1" t="s">
        <v>1922</v>
      </c>
      <c r="G3032" s="22">
        <v>1471.8277882971524</v>
      </c>
      <c r="H3032" s="20">
        <f ca="1">NOW() - TIME(5,30,0) + (VLOOKUP(MasterTable[[#This Row],[TimeZone]], $O$3:$P$8, 2, FALSE) / 24)</f>
        <v>45990.531878125003</v>
      </c>
      <c r="I3032" s="1" t="s">
        <v>1944</v>
      </c>
      <c r="J3032" s="1">
        <v>909.33</v>
      </c>
    </row>
    <row r="3033" spans="1:10" x14ac:dyDescent="0.25">
      <c r="A3033" s="1" t="s">
        <v>103</v>
      </c>
      <c r="B3033" s="1" t="s">
        <v>104</v>
      </c>
      <c r="C3033" s="1" t="s">
        <v>961</v>
      </c>
      <c r="D3033" s="1">
        <v>45.026400000000002</v>
      </c>
      <c r="E3033" s="1">
        <v>-88.2697</v>
      </c>
      <c r="F3033" s="1" t="s">
        <v>1922</v>
      </c>
      <c r="G3033" s="22">
        <v>1500.9630902984463</v>
      </c>
      <c r="H3033" s="20">
        <f ca="1">NOW() - TIME(5,30,0) + (VLOOKUP(MasterTable[[#This Row],[TimeZone]], $O$3:$P$8, 2, FALSE) / 24)</f>
        <v>45990.531878125003</v>
      </c>
      <c r="I3033" s="1" t="s">
        <v>1944</v>
      </c>
      <c r="J3033" s="1">
        <v>1149.04</v>
      </c>
    </row>
    <row r="3034" spans="1:10" x14ac:dyDescent="0.25">
      <c r="A3034" s="1" t="s">
        <v>103</v>
      </c>
      <c r="B3034" s="1" t="s">
        <v>104</v>
      </c>
      <c r="C3034" s="1" t="s">
        <v>348</v>
      </c>
      <c r="D3034" s="1">
        <v>45.705500000000001</v>
      </c>
      <c r="E3034" s="1">
        <v>-89.521799999999999</v>
      </c>
      <c r="F3034" s="1" t="s">
        <v>1922</v>
      </c>
      <c r="G3034" s="22">
        <v>1471.832113065102</v>
      </c>
      <c r="H3034" s="20">
        <f ca="1">NOW() - TIME(5,30,0) + (VLOOKUP(MasterTable[[#This Row],[TimeZone]], $O$3:$P$8, 2, FALSE) / 24)</f>
        <v>45990.531878125003</v>
      </c>
      <c r="I3034" s="1" t="s">
        <v>1944</v>
      </c>
      <c r="J3034" s="1">
        <v>1201.6099999999999</v>
      </c>
    </row>
    <row r="3035" spans="1:10" x14ac:dyDescent="0.25">
      <c r="A3035" s="1" t="s">
        <v>103</v>
      </c>
      <c r="B3035" s="1" t="s">
        <v>104</v>
      </c>
      <c r="C3035" s="1" t="s">
        <v>989</v>
      </c>
      <c r="D3035" s="1">
        <v>42.68</v>
      </c>
      <c r="E3035" s="1">
        <v>-89.602199999999996</v>
      </c>
      <c r="F3035" s="1" t="s">
        <v>1922</v>
      </c>
      <c r="G3035" s="22">
        <v>1368.9820750626027</v>
      </c>
      <c r="H3035" s="20">
        <f ca="1">NOW() - TIME(5,30,0) + (VLOOKUP(MasterTable[[#This Row],[TimeZone]], $O$3:$P$8, 2, FALSE) / 24)</f>
        <v>45990.531878125003</v>
      </c>
      <c r="I3035" s="1" t="s">
        <v>1944</v>
      </c>
      <c r="J3035" s="1">
        <v>288.77999999999997</v>
      </c>
    </row>
    <row r="3036" spans="1:10" x14ac:dyDescent="0.25">
      <c r="A3036" s="1" t="s">
        <v>103</v>
      </c>
      <c r="B3036" s="1" t="s">
        <v>104</v>
      </c>
      <c r="C3036" s="1" t="s">
        <v>23</v>
      </c>
      <c r="D3036" s="1">
        <v>44.734699999999997</v>
      </c>
      <c r="E3036" s="1">
        <v>-90.612099999999998</v>
      </c>
      <c r="F3036" s="1" t="s">
        <v>1922</v>
      </c>
      <c r="G3036" s="22">
        <v>1391.4703032643038</v>
      </c>
      <c r="H3036" s="20">
        <f ca="1">NOW() - TIME(5,30,0) + (VLOOKUP(MasterTable[[#This Row],[TimeZone]], $O$3:$P$8, 2, FALSE) / 24)</f>
        <v>45990.531878125003</v>
      </c>
      <c r="I3036" s="1" t="s">
        <v>1944</v>
      </c>
      <c r="J3036" s="1">
        <v>882.6</v>
      </c>
    </row>
    <row r="3037" spans="1:10" x14ac:dyDescent="0.25">
      <c r="A3037" s="1" t="s">
        <v>103</v>
      </c>
      <c r="B3037" s="1" t="s">
        <v>104</v>
      </c>
      <c r="C3037" s="1" t="s">
        <v>860</v>
      </c>
      <c r="D3037" s="1">
        <v>43.593899999999998</v>
      </c>
      <c r="E3037" s="1">
        <v>-90.834400000000002</v>
      </c>
      <c r="F3037" s="1" t="s">
        <v>1922</v>
      </c>
      <c r="G3037" s="22">
        <v>1342.2076585268489</v>
      </c>
      <c r="H3037" s="20">
        <f ca="1">NOW() - TIME(5,30,0) + (VLOOKUP(MasterTable[[#This Row],[TimeZone]], $O$3:$P$8, 2, FALSE) / 24)</f>
        <v>45990.531878125003</v>
      </c>
      <c r="I3037" s="1" t="s">
        <v>1944</v>
      </c>
      <c r="J3037" s="1">
        <v>1341.51</v>
      </c>
    </row>
    <row r="3038" spans="1:10" x14ac:dyDescent="0.25">
      <c r="A3038" s="1" t="s">
        <v>103</v>
      </c>
      <c r="B3038" s="1" t="s">
        <v>104</v>
      </c>
      <c r="C3038" s="1" t="s">
        <v>1061</v>
      </c>
      <c r="D3038" s="1">
        <v>44.304000000000002</v>
      </c>
      <c r="E3038" s="1">
        <v>-91.358500000000006</v>
      </c>
      <c r="F3038" s="1" t="s">
        <v>1922</v>
      </c>
      <c r="G3038" s="22">
        <v>1344.5568947776101</v>
      </c>
      <c r="H3038" s="20">
        <f ca="1">NOW() - TIME(5,30,0) + (VLOOKUP(MasterTable[[#This Row],[TimeZone]], $O$3:$P$8, 2, FALSE) / 24)</f>
        <v>45990.531878125003</v>
      </c>
      <c r="I3038" s="1" t="s">
        <v>1944</v>
      </c>
      <c r="J3038" s="1">
        <v>741.98</v>
      </c>
    </row>
    <row r="3039" spans="1:10" x14ac:dyDescent="0.25">
      <c r="A3039" s="1" t="s">
        <v>103</v>
      </c>
      <c r="B3039" s="1" t="s">
        <v>104</v>
      </c>
      <c r="C3039" s="1" t="s">
        <v>1075</v>
      </c>
      <c r="D3039" s="1">
        <v>44.9452</v>
      </c>
      <c r="E3039" s="1">
        <v>-87.315399999999997</v>
      </c>
      <c r="F3039" s="1" t="s">
        <v>1922</v>
      </c>
      <c r="G3039" s="22">
        <v>1539.7493746808063</v>
      </c>
      <c r="H3039" s="20">
        <f ca="1">NOW() - TIME(5,30,0) + (VLOOKUP(MasterTable[[#This Row],[TimeZone]], $O$3:$P$8, 2, FALSE) / 24)</f>
        <v>45990.531878125003</v>
      </c>
      <c r="I3039" s="1" t="s">
        <v>1944</v>
      </c>
      <c r="J3039" s="1">
        <v>2369.83</v>
      </c>
    </row>
    <row r="3040" spans="1:10" x14ac:dyDescent="0.25">
      <c r="A3040" s="1" t="s">
        <v>103</v>
      </c>
      <c r="B3040" s="1" t="s">
        <v>104</v>
      </c>
      <c r="C3040" s="1" t="s">
        <v>632</v>
      </c>
      <c r="D3040" s="1">
        <v>45.337400000000002</v>
      </c>
      <c r="E3040" s="1">
        <v>-89.7346</v>
      </c>
      <c r="F3040" s="1" t="s">
        <v>1922</v>
      </c>
      <c r="G3040" s="22">
        <v>1449.7387719858916</v>
      </c>
      <c r="H3040" s="20">
        <f ca="1">NOW() - TIME(5,30,0) + (VLOOKUP(MasterTable[[#This Row],[TimeZone]], $O$3:$P$8, 2, FALSE) / 24)</f>
        <v>45990.531878125003</v>
      </c>
      <c r="I3040" s="1" t="s">
        <v>1944</v>
      </c>
      <c r="J3040" s="1">
        <v>572.16999999999996</v>
      </c>
    </row>
    <row r="3041" spans="1:10" x14ac:dyDescent="0.25">
      <c r="A3041" s="1" t="s">
        <v>103</v>
      </c>
      <c r="B3041" s="1" t="s">
        <v>104</v>
      </c>
      <c r="C3041" s="1" t="s">
        <v>1048</v>
      </c>
      <c r="D3041" s="1">
        <v>43.924599999999998</v>
      </c>
      <c r="E3041" s="1">
        <v>-90.113799999999998</v>
      </c>
      <c r="F3041" s="1" t="s">
        <v>1922</v>
      </c>
      <c r="G3041" s="22">
        <v>1384.7339713071563</v>
      </c>
      <c r="H3041" s="20">
        <f ca="1">NOW() - TIME(5,30,0) + (VLOOKUP(MasterTable[[#This Row],[TimeZone]], $O$3:$P$8, 2, FALSE) / 24)</f>
        <v>45990.531878125003</v>
      </c>
      <c r="I3041" s="1" t="s">
        <v>1944</v>
      </c>
      <c r="J3041" s="1">
        <v>3255.01</v>
      </c>
    </row>
    <row r="3042" spans="1:10" x14ac:dyDescent="0.25">
      <c r="A3042" s="1" t="s">
        <v>103</v>
      </c>
      <c r="B3042" s="1" t="s">
        <v>104</v>
      </c>
      <c r="C3042" s="1" t="s">
        <v>1179</v>
      </c>
      <c r="D3042" s="1">
        <v>44.113100000000003</v>
      </c>
      <c r="E3042" s="1">
        <v>-89.242900000000006</v>
      </c>
      <c r="F3042" s="1" t="s">
        <v>1922</v>
      </c>
      <c r="G3042" s="22">
        <v>1429.0235206288341</v>
      </c>
      <c r="H3042" s="20">
        <f ca="1">NOW() - TIME(5,30,0) + (VLOOKUP(MasterTable[[#This Row],[TimeZone]], $O$3:$P$8, 2, FALSE) / 24)</f>
        <v>45990.531878125003</v>
      </c>
      <c r="I3042" s="1" t="s">
        <v>1944</v>
      </c>
      <c r="J3042" s="1">
        <v>637.39</v>
      </c>
    </row>
    <row r="3043" spans="1:10" x14ac:dyDescent="0.25">
      <c r="A3043" s="1" t="s">
        <v>103</v>
      </c>
      <c r="B3043" s="1" t="s">
        <v>104</v>
      </c>
      <c r="C3043" s="1" t="s">
        <v>202</v>
      </c>
      <c r="D3043" s="1">
        <v>43.000500000000002</v>
      </c>
      <c r="E3043" s="1">
        <v>-90.135400000000004</v>
      </c>
      <c r="F3043" s="1" t="s">
        <v>1922</v>
      </c>
      <c r="G3043" s="22">
        <v>1354.2072702890646</v>
      </c>
      <c r="H3043" s="20">
        <f ca="1">NOW() - TIME(5,30,0) + (VLOOKUP(MasterTable[[#This Row],[TimeZone]], $O$3:$P$8, 2, FALSE) / 24)</f>
        <v>45990.531878125003</v>
      </c>
      <c r="I3043" s="1" t="s">
        <v>1944</v>
      </c>
      <c r="J3043" s="1">
        <v>587.35</v>
      </c>
    </row>
    <row r="3044" spans="1:10" x14ac:dyDescent="0.25">
      <c r="A3044" s="1" t="s">
        <v>103</v>
      </c>
      <c r="B3044" s="1" t="s">
        <v>104</v>
      </c>
      <c r="C3044" s="1" t="s">
        <v>1199</v>
      </c>
      <c r="D3044" s="1">
        <v>46.052900000000001</v>
      </c>
      <c r="E3044" s="1">
        <v>-89.514799999999994</v>
      </c>
      <c r="F3044" s="1" t="s">
        <v>1922</v>
      </c>
      <c r="G3044" s="22">
        <v>1484.8967990153578</v>
      </c>
      <c r="H3044" s="20">
        <f ca="1">NOW() - TIME(5,30,0) + (VLOOKUP(MasterTable[[#This Row],[TimeZone]], $O$3:$P$8, 2, FALSE) / 24)</f>
        <v>45990.531878125003</v>
      </c>
      <c r="I3044" s="1" t="s">
        <v>1944</v>
      </c>
      <c r="J3044" s="1">
        <v>1017.85</v>
      </c>
    </row>
    <row r="3045" spans="1:10" x14ac:dyDescent="0.25">
      <c r="A3045" s="1" t="s">
        <v>103</v>
      </c>
      <c r="B3045" s="1" t="s">
        <v>104</v>
      </c>
      <c r="C3045" s="1" t="s">
        <v>140</v>
      </c>
      <c r="D3045" s="1">
        <v>44.319200000000002</v>
      </c>
      <c r="E3045" s="1">
        <v>-90.805300000000003</v>
      </c>
      <c r="F3045" s="1" t="s">
        <v>1922</v>
      </c>
      <c r="G3045" s="22">
        <v>1368.4818468550959</v>
      </c>
      <c r="H3045" s="20">
        <f ca="1">NOW() - TIME(5,30,0) + (VLOOKUP(MasterTable[[#This Row],[TimeZone]], $O$3:$P$8, 2, FALSE) / 24)</f>
        <v>45990.531878125003</v>
      </c>
      <c r="I3045" s="1" t="s">
        <v>1944</v>
      </c>
      <c r="J3045" s="1">
        <v>1126.77</v>
      </c>
    </row>
    <row r="3046" spans="1:10" x14ac:dyDescent="0.25">
      <c r="A3046" s="1" t="s">
        <v>103</v>
      </c>
      <c r="B3046" s="1" t="s">
        <v>104</v>
      </c>
      <c r="C3046" s="1" t="s">
        <v>193</v>
      </c>
      <c r="D3046" s="1">
        <v>43.969499999999996</v>
      </c>
      <c r="E3046" s="1">
        <v>-89.770399999999995</v>
      </c>
      <c r="F3046" s="1" t="s">
        <v>1922</v>
      </c>
      <c r="G3046" s="22">
        <v>1401.2307410532771</v>
      </c>
      <c r="H3046" s="20">
        <f ca="1">NOW() - TIME(5,30,0) + (VLOOKUP(MasterTable[[#This Row],[TimeZone]], $O$3:$P$8, 2, FALSE) / 24)</f>
        <v>45990.531878125003</v>
      </c>
      <c r="I3046" s="1" t="s">
        <v>1944</v>
      </c>
      <c r="J3046" s="1">
        <v>1197.71</v>
      </c>
    </row>
    <row r="3047" spans="1:10" x14ac:dyDescent="0.25">
      <c r="A3047" s="1" t="s">
        <v>103</v>
      </c>
      <c r="B3047" s="1" t="s">
        <v>104</v>
      </c>
      <c r="C3047" s="1" t="s">
        <v>1260</v>
      </c>
      <c r="D3047" s="1">
        <v>44.516100000000002</v>
      </c>
      <c r="E3047" s="1">
        <v>-87.615300000000005</v>
      </c>
      <c r="F3047" s="1" t="s">
        <v>1922</v>
      </c>
      <c r="G3047" s="22">
        <v>1513.3716711375353</v>
      </c>
      <c r="H3047" s="20">
        <f ca="1">NOW() - TIME(5,30,0) + (VLOOKUP(MasterTable[[#This Row],[TimeZone]], $O$3:$P$8, 2, FALSE) / 24)</f>
        <v>45990.531878125003</v>
      </c>
      <c r="I3047" s="1" t="s">
        <v>1944</v>
      </c>
      <c r="J3047" s="1">
        <v>1084.52</v>
      </c>
    </row>
    <row r="3048" spans="1:10" x14ac:dyDescent="0.25">
      <c r="A3048" s="1" t="s">
        <v>103</v>
      </c>
      <c r="B3048" s="1" t="s">
        <v>104</v>
      </c>
      <c r="C3048" s="1" t="s">
        <v>480</v>
      </c>
      <c r="D3048" s="1">
        <v>45.211599999999997</v>
      </c>
      <c r="E3048" s="1">
        <v>-90.501199999999997</v>
      </c>
      <c r="F3048" s="1" t="s">
        <v>1922</v>
      </c>
      <c r="G3048" s="22">
        <v>1413.487661934058</v>
      </c>
      <c r="H3048" s="20">
        <f ca="1">NOW() - TIME(5,30,0) + (VLOOKUP(MasterTable[[#This Row],[TimeZone]], $O$3:$P$8, 2, FALSE) / 24)</f>
        <v>45990.531878125003</v>
      </c>
      <c r="I3048" s="1" t="s">
        <v>1944</v>
      </c>
      <c r="J3048" s="1">
        <v>1232.01</v>
      </c>
    </row>
    <row r="3049" spans="1:10" x14ac:dyDescent="0.25">
      <c r="A3049" s="1" t="s">
        <v>103</v>
      </c>
      <c r="B3049" s="1" t="s">
        <v>104</v>
      </c>
      <c r="C3049" s="1" t="s">
        <v>1289</v>
      </c>
      <c r="D3049" s="1">
        <v>45.262300000000003</v>
      </c>
      <c r="E3049" s="1">
        <v>-89.071899999999999</v>
      </c>
      <c r="F3049" s="1" t="s">
        <v>1922</v>
      </c>
      <c r="G3049" s="22">
        <v>1474.7806023670257</v>
      </c>
      <c r="H3049" s="20">
        <f ca="1">NOW() - TIME(5,30,0) + (VLOOKUP(MasterTable[[#This Row],[TimeZone]], $O$3:$P$8, 2, FALSE) / 24)</f>
        <v>45990.531878125003</v>
      </c>
      <c r="I3049" s="1" t="s">
        <v>1944</v>
      </c>
      <c r="J3049" s="1">
        <v>887.88</v>
      </c>
    </row>
    <row r="3050" spans="1:10" x14ac:dyDescent="0.25">
      <c r="A3050" s="1" t="s">
        <v>103</v>
      </c>
      <c r="B3050" s="1" t="s">
        <v>104</v>
      </c>
      <c r="C3050" s="1" t="s">
        <v>1294</v>
      </c>
      <c r="D3050" s="1">
        <v>43.800400000000003</v>
      </c>
      <c r="E3050" s="1">
        <v>-89.044899999999998</v>
      </c>
      <c r="F3050" s="1" t="s">
        <v>1922</v>
      </c>
      <c r="G3050" s="22">
        <v>1427.8997323713395</v>
      </c>
      <c r="H3050" s="20">
        <f ca="1">NOW() - TIME(5,30,0) + (VLOOKUP(MasterTable[[#This Row],[TimeZone]], $O$3:$P$8, 2, FALSE) / 24)</f>
        <v>45990.531878125003</v>
      </c>
      <c r="I3050" s="1" t="s">
        <v>1944</v>
      </c>
      <c r="J3050" s="1">
        <v>380.44</v>
      </c>
    </row>
    <row r="3051" spans="1:10" x14ac:dyDescent="0.25">
      <c r="A3051" s="1" t="s">
        <v>103</v>
      </c>
      <c r="B3051" s="1" t="s">
        <v>104</v>
      </c>
      <c r="C3051" s="1" t="s">
        <v>1317</v>
      </c>
      <c r="D3051" s="1">
        <v>45.88</v>
      </c>
      <c r="E3051" s="1">
        <v>-91.144599999999997</v>
      </c>
      <c r="F3051" s="1" t="s">
        <v>1922</v>
      </c>
      <c r="G3051" s="22">
        <v>1413.1745741961067</v>
      </c>
      <c r="H3051" s="20">
        <f ca="1">NOW() - TIME(5,30,0) + (VLOOKUP(MasterTable[[#This Row],[TimeZone]], $O$3:$P$8, 2, FALSE) / 24)</f>
        <v>45990.531878125003</v>
      </c>
      <c r="I3051" s="1" t="s">
        <v>1944</v>
      </c>
      <c r="J3051" s="1">
        <v>1350.32</v>
      </c>
    </row>
    <row r="3052" spans="1:10" x14ac:dyDescent="0.25">
      <c r="A3052" s="1" t="s">
        <v>103</v>
      </c>
      <c r="B3052" s="1" t="s">
        <v>104</v>
      </c>
      <c r="C3052" s="1" t="s">
        <v>232</v>
      </c>
      <c r="D3052" s="1">
        <v>43.375599999999999</v>
      </c>
      <c r="E3052" s="1">
        <v>-90.429500000000004</v>
      </c>
      <c r="F3052" s="1" t="s">
        <v>1922</v>
      </c>
      <c r="G3052" s="22">
        <v>1352.8580002385427</v>
      </c>
      <c r="H3052" s="20">
        <f ca="1">NOW() - TIME(5,30,0) + (VLOOKUP(MasterTable[[#This Row],[TimeZone]], $O$3:$P$8, 2, FALSE) / 24)</f>
        <v>45990.531878125003</v>
      </c>
      <c r="I3052" s="1" t="s">
        <v>1944</v>
      </c>
      <c r="J3052" s="1">
        <v>362.01</v>
      </c>
    </row>
    <row r="3053" spans="1:10" x14ac:dyDescent="0.25">
      <c r="A3053" s="1" t="s">
        <v>103</v>
      </c>
      <c r="B3053" s="1" t="s">
        <v>104</v>
      </c>
      <c r="C3053" s="1" t="s">
        <v>333</v>
      </c>
      <c r="D3053" s="1">
        <v>42.660499999999999</v>
      </c>
      <c r="E3053" s="1">
        <v>-90.131699999999995</v>
      </c>
      <c r="F3053" s="1" t="s">
        <v>1922</v>
      </c>
      <c r="G3053" s="22">
        <v>1344.0677982187196</v>
      </c>
      <c r="H3053" s="20">
        <f ca="1">NOW() - TIME(5,30,0) + (VLOOKUP(MasterTable[[#This Row],[TimeZone]], $O$3:$P$8, 2, FALSE) / 24)</f>
        <v>45990.531878125003</v>
      </c>
      <c r="I3053" s="1" t="s">
        <v>1944</v>
      </c>
      <c r="J3053" s="1">
        <v>545.07000000000005</v>
      </c>
    </row>
    <row r="3054" spans="1:10" x14ac:dyDescent="0.25">
      <c r="A3054" s="1" t="s">
        <v>103</v>
      </c>
      <c r="B3054" s="1" t="s">
        <v>104</v>
      </c>
      <c r="C3054" s="1" t="s">
        <v>1354</v>
      </c>
      <c r="D3054" s="1">
        <v>45.8992</v>
      </c>
      <c r="E3054" s="1">
        <v>-91.791200000000003</v>
      </c>
      <c r="F3054" s="1" t="s">
        <v>1922</v>
      </c>
      <c r="G3054" s="22">
        <v>1388.6544304493136</v>
      </c>
      <c r="H3054" s="20">
        <f ca="1">NOW() - TIME(5,30,0) + (VLOOKUP(MasterTable[[#This Row],[TimeZone]], $O$3:$P$8, 2, FALSE) / 24)</f>
        <v>45990.531878125003</v>
      </c>
      <c r="I3054" s="1" t="s">
        <v>1944</v>
      </c>
      <c r="J3054" s="1">
        <v>853.06</v>
      </c>
    </row>
    <row r="3055" spans="1:10" x14ac:dyDescent="0.25">
      <c r="A3055" s="1" t="s">
        <v>103</v>
      </c>
      <c r="B3055" s="1" t="s">
        <v>104</v>
      </c>
      <c r="C3055" s="1" t="s">
        <v>1355</v>
      </c>
      <c r="D3055" s="1">
        <v>45.862699999999997</v>
      </c>
      <c r="E3055" s="1">
        <v>-92.367599999999996</v>
      </c>
      <c r="F3055" s="1" t="s">
        <v>1922</v>
      </c>
      <c r="G3055" s="22">
        <v>1364.9134283360843</v>
      </c>
      <c r="H3055" s="20">
        <f ca="1">NOW() - TIME(5,30,0) + (VLOOKUP(MasterTable[[#This Row],[TimeZone]], $O$3:$P$8, 2, FALSE) / 24)</f>
        <v>45990.531878125003</v>
      </c>
      <c r="I3055" s="1" t="s">
        <v>1944</v>
      </c>
      <c r="J3055" s="1">
        <v>880.38</v>
      </c>
    </row>
    <row r="3056" spans="1:10" x14ac:dyDescent="0.25">
      <c r="A3056" s="1" t="s">
        <v>103</v>
      </c>
      <c r="B3056" s="1" t="s">
        <v>104</v>
      </c>
      <c r="C3056" s="1" t="s">
        <v>1367</v>
      </c>
      <c r="D3056" s="1">
        <v>46.523699999999998</v>
      </c>
      <c r="E3056" s="1">
        <v>-91.200900000000004</v>
      </c>
      <c r="F3056" s="1" t="s">
        <v>1922</v>
      </c>
      <c r="G3056" s="22">
        <v>1436.9576296228652</v>
      </c>
      <c r="H3056" s="20">
        <f ca="1">NOW() - TIME(5,30,0) + (VLOOKUP(MasterTable[[#This Row],[TimeZone]], $O$3:$P$8, 2, FALSE) / 24)</f>
        <v>45990.531878125003</v>
      </c>
      <c r="I3056" s="1" t="s">
        <v>1944</v>
      </c>
      <c r="J3056" s="1">
        <v>2041.53</v>
      </c>
    </row>
    <row r="3057" spans="1:10" x14ac:dyDescent="0.25">
      <c r="A3057" s="1" t="s">
        <v>103</v>
      </c>
      <c r="B3057" s="1" t="s">
        <v>104</v>
      </c>
      <c r="C3057" s="1" t="s">
        <v>655</v>
      </c>
      <c r="D3057" s="1">
        <v>43.2395</v>
      </c>
      <c r="E3057" s="1">
        <v>-90.930999999999997</v>
      </c>
      <c r="F3057" s="1" t="s">
        <v>1922</v>
      </c>
      <c r="G3057" s="22">
        <v>1326.1859967547362</v>
      </c>
      <c r="H3057" s="20">
        <f ca="1">NOW() - TIME(5,30,0) + (VLOOKUP(MasterTable[[#This Row],[TimeZone]], $O$3:$P$8, 2, FALSE) / 24)</f>
        <v>45990.531878125003</v>
      </c>
      <c r="I3057" s="1" t="s">
        <v>1944</v>
      </c>
      <c r="J3057" s="1">
        <v>604.20000000000005</v>
      </c>
    </row>
    <row r="3058" spans="1:10" x14ac:dyDescent="0.25">
      <c r="A3058" s="1" t="s">
        <v>103</v>
      </c>
      <c r="B3058" s="1" t="s">
        <v>104</v>
      </c>
      <c r="C3058" s="1" t="s">
        <v>828</v>
      </c>
      <c r="D3058" s="1">
        <v>46.314799999999998</v>
      </c>
      <c r="E3058" s="1">
        <v>-90.678100000000001</v>
      </c>
      <c r="F3058" s="1" t="s">
        <v>1922</v>
      </c>
      <c r="G3058" s="22">
        <v>1448.7234341057549</v>
      </c>
      <c r="H3058" s="20">
        <f ca="1">NOW() - TIME(5,30,0) + (VLOOKUP(MasterTable[[#This Row],[TimeZone]], $O$3:$P$8, 2, FALSE) / 24)</f>
        <v>45990.531878125003</v>
      </c>
      <c r="I3058" s="1" t="s">
        <v>1944</v>
      </c>
      <c r="J3058" s="1">
        <v>426.85</v>
      </c>
    </row>
    <row r="3059" spans="1:10" x14ac:dyDescent="0.25">
      <c r="A3059" s="1" t="s">
        <v>103</v>
      </c>
      <c r="B3059" s="1" t="s">
        <v>104</v>
      </c>
      <c r="C3059" s="1" t="s">
        <v>737</v>
      </c>
      <c r="D3059" s="1">
        <v>43.819600000000001</v>
      </c>
      <c r="E3059" s="1">
        <v>-89.398700000000005</v>
      </c>
      <c r="F3059" s="1" t="s">
        <v>1922</v>
      </c>
      <c r="G3059" s="22">
        <v>1412.7819387428895</v>
      </c>
      <c r="H3059" s="20">
        <f ca="1">NOW() - TIME(5,30,0) + (VLOOKUP(MasterTable[[#This Row],[TimeZone]], $O$3:$P$8, 2, FALSE) / 24)</f>
        <v>45990.531878125003</v>
      </c>
      <c r="I3059" s="1" t="s">
        <v>1944</v>
      </c>
      <c r="J3059" s="1">
        <v>3425.17</v>
      </c>
    </row>
    <row r="3060" spans="1:10" x14ac:dyDescent="0.25">
      <c r="A3060" s="1" t="s">
        <v>103</v>
      </c>
      <c r="B3060" s="1" t="s">
        <v>104</v>
      </c>
      <c r="C3060" s="1" t="s">
        <v>827</v>
      </c>
      <c r="D3060" s="1">
        <v>45.475099999999998</v>
      </c>
      <c r="E3060" s="1">
        <v>-91.133200000000002</v>
      </c>
      <c r="F3060" s="1" t="s">
        <v>1922</v>
      </c>
      <c r="G3060" s="22">
        <v>1397.7751075809717</v>
      </c>
      <c r="H3060" s="20">
        <f ca="1">NOW() - TIME(5,30,0) + (VLOOKUP(MasterTable[[#This Row],[TimeZone]], $O$3:$P$8, 2, FALSE) / 24)</f>
        <v>45990.531878125003</v>
      </c>
      <c r="I3060" s="1" t="s">
        <v>1944</v>
      </c>
      <c r="J3060" s="1">
        <v>938.62</v>
      </c>
    </row>
    <row r="3061" spans="1:10" x14ac:dyDescent="0.25">
      <c r="A3061" s="1" t="s">
        <v>103</v>
      </c>
      <c r="B3061" s="1" t="s">
        <v>104</v>
      </c>
      <c r="C3061" s="1" t="s">
        <v>1432</v>
      </c>
      <c r="D3061" s="1">
        <v>45.680399999999999</v>
      </c>
      <c r="E3061" s="1">
        <v>-90.361400000000003</v>
      </c>
      <c r="F3061" s="1" t="s">
        <v>1922</v>
      </c>
      <c r="G3061" s="22">
        <v>1436.7150404401671</v>
      </c>
      <c r="H3061" s="20">
        <f ca="1">NOW() - TIME(5,30,0) + (VLOOKUP(MasterTable[[#This Row],[TimeZone]], $O$3:$P$8, 2, FALSE) / 24)</f>
        <v>45990.531878125003</v>
      </c>
      <c r="I3061" s="1" t="s">
        <v>1944</v>
      </c>
      <c r="J3061" s="1">
        <v>1278.43</v>
      </c>
    </row>
    <row r="3062" spans="1:10" x14ac:dyDescent="0.25">
      <c r="A3062" s="1" t="s">
        <v>103</v>
      </c>
      <c r="B3062" s="1" t="s">
        <v>104</v>
      </c>
      <c r="C3062" s="1" t="s">
        <v>842</v>
      </c>
      <c r="D3062" s="1">
        <v>44.379800000000003</v>
      </c>
      <c r="E3062" s="1">
        <v>-91.754499999999993</v>
      </c>
      <c r="F3062" s="1" t="s">
        <v>1922</v>
      </c>
      <c r="G3062" s="22">
        <v>1330.7811507562431</v>
      </c>
      <c r="H3062" s="20">
        <f ca="1">NOW() - TIME(5,30,0) + (VLOOKUP(MasterTable[[#This Row],[TimeZone]], $O$3:$P$8, 2, FALSE) / 24)</f>
        <v>45990.531878125003</v>
      </c>
      <c r="I3062" s="1" t="s">
        <v>1944</v>
      </c>
      <c r="J3062" s="1">
        <v>975.27</v>
      </c>
    </row>
    <row r="3063" spans="1:10" x14ac:dyDescent="0.25">
      <c r="A3063" s="1" t="s">
        <v>103</v>
      </c>
      <c r="B3063" s="1" t="s">
        <v>104</v>
      </c>
      <c r="C3063" s="1" t="s">
        <v>1582</v>
      </c>
      <c r="D3063" s="1">
        <v>45.667299999999997</v>
      </c>
      <c r="E3063" s="1">
        <v>-88.770399999999995</v>
      </c>
      <c r="F3063" s="1" t="s">
        <v>1922</v>
      </c>
      <c r="G3063" s="22">
        <v>1501.5112511069492</v>
      </c>
      <c r="H3063" s="20">
        <f ca="1">NOW() - TIME(5,30,0) + (VLOOKUP(MasterTable[[#This Row],[TimeZone]], $O$3:$P$8, 2, FALSE) / 24)</f>
        <v>45990.531878125003</v>
      </c>
      <c r="I3063" s="1" t="s">
        <v>1944</v>
      </c>
      <c r="J3063" s="1">
        <v>431.4</v>
      </c>
    </row>
    <row r="3064" spans="1:10" x14ac:dyDescent="0.25">
      <c r="A3064" s="1" t="s">
        <v>103</v>
      </c>
      <c r="B3064" s="1" t="s">
        <v>104</v>
      </c>
      <c r="C3064" s="1" t="s">
        <v>1654</v>
      </c>
      <c r="D3064" s="1">
        <v>44.582900000000002</v>
      </c>
      <c r="E3064" s="1">
        <v>-92.001499999999993</v>
      </c>
      <c r="F3064" s="1" t="s">
        <v>1922</v>
      </c>
      <c r="G3064" s="22">
        <v>1328.2391376738403</v>
      </c>
      <c r="H3064" s="20">
        <f ca="1">NOW() - TIME(5,30,0) + (VLOOKUP(MasterTable[[#This Row],[TimeZone]], $O$3:$P$8, 2, FALSE) / 24)</f>
        <v>45990.531878125003</v>
      </c>
      <c r="I3064" s="1" t="s">
        <v>1944</v>
      </c>
      <c r="J3064" s="1">
        <v>248.68</v>
      </c>
    </row>
    <row r="3065" spans="1:10" x14ac:dyDescent="0.25">
      <c r="A3065" s="1" t="s">
        <v>103</v>
      </c>
      <c r="B3065" s="1" t="s">
        <v>104</v>
      </c>
      <c r="C3065" s="1" t="s">
        <v>776</v>
      </c>
      <c r="D3065" s="1">
        <v>46.262300000000003</v>
      </c>
      <c r="E3065" s="1">
        <v>-90.242099999999994</v>
      </c>
      <c r="F3065" s="1" t="s">
        <v>1922</v>
      </c>
      <c r="G3065" s="22">
        <v>1463.7862604962982</v>
      </c>
      <c r="H3065" s="20">
        <f ca="1">NOW() - TIME(5,30,0) + (VLOOKUP(MasterTable[[#This Row],[TimeZone]], $O$3:$P$8, 2, FALSE) / 24)</f>
        <v>45990.531878125003</v>
      </c>
      <c r="I3065" s="1" t="s">
        <v>1944</v>
      </c>
      <c r="J3065" s="1">
        <v>1211.02</v>
      </c>
    </row>
    <row r="3066" spans="1:10" x14ac:dyDescent="0.25">
      <c r="A3066" s="1" t="s">
        <v>103</v>
      </c>
      <c r="B3066" s="1" t="s">
        <v>104</v>
      </c>
      <c r="C3066" s="1" t="s">
        <v>492</v>
      </c>
      <c r="D3066" s="1">
        <v>45.848500000000001</v>
      </c>
      <c r="E3066" s="1">
        <v>-88.398099999999999</v>
      </c>
      <c r="F3066" s="1" t="s">
        <v>1922</v>
      </c>
      <c r="G3066" s="22">
        <v>1523.3270690695804</v>
      </c>
      <c r="H3066" s="20">
        <f ca="1">NOW() - TIME(5,30,0) + (VLOOKUP(MasterTable[[#This Row],[TimeZone]], $O$3:$P$8, 2, FALSE) / 24)</f>
        <v>45990.531878125003</v>
      </c>
      <c r="I3066" s="1" t="s">
        <v>1944</v>
      </c>
      <c r="J3066" s="1">
        <v>803.74</v>
      </c>
    </row>
    <row r="3067" spans="1:10" x14ac:dyDescent="0.25">
      <c r="A3067" s="1" t="s">
        <v>103</v>
      </c>
      <c r="B3067" s="1" t="s">
        <v>104</v>
      </c>
      <c r="C3067" s="1" t="s">
        <v>1203</v>
      </c>
      <c r="D3067" s="1">
        <v>45.004399999999997</v>
      </c>
      <c r="E3067" s="1">
        <v>-88.71</v>
      </c>
      <c r="F3067" s="1" t="s">
        <v>1922</v>
      </c>
      <c r="G3067" s="22">
        <v>1481.3550637050016</v>
      </c>
      <c r="H3067" s="20">
        <f ca="1">NOW() - TIME(5,30,0) + (VLOOKUP(MasterTable[[#This Row],[TimeZone]], $O$3:$P$8, 2, FALSE) / 24)</f>
        <v>45990.531878125003</v>
      </c>
      <c r="I3067" s="1" t="s">
        <v>1944</v>
      </c>
      <c r="J3067" s="1">
        <v>1337.99</v>
      </c>
    </row>
    <row r="3068" spans="1:10" x14ac:dyDescent="0.25">
      <c r="A3068" s="1" t="s">
        <v>412</v>
      </c>
      <c r="B3068" s="1" t="s">
        <v>413</v>
      </c>
      <c r="C3068" s="1" t="s">
        <v>411</v>
      </c>
      <c r="D3068" s="1">
        <v>38.336500000000001</v>
      </c>
      <c r="E3068" s="1">
        <v>-81.528099999999995</v>
      </c>
      <c r="F3068" s="1" t="s">
        <v>1925</v>
      </c>
      <c r="G3068" s="22">
        <v>1703.3774092133256</v>
      </c>
      <c r="H3068" s="20">
        <f ca="1">NOW() - TIME(5,30,0) + (VLOOKUP(MasterTable[[#This Row],[TimeZone]], $O$3:$P$8, 2, FALSE) / 24)</f>
        <v>45990.573544791667</v>
      </c>
      <c r="I3068" s="1" t="s">
        <v>1944</v>
      </c>
      <c r="J3068" s="1">
        <v>910.99</v>
      </c>
    </row>
    <row r="3069" spans="1:10" x14ac:dyDescent="0.25">
      <c r="A3069" s="1" t="s">
        <v>412</v>
      </c>
      <c r="B3069" s="1" t="s">
        <v>413</v>
      </c>
      <c r="C3069" s="1" t="s">
        <v>337</v>
      </c>
      <c r="D3069" s="1">
        <v>39.464100000000002</v>
      </c>
      <c r="E3069" s="1">
        <v>-78.027500000000003</v>
      </c>
      <c r="F3069" s="1" t="s">
        <v>1925</v>
      </c>
      <c r="G3069" s="22">
        <v>1897.8775513046969</v>
      </c>
      <c r="H3069" s="20">
        <f ca="1">NOW() - TIME(5,30,0) + (VLOOKUP(MasterTable[[#This Row],[TimeZone]], $O$3:$P$8, 2, FALSE) / 24)</f>
        <v>45990.573544791667</v>
      </c>
      <c r="I3069" s="1" t="s">
        <v>1944</v>
      </c>
      <c r="J3069" s="1">
        <v>1228.07</v>
      </c>
    </row>
    <row r="3070" spans="1:10" x14ac:dyDescent="0.25">
      <c r="A3070" s="1" t="s">
        <v>412</v>
      </c>
      <c r="B3070" s="1" t="s">
        <v>413</v>
      </c>
      <c r="C3070" s="1" t="s">
        <v>567</v>
      </c>
      <c r="D3070" s="1">
        <v>39.630299999999998</v>
      </c>
      <c r="E3070" s="1">
        <v>-80.046599999999998</v>
      </c>
      <c r="F3070" s="1" t="s">
        <v>1925</v>
      </c>
      <c r="G3070" s="22">
        <v>1792.0563852257806</v>
      </c>
      <c r="H3070" s="20">
        <f ca="1">NOW() - TIME(5,30,0) + (VLOOKUP(MasterTable[[#This Row],[TimeZone]], $O$3:$P$8, 2, FALSE) / 24)</f>
        <v>45990.573544791667</v>
      </c>
      <c r="I3070" s="1" t="s">
        <v>1944</v>
      </c>
      <c r="J3070" s="1">
        <v>365.89</v>
      </c>
    </row>
    <row r="3071" spans="1:10" x14ac:dyDescent="0.25">
      <c r="A3071" s="1" t="s">
        <v>412</v>
      </c>
      <c r="B3071" s="1" t="s">
        <v>413</v>
      </c>
      <c r="C3071" s="1" t="s">
        <v>620</v>
      </c>
      <c r="D3071" s="1">
        <v>38.420299999999997</v>
      </c>
      <c r="E3071" s="1">
        <v>-82.241699999999994</v>
      </c>
      <c r="F3071" s="1" t="s">
        <v>1925</v>
      </c>
      <c r="G3071" s="22">
        <v>1665.4951752442287</v>
      </c>
      <c r="H3071" s="20">
        <f ca="1">NOW() - TIME(5,30,0) + (VLOOKUP(MasterTable[[#This Row],[TimeZone]], $O$3:$P$8, 2, FALSE) / 24)</f>
        <v>45990.573544791667</v>
      </c>
      <c r="I3071" s="1" t="s">
        <v>1944</v>
      </c>
      <c r="J3071" s="1">
        <v>288.02</v>
      </c>
    </row>
    <row r="3072" spans="1:10" x14ac:dyDescent="0.25">
      <c r="A3072" s="1" t="s">
        <v>412</v>
      </c>
      <c r="B3072" s="1" t="s">
        <v>413</v>
      </c>
      <c r="C3072" s="1" t="s">
        <v>501</v>
      </c>
      <c r="D3072" s="1">
        <v>39.211199999999998</v>
      </c>
      <c r="E3072" s="1">
        <v>-81.515000000000001</v>
      </c>
      <c r="F3072" s="1" t="s">
        <v>1925</v>
      </c>
      <c r="G3072" s="22">
        <v>1710.7097161529348</v>
      </c>
      <c r="H3072" s="20">
        <f ca="1">NOW() - TIME(5,30,0) + (VLOOKUP(MasterTable[[#This Row],[TimeZone]], $O$3:$P$8, 2, FALSE) / 24)</f>
        <v>45990.573544791667</v>
      </c>
      <c r="I3072" s="1" t="s">
        <v>1944</v>
      </c>
      <c r="J3072" s="1">
        <v>620.54</v>
      </c>
    </row>
    <row r="3073" spans="1:10" x14ac:dyDescent="0.25">
      <c r="A3073" s="1" t="s">
        <v>412</v>
      </c>
      <c r="B3073" s="1" t="s">
        <v>413</v>
      </c>
      <c r="C3073" s="1" t="s">
        <v>696</v>
      </c>
      <c r="D3073" s="1">
        <v>37.771299999999997</v>
      </c>
      <c r="E3073" s="1">
        <v>-81.248699999999999</v>
      </c>
      <c r="F3073" s="1" t="s">
        <v>1925</v>
      </c>
      <c r="G3073" s="22">
        <v>1715.3704788597574</v>
      </c>
      <c r="H3073" s="20">
        <f ca="1">NOW() - TIME(5,30,0) + (VLOOKUP(MasterTable[[#This Row],[TimeZone]], $O$3:$P$8, 2, FALSE) / 24)</f>
        <v>45990.573544791667</v>
      </c>
      <c r="I3073" s="1" t="s">
        <v>1944</v>
      </c>
      <c r="J3073" s="1">
        <v>609.34</v>
      </c>
    </row>
    <row r="3074" spans="1:10" x14ac:dyDescent="0.25">
      <c r="A3074" s="1" t="s">
        <v>412</v>
      </c>
      <c r="B3074" s="1" t="s">
        <v>413</v>
      </c>
      <c r="C3074" s="1" t="s">
        <v>364</v>
      </c>
      <c r="D3074" s="1">
        <v>39.283499999999997</v>
      </c>
      <c r="E3074" s="1">
        <v>-80.379900000000006</v>
      </c>
      <c r="F3074" s="1" t="s">
        <v>1925</v>
      </c>
      <c r="G3074" s="22">
        <v>1771.6118386844237</v>
      </c>
      <c r="H3074" s="20">
        <f ca="1">NOW() - TIME(5,30,0) + (VLOOKUP(MasterTable[[#This Row],[TimeZone]], $O$3:$P$8, 2, FALSE) / 24)</f>
        <v>45990.573544791667</v>
      </c>
      <c r="I3074" s="1" t="s">
        <v>1944</v>
      </c>
      <c r="J3074" s="1">
        <v>486.88</v>
      </c>
    </row>
    <row r="3075" spans="1:10" x14ac:dyDescent="0.25">
      <c r="A3075" s="1" t="s">
        <v>412</v>
      </c>
      <c r="B3075" s="1" t="s">
        <v>413</v>
      </c>
      <c r="C3075" s="1" t="s">
        <v>249</v>
      </c>
      <c r="D3075" s="1">
        <v>37.405500000000004</v>
      </c>
      <c r="E3075" s="1">
        <v>-81.111400000000003</v>
      </c>
      <c r="F3075" s="1" t="s">
        <v>1925</v>
      </c>
      <c r="G3075" s="22">
        <v>1721.3395861397491</v>
      </c>
      <c r="H3075" s="20">
        <f ca="1">NOW() - TIME(5,30,0) + (VLOOKUP(MasterTable[[#This Row],[TimeZone]], $O$3:$P$8, 2, FALSE) / 24)</f>
        <v>45990.573544791667</v>
      </c>
      <c r="I3075" s="1" t="s">
        <v>1944</v>
      </c>
      <c r="J3075" s="1">
        <v>568.88</v>
      </c>
    </row>
    <row r="3076" spans="1:10" x14ac:dyDescent="0.25">
      <c r="A3076" s="1" t="s">
        <v>412</v>
      </c>
      <c r="B3076" s="1" t="s">
        <v>413</v>
      </c>
      <c r="C3076" s="1" t="s">
        <v>129</v>
      </c>
      <c r="D3076" s="1">
        <v>39.307600000000001</v>
      </c>
      <c r="E3076" s="1">
        <v>-77.862799999999993</v>
      </c>
      <c r="F3076" s="1" t="s">
        <v>1925</v>
      </c>
      <c r="G3076" s="22">
        <v>1905.7491786869359</v>
      </c>
      <c r="H3076" s="20">
        <f ca="1">NOW() - TIME(5,30,0) + (VLOOKUP(MasterTable[[#This Row],[TimeZone]], $O$3:$P$8, 2, FALSE) / 24)</f>
        <v>45990.573544791667</v>
      </c>
      <c r="I3076" s="1" t="s">
        <v>1944</v>
      </c>
      <c r="J3076" s="1">
        <v>1123.8</v>
      </c>
    </row>
    <row r="3077" spans="1:10" x14ac:dyDescent="0.25">
      <c r="A3077" s="1" t="s">
        <v>412</v>
      </c>
      <c r="B3077" s="1" t="s">
        <v>413</v>
      </c>
      <c r="C3077" s="1" t="s">
        <v>604</v>
      </c>
      <c r="D3077" s="1">
        <v>38.508600000000001</v>
      </c>
      <c r="E3077" s="1">
        <v>-81.909000000000006</v>
      </c>
      <c r="F3077" s="1" t="s">
        <v>1925</v>
      </c>
      <c r="G3077" s="22">
        <v>1684.0396296736992</v>
      </c>
      <c r="H3077" s="20">
        <f ca="1">NOW() - TIME(5,30,0) + (VLOOKUP(MasterTable[[#This Row],[TimeZone]], $O$3:$P$8, 2, FALSE) / 24)</f>
        <v>45990.573544791667</v>
      </c>
      <c r="I3077" s="1" t="s">
        <v>1944</v>
      </c>
      <c r="J3077" s="1">
        <v>827.16</v>
      </c>
    </row>
    <row r="3078" spans="1:10" x14ac:dyDescent="0.25">
      <c r="A3078" s="1" t="s">
        <v>412</v>
      </c>
      <c r="B3078" s="1" t="s">
        <v>413</v>
      </c>
      <c r="C3078" s="1" t="s">
        <v>88</v>
      </c>
      <c r="D3078" s="1">
        <v>39.51</v>
      </c>
      <c r="E3078" s="1">
        <v>-80.243399999999994</v>
      </c>
      <c r="F3078" s="1" t="s">
        <v>1925</v>
      </c>
      <c r="G3078" s="22">
        <v>1780.6579382905948</v>
      </c>
      <c r="H3078" s="20">
        <f ca="1">NOW() - TIME(5,30,0) + (VLOOKUP(MasterTable[[#This Row],[TimeZone]], $O$3:$P$8, 2, FALSE) / 24)</f>
        <v>45990.573544791667</v>
      </c>
      <c r="I3078" s="1" t="s">
        <v>1944</v>
      </c>
      <c r="J3078" s="1">
        <v>743.57</v>
      </c>
    </row>
    <row r="3079" spans="1:10" x14ac:dyDescent="0.25">
      <c r="A3079" s="1" t="s">
        <v>412</v>
      </c>
      <c r="B3079" s="1" t="s">
        <v>413</v>
      </c>
      <c r="C3079" s="1" t="s">
        <v>52</v>
      </c>
      <c r="D3079" s="1">
        <v>40.096899999999998</v>
      </c>
      <c r="E3079" s="1">
        <v>-80.618899999999996</v>
      </c>
      <c r="F3079" s="1" t="s">
        <v>1925</v>
      </c>
      <c r="G3079" s="22">
        <v>1766.239593719177</v>
      </c>
      <c r="H3079" s="20">
        <f ca="1">NOW() - TIME(5,30,0) + (VLOOKUP(MasterTable[[#This Row],[TimeZone]], $O$3:$P$8, 2, FALSE) / 24)</f>
        <v>45990.573544791667</v>
      </c>
      <c r="I3079" s="1" t="s">
        <v>1944</v>
      </c>
      <c r="J3079" s="1">
        <v>87.47</v>
      </c>
    </row>
    <row r="3080" spans="1:10" x14ac:dyDescent="0.25">
      <c r="A3080" s="1" t="s">
        <v>412</v>
      </c>
      <c r="B3080" s="1" t="s">
        <v>413</v>
      </c>
      <c r="C3080" s="1" t="s">
        <v>279</v>
      </c>
      <c r="D3080" s="1">
        <v>38.028700000000001</v>
      </c>
      <c r="E3080" s="1">
        <v>-81.081199999999995</v>
      </c>
      <c r="F3080" s="1" t="s">
        <v>1925</v>
      </c>
      <c r="G3080" s="22">
        <v>1725.7632858921156</v>
      </c>
      <c r="H3080" s="20">
        <f ca="1">NOW() - TIME(5,30,0) + (VLOOKUP(MasterTable[[#This Row],[TimeZone]], $O$3:$P$8, 2, FALSE) / 24)</f>
        <v>45990.573544791667</v>
      </c>
      <c r="I3080" s="1" t="s">
        <v>1944</v>
      </c>
      <c r="J3080" s="1">
        <v>629.34</v>
      </c>
    </row>
    <row r="3081" spans="1:10" x14ac:dyDescent="0.25">
      <c r="A3081" s="1" t="s">
        <v>412</v>
      </c>
      <c r="B3081" s="1" t="s">
        <v>413</v>
      </c>
      <c r="C3081" s="1" t="s">
        <v>34</v>
      </c>
      <c r="D3081" s="1">
        <v>38.145899999999997</v>
      </c>
      <c r="E3081" s="1">
        <v>-82.427000000000007</v>
      </c>
      <c r="F3081" s="1" t="s">
        <v>1925</v>
      </c>
      <c r="G3081" s="22">
        <v>1653.5562532133772</v>
      </c>
      <c r="H3081" s="20">
        <f ca="1">NOW() - TIME(5,30,0) + (VLOOKUP(MasterTable[[#This Row],[TimeZone]], $O$3:$P$8, 2, FALSE) / 24)</f>
        <v>45990.573544791667</v>
      </c>
      <c r="I3081" s="1" t="s">
        <v>1944</v>
      </c>
      <c r="J3081" s="1">
        <v>648.79999999999995</v>
      </c>
    </row>
    <row r="3082" spans="1:10" x14ac:dyDescent="0.25">
      <c r="A3082" s="1" t="s">
        <v>412</v>
      </c>
      <c r="B3082" s="1" t="s">
        <v>413</v>
      </c>
      <c r="C3082" s="1" t="s">
        <v>1024</v>
      </c>
      <c r="D3082" s="1">
        <v>39.469299999999997</v>
      </c>
      <c r="E3082" s="1">
        <v>-79.668199999999999</v>
      </c>
      <c r="F3082" s="1" t="s">
        <v>1925</v>
      </c>
      <c r="G3082" s="22">
        <v>1810.8120393043496</v>
      </c>
      <c r="H3082" s="20">
        <f ca="1">NOW() - TIME(5,30,0) + (VLOOKUP(MasterTable[[#This Row],[TimeZone]], $O$3:$P$8, 2, FALSE) / 24)</f>
        <v>45990.573544791667</v>
      </c>
      <c r="I3082" s="1" t="s">
        <v>1944</v>
      </c>
      <c r="J3082" s="1">
        <v>651.39</v>
      </c>
    </row>
    <row r="3083" spans="1:10" x14ac:dyDescent="0.25">
      <c r="A3083" s="1" t="s">
        <v>412</v>
      </c>
      <c r="B3083" s="1" t="s">
        <v>413</v>
      </c>
      <c r="C3083" s="1" t="s">
        <v>1042</v>
      </c>
      <c r="D3083" s="1">
        <v>37.946899999999999</v>
      </c>
      <c r="E3083" s="1">
        <v>-80.453000000000003</v>
      </c>
      <c r="F3083" s="1" t="s">
        <v>1925</v>
      </c>
      <c r="G3083" s="22">
        <v>1759.4914690050152</v>
      </c>
      <c r="H3083" s="20">
        <f ca="1">NOW() - TIME(5,30,0) + (VLOOKUP(MasterTable[[#This Row],[TimeZone]], $O$3:$P$8, 2, FALSE) / 24)</f>
        <v>45990.573544791667</v>
      </c>
      <c r="I3083" s="1" t="s">
        <v>1944</v>
      </c>
      <c r="J3083" s="1">
        <v>1024.43</v>
      </c>
    </row>
    <row r="3084" spans="1:10" x14ac:dyDescent="0.25">
      <c r="A3084" s="1" t="s">
        <v>412</v>
      </c>
      <c r="B3084" s="1" t="s">
        <v>413</v>
      </c>
      <c r="C3084" s="1" t="s">
        <v>837</v>
      </c>
      <c r="D3084" s="1">
        <v>37.831299999999999</v>
      </c>
      <c r="E3084" s="1">
        <v>-81.935400000000001</v>
      </c>
      <c r="F3084" s="1" t="s">
        <v>1925</v>
      </c>
      <c r="G3084" s="22">
        <v>1678.2884684644191</v>
      </c>
      <c r="H3084" s="20">
        <f ca="1">NOW() - TIME(5,30,0) + (VLOOKUP(MasterTable[[#This Row],[TimeZone]], $O$3:$P$8, 2, FALSE) / 24)</f>
        <v>45990.573544791667</v>
      </c>
      <c r="I3084" s="1" t="s">
        <v>1944</v>
      </c>
      <c r="J3084" s="1">
        <v>731.5</v>
      </c>
    </row>
    <row r="3085" spans="1:10" x14ac:dyDescent="0.25">
      <c r="A3085" s="1" t="s">
        <v>412</v>
      </c>
      <c r="B3085" s="1" t="s">
        <v>413</v>
      </c>
      <c r="C3085" s="1" t="s">
        <v>600</v>
      </c>
      <c r="D3085" s="1">
        <v>39.860599999999998</v>
      </c>
      <c r="E3085" s="1">
        <v>-80.663399999999996</v>
      </c>
      <c r="F3085" s="1" t="s">
        <v>1925</v>
      </c>
      <c r="G3085" s="22">
        <v>1761.6037410209678</v>
      </c>
      <c r="H3085" s="20">
        <f ca="1">NOW() - TIME(5,30,0) + (VLOOKUP(MasterTable[[#This Row],[TimeZone]], $O$3:$P$8, 2, FALSE) / 24)</f>
        <v>45990.573544791667</v>
      </c>
      <c r="I3085" s="1" t="s">
        <v>1944</v>
      </c>
      <c r="J3085" s="1">
        <v>623.16</v>
      </c>
    </row>
    <row r="3086" spans="1:10" x14ac:dyDescent="0.25">
      <c r="A3086" s="1" t="s">
        <v>412</v>
      </c>
      <c r="B3086" s="1" t="s">
        <v>413</v>
      </c>
      <c r="C3086" s="1" t="s">
        <v>663</v>
      </c>
      <c r="D3086" s="1">
        <v>40.521900000000002</v>
      </c>
      <c r="E3086" s="1">
        <v>-80.573899999999995</v>
      </c>
      <c r="F3086" s="1" t="s">
        <v>1925</v>
      </c>
      <c r="G3086" s="22">
        <v>1773.0520711018287</v>
      </c>
      <c r="H3086" s="20">
        <f ca="1">NOW() - TIME(5,30,0) + (VLOOKUP(MasterTable[[#This Row],[TimeZone]], $O$3:$P$8, 2, FALSE) / 24)</f>
        <v>45990.573544791667</v>
      </c>
      <c r="I3086" s="1" t="s">
        <v>1944</v>
      </c>
      <c r="J3086" s="1">
        <v>478.76</v>
      </c>
    </row>
    <row r="3087" spans="1:10" x14ac:dyDescent="0.25">
      <c r="A3087" s="1" t="s">
        <v>412</v>
      </c>
      <c r="B3087" s="1" t="s">
        <v>413</v>
      </c>
      <c r="C3087" s="1" t="s">
        <v>477</v>
      </c>
      <c r="D3087" s="1">
        <v>38.774700000000003</v>
      </c>
      <c r="E3087" s="1">
        <v>-79.875799999999998</v>
      </c>
      <c r="F3087" s="1" t="s">
        <v>1925</v>
      </c>
      <c r="G3087" s="22">
        <v>1795.0287632014877</v>
      </c>
      <c r="H3087" s="20">
        <f ca="1">NOW() - TIME(5,30,0) + (VLOOKUP(MasterTable[[#This Row],[TimeZone]], $O$3:$P$8, 2, FALSE) / 24)</f>
        <v>45990.573544791667</v>
      </c>
      <c r="I3087" s="1" t="s">
        <v>1944</v>
      </c>
      <c r="J3087" s="1">
        <v>584.11</v>
      </c>
    </row>
    <row r="3088" spans="1:10" x14ac:dyDescent="0.25">
      <c r="A3088" s="1" t="s">
        <v>412</v>
      </c>
      <c r="B3088" s="1" t="s">
        <v>413</v>
      </c>
      <c r="C3088" s="1" t="s">
        <v>140</v>
      </c>
      <c r="D3088" s="1">
        <v>38.834499999999998</v>
      </c>
      <c r="E3088" s="1">
        <v>-81.674800000000005</v>
      </c>
      <c r="F3088" s="1" t="s">
        <v>1925</v>
      </c>
      <c r="G3088" s="22">
        <v>1699.0675924161028</v>
      </c>
      <c r="H3088" s="20">
        <f ca="1">NOW() - TIME(5,30,0) + (VLOOKUP(MasterTable[[#This Row],[TimeZone]], $O$3:$P$8, 2, FALSE) / 24)</f>
        <v>45990.573544791667</v>
      </c>
      <c r="I3088" s="1" t="s">
        <v>1944</v>
      </c>
      <c r="J3088" s="1">
        <v>1126.77</v>
      </c>
    </row>
    <row r="3089" spans="1:10" x14ac:dyDescent="0.25">
      <c r="A3089" s="1" t="s">
        <v>412</v>
      </c>
      <c r="B3089" s="1" t="s">
        <v>413</v>
      </c>
      <c r="C3089" s="1" t="s">
        <v>1127</v>
      </c>
      <c r="D3089" s="1">
        <v>39.414700000000003</v>
      </c>
      <c r="E3089" s="1">
        <v>-78.943799999999996</v>
      </c>
      <c r="F3089" s="1" t="s">
        <v>1925</v>
      </c>
      <c r="G3089" s="22">
        <v>1848.8734689032049</v>
      </c>
      <c r="H3089" s="20">
        <f ca="1">NOW() - TIME(5,30,0) + (VLOOKUP(MasterTable[[#This Row],[TimeZone]], $O$3:$P$8, 2, FALSE) / 24)</f>
        <v>45990.573544791667</v>
      </c>
      <c r="I3089" s="1" t="s">
        <v>1944</v>
      </c>
      <c r="J3089" s="1">
        <v>877.7</v>
      </c>
    </row>
    <row r="3090" spans="1:10" x14ac:dyDescent="0.25">
      <c r="A3090" s="1" t="s">
        <v>412</v>
      </c>
      <c r="B3090" s="1" t="s">
        <v>413</v>
      </c>
      <c r="C3090" s="1" t="s">
        <v>730</v>
      </c>
      <c r="D3090" s="1">
        <v>38.7697</v>
      </c>
      <c r="E3090" s="1">
        <v>-82.026600000000002</v>
      </c>
      <c r="F3090" s="1" t="s">
        <v>1925</v>
      </c>
      <c r="G3090" s="22">
        <v>1679.7333070252573</v>
      </c>
      <c r="H3090" s="20">
        <f ca="1">NOW() - TIME(5,30,0) + (VLOOKUP(MasterTable[[#This Row],[TimeZone]], $O$3:$P$8, 2, FALSE) / 24)</f>
        <v>45990.573544791667</v>
      </c>
      <c r="I3090" s="1" t="s">
        <v>1944</v>
      </c>
      <c r="J3090" s="1">
        <v>563.37</v>
      </c>
    </row>
    <row r="3091" spans="1:10" x14ac:dyDescent="0.25">
      <c r="A3091" s="1" t="s">
        <v>412</v>
      </c>
      <c r="B3091" s="1" t="s">
        <v>413</v>
      </c>
      <c r="C3091" s="1" t="s">
        <v>1184</v>
      </c>
      <c r="D3091" s="1">
        <v>38.291699999999999</v>
      </c>
      <c r="E3091" s="1">
        <v>-80.799300000000002</v>
      </c>
      <c r="F3091" s="1" t="s">
        <v>1925</v>
      </c>
      <c r="G3091" s="22">
        <v>1742.4661395690298</v>
      </c>
      <c r="H3091" s="20">
        <f ca="1">NOW() - TIME(5,30,0) + (VLOOKUP(MasterTable[[#This Row],[TimeZone]], $O$3:$P$8, 2, FALSE) / 24)</f>
        <v>45990.573544791667</v>
      </c>
      <c r="I3091" s="1" t="s">
        <v>1944</v>
      </c>
      <c r="J3091" s="1">
        <v>196.85</v>
      </c>
    </row>
    <row r="3092" spans="1:10" x14ac:dyDescent="0.25">
      <c r="A3092" s="1" t="s">
        <v>412</v>
      </c>
      <c r="B3092" s="1" t="s">
        <v>413</v>
      </c>
      <c r="C3092" s="1" t="s">
        <v>930</v>
      </c>
      <c r="D3092" s="1">
        <v>38.897799999999997</v>
      </c>
      <c r="E3092" s="1">
        <v>-80.233400000000003</v>
      </c>
      <c r="F3092" s="1" t="s">
        <v>1925</v>
      </c>
      <c r="G3092" s="22">
        <v>1776.6440334037229</v>
      </c>
      <c r="H3092" s="20">
        <f ca="1">NOW() - TIME(5,30,0) + (VLOOKUP(MasterTable[[#This Row],[TimeZone]], $O$3:$P$8, 2, FALSE) / 24)</f>
        <v>45990.573544791667</v>
      </c>
      <c r="I3092" s="1" t="s">
        <v>1944</v>
      </c>
      <c r="J3092" s="1">
        <v>592.66999999999996</v>
      </c>
    </row>
    <row r="3093" spans="1:10" x14ac:dyDescent="0.25">
      <c r="A3093" s="1" t="s">
        <v>412</v>
      </c>
      <c r="B3093" s="1" t="s">
        <v>413</v>
      </c>
      <c r="C3093" s="1" t="s">
        <v>466</v>
      </c>
      <c r="D3093" s="1">
        <v>39.317100000000003</v>
      </c>
      <c r="E3093" s="1">
        <v>-78.614099999999993</v>
      </c>
      <c r="F3093" s="1" t="s">
        <v>1925</v>
      </c>
      <c r="G3093" s="22">
        <v>1865.7815383053623</v>
      </c>
      <c r="H3093" s="20">
        <f ca="1">NOW() - TIME(5,30,0) + (VLOOKUP(MasterTable[[#This Row],[TimeZone]], $O$3:$P$8, 2, FALSE) / 24)</f>
        <v>45990.573544791667</v>
      </c>
      <c r="I3093" s="1" t="s">
        <v>1944</v>
      </c>
      <c r="J3093" s="1">
        <v>545.44000000000005</v>
      </c>
    </row>
    <row r="3094" spans="1:10" x14ac:dyDescent="0.25">
      <c r="A3094" s="1" t="s">
        <v>412</v>
      </c>
      <c r="B3094" s="1" t="s">
        <v>413</v>
      </c>
      <c r="C3094" s="1" t="s">
        <v>1207</v>
      </c>
      <c r="D3094" s="1">
        <v>37.726399999999998</v>
      </c>
      <c r="E3094" s="1">
        <v>-82.134699999999995</v>
      </c>
      <c r="F3094" s="1" t="s">
        <v>1925</v>
      </c>
      <c r="G3094" s="22">
        <v>1666.8663309829383</v>
      </c>
      <c r="H3094" s="20">
        <f ca="1">NOW() - TIME(5,30,0) + (VLOOKUP(MasterTable[[#This Row],[TimeZone]], $O$3:$P$8, 2, FALSE) / 24)</f>
        <v>45990.573544791667</v>
      </c>
      <c r="I3094" s="1" t="s">
        <v>1944</v>
      </c>
      <c r="J3094" s="1">
        <v>423.64</v>
      </c>
    </row>
    <row r="3095" spans="1:10" x14ac:dyDescent="0.25">
      <c r="A3095" s="1" t="s">
        <v>412</v>
      </c>
      <c r="B3095" s="1" t="s">
        <v>413</v>
      </c>
      <c r="C3095" s="1" t="s">
        <v>1224</v>
      </c>
      <c r="D3095" s="1">
        <v>40.273899999999998</v>
      </c>
      <c r="E3095" s="1">
        <v>-80.576400000000007</v>
      </c>
      <c r="F3095" s="1" t="s">
        <v>1925</v>
      </c>
      <c r="G3095" s="22">
        <v>1770.2659425365082</v>
      </c>
      <c r="H3095" s="20">
        <f ca="1">NOW() - TIME(5,30,0) + (VLOOKUP(MasterTable[[#This Row],[TimeZone]], $O$3:$P$8, 2, FALSE) / 24)</f>
        <v>45990.573544791667</v>
      </c>
      <c r="I3095" s="1" t="s">
        <v>1944</v>
      </c>
      <c r="J3095" s="1">
        <v>92.26</v>
      </c>
    </row>
    <row r="3096" spans="1:10" x14ac:dyDescent="0.25">
      <c r="A3096" s="1" t="s">
        <v>412</v>
      </c>
      <c r="B3096" s="1" t="s">
        <v>413</v>
      </c>
      <c r="C3096" s="1" t="s">
        <v>398</v>
      </c>
      <c r="D3096" s="1">
        <v>38.0229</v>
      </c>
      <c r="E3096" s="1">
        <v>-81.711500000000001</v>
      </c>
      <c r="F3096" s="1" t="s">
        <v>1925</v>
      </c>
      <c r="G3096" s="22">
        <v>1691.5335627186807</v>
      </c>
      <c r="H3096" s="20">
        <f ca="1">NOW() - TIME(5,30,0) + (VLOOKUP(MasterTable[[#This Row],[TimeZone]], $O$3:$P$8, 2, FALSE) / 24)</f>
        <v>45990.573544791667</v>
      </c>
      <c r="I3096" s="1" t="s">
        <v>1944</v>
      </c>
      <c r="J3096" s="1">
        <v>601.82000000000005</v>
      </c>
    </row>
    <row r="3097" spans="1:10" x14ac:dyDescent="0.25">
      <c r="A3097" s="1" t="s">
        <v>412</v>
      </c>
      <c r="B3097" s="1" t="s">
        <v>413</v>
      </c>
      <c r="C3097" s="1" t="s">
        <v>589</v>
      </c>
      <c r="D3097" s="1">
        <v>37.6096</v>
      </c>
      <c r="E3097" s="1">
        <v>-81.549199999999999</v>
      </c>
      <c r="F3097" s="1" t="s">
        <v>1925</v>
      </c>
      <c r="G3097" s="22">
        <v>1698.224890967344</v>
      </c>
      <c r="H3097" s="20">
        <f ca="1">NOW() - TIME(5,30,0) + (VLOOKUP(MasterTable[[#This Row],[TimeZone]], $O$3:$P$8, 2, FALSE) / 24)</f>
        <v>45990.573544791667</v>
      </c>
      <c r="I3097" s="1" t="s">
        <v>1944</v>
      </c>
      <c r="J3097" s="1">
        <v>596.44000000000005</v>
      </c>
    </row>
    <row r="3098" spans="1:10" x14ac:dyDescent="0.25">
      <c r="A3098" s="1" t="s">
        <v>412</v>
      </c>
      <c r="B3098" s="1" t="s">
        <v>413</v>
      </c>
      <c r="C3098" s="1" t="s">
        <v>632</v>
      </c>
      <c r="D3098" s="1">
        <v>38.1753</v>
      </c>
      <c r="E3098" s="1">
        <v>-82.070400000000006</v>
      </c>
      <c r="F3098" s="1" t="s">
        <v>1925</v>
      </c>
      <c r="G3098" s="22">
        <v>1673.0359981114818</v>
      </c>
      <c r="H3098" s="20">
        <f ca="1">NOW() - TIME(5,30,0) + (VLOOKUP(MasterTable[[#This Row],[TimeZone]], $O$3:$P$8, 2, FALSE) / 24)</f>
        <v>45990.573544791667</v>
      </c>
      <c r="I3098" s="1" t="s">
        <v>1944</v>
      </c>
      <c r="J3098" s="1">
        <v>572.16999999999996</v>
      </c>
    </row>
    <row r="3099" spans="1:10" x14ac:dyDescent="0.25">
      <c r="A3099" s="1" t="s">
        <v>412</v>
      </c>
      <c r="B3099" s="1" t="s">
        <v>413</v>
      </c>
      <c r="C3099" s="1" t="s">
        <v>893</v>
      </c>
      <c r="D3099" s="1">
        <v>37.378500000000003</v>
      </c>
      <c r="E3099" s="1">
        <v>-81.653599999999997</v>
      </c>
      <c r="F3099" s="1" t="s">
        <v>1925</v>
      </c>
      <c r="G3099" s="22">
        <v>1691.5162057521604</v>
      </c>
      <c r="H3099" s="20">
        <f ca="1">NOW() - TIME(5,30,0) + (VLOOKUP(MasterTable[[#This Row],[TimeZone]], $O$3:$P$8, 2, FALSE) / 24)</f>
        <v>45990.573544791667</v>
      </c>
      <c r="I3099" s="1" t="s">
        <v>1944</v>
      </c>
      <c r="J3099" s="1">
        <v>446.41</v>
      </c>
    </row>
    <row r="3100" spans="1:10" x14ac:dyDescent="0.25">
      <c r="A3100" s="1" t="s">
        <v>412</v>
      </c>
      <c r="B3100" s="1" t="s">
        <v>413</v>
      </c>
      <c r="C3100" s="1" t="s">
        <v>521</v>
      </c>
      <c r="D3100" s="1">
        <v>39.560400000000001</v>
      </c>
      <c r="E3100" s="1">
        <v>-78.257800000000003</v>
      </c>
      <c r="F3100" s="1" t="s">
        <v>1925</v>
      </c>
      <c r="G3100" s="22">
        <v>1886.2456359588696</v>
      </c>
      <c r="H3100" s="20">
        <f ca="1">NOW() - TIME(5,30,0) + (VLOOKUP(MasterTable[[#This Row],[TimeZone]], $O$3:$P$8, 2, FALSE) / 24)</f>
        <v>45990.573544791667</v>
      </c>
      <c r="I3100" s="1" t="s">
        <v>1944</v>
      </c>
      <c r="J3100" s="1">
        <v>599.05999999999995</v>
      </c>
    </row>
    <row r="3101" spans="1:10" x14ac:dyDescent="0.25">
      <c r="A3101" s="1" t="s">
        <v>412</v>
      </c>
      <c r="B3101" s="1" t="s">
        <v>413</v>
      </c>
      <c r="C3101" s="1" t="s">
        <v>649</v>
      </c>
      <c r="D3101" s="1">
        <v>38.995899999999999</v>
      </c>
      <c r="E3101" s="1">
        <v>-80.502200000000002</v>
      </c>
      <c r="F3101" s="1" t="s">
        <v>1925</v>
      </c>
      <c r="G3101" s="22">
        <v>1762.9495703218224</v>
      </c>
      <c r="H3101" s="20">
        <f ca="1">NOW() - TIME(5,30,0) + (VLOOKUP(MasterTable[[#This Row],[TimeZone]], $O$3:$P$8, 2, FALSE) / 24)</f>
        <v>45990.573544791667</v>
      </c>
      <c r="I3101" s="1" t="s">
        <v>1944</v>
      </c>
      <c r="J3101" s="1">
        <v>479.81</v>
      </c>
    </row>
    <row r="3102" spans="1:10" x14ac:dyDescent="0.25">
      <c r="A3102" s="1" t="s">
        <v>412</v>
      </c>
      <c r="B3102" s="1" t="s">
        <v>413</v>
      </c>
      <c r="C3102" s="1" t="s">
        <v>480</v>
      </c>
      <c r="D3102" s="1">
        <v>39.335999999999999</v>
      </c>
      <c r="E3102" s="1">
        <v>-80.046199999999999</v>
      </c>
      <c r="F3102" s="1" t="s">
        <v>1925</v>
      </c>
      <c r="G3102" s="22">
        <v>1789.7447151847293</v>
      </c>
      <c r="H3102" s="20">
        <f ca="1">NOW() - TIME(5,30,0) + (VLOOKUP(MasterTable[[#This Row],[TimeZone]], $O$3:$P$8, 2, FALSE) / 24)</f>
        <v>45990.573544791667</v>
      </c>
      <c r="I3102" s="1" t="s">
        <v>1944</v>
      </c>
      <c r="J3102" s="1">
        <v>1232.01</v>
      </c>
    </row>
    <row r="3103" spans="1:10" x14ac:dyDescent="0.25">
      <c r="A3103" s="1" t="s">
        <v>412</v>
      </c>
      <c r="B3103" s="1" t="s">
        <v>413</v>
      </c>
      <c r="C3103" s="1" t="s">
        <v>1178</v>
      </c>
      <c r="D3103" s="1">
        <v>39.133000000000003</v>
      </c>
      <c r="E3103" s="1">
        <v>-80.003</v>
      </c>
      <c r="F3103" s="1" t="s">
        <v>1925</v>
      </c>
      <c r="G3103" s="22">
        <v>1790.5627657250391</v>
      </c>
      <c r="H3103" s="20">
        <f ca="1">NOW() - TIME(5,30,0) + (VLOOKUP(MasterTable[[#This Row],[TimeZone]], $O$3:$P$8, 2, FALSE) / 24)</f>
        <v>45990.573544791667</v>
      </c>
      <c r="I3103" s="1" t="s">
        <v>1944</v>
      </c>
      <c r="J3103" s="1">
        <v>904.52</v>
      </c>
    </row>
    <row r="3104" spans="1:10" x14ac:dyDescent="0.25">
      <c r="A3104" s="1" t="s">
        <v>412</v>
      </c>
      <c r="B3104" s="1" t="s">
        <v>413</v>
      </c>
      <c r="C3104" s="1" t="s">
        <v>1425</v>
      </c>
      <c r="D3104" s="1">
        <v>39.0075</v>
      </c>
      <c r="E3104" s="1">
        <v>-78.858000000000004</v>
      </c>
      <c r="F3104" s="1" t="s">
        <v>1925</v>
      </c>
      <c r="G3104" s="22">
        <v>1850.931684007187</v>
      </c>
      <c r="H3104" s="20">
        <f ca="1">NOW() - TIME(5,30,0) + (VLOOKUP(MasterTable[[#This Row],[TimeZone]], $O$3:$P$8, 2, FALSE) / 24)</f>
        <v>45990.573544791667</v>
      </c>
      <c r="I3104" s="1" t="s">
        <v>1944</v>
      </c>
      <c r="J3104" s="1">
        <v>584.48</v>
      </c>
    </row>
    <row r="3105" spans="1:10" x14ac:dyDescent="0.25">
      <c r="A3105" s="1" t="s">
        <v>412</v>
      </c>
      <c r="B3105" s="1" t="s">
        <v>413</v>
      </c>
      <c r="C3105" s="1" t="s">
        <v>1426</v>
      </c>
      <c r="D3105" s="1">
        <v>39.6053</v>
      </c>
      <c r="E3105" s="1">
        <v>-80.639099999999999</v>
      </c>
      <c r="F3105" s="1" t="s">
        <v>1925</v>
      </c>
      <c r="G3105" s="22">
        <v>1760.5481873441809</v>
      </c>
      <c r="H3105" s="20">
        <f ca="1">NOW() - TIME(5,30,0) + (VLOOKUP(MasterTable[[#This Row],[TimeZone]], $O$3:$P$8, 2, FALSE) / 24)</f>
        <v>45990.573544791667</v>
      </c>
      <c r="I3105" s="1" t="s">
        <v>1944</v>
      </c>
      <c r="J3105" s="1">
        <v>361.37</v>
      </c>
    </row>
    <row r="3106" spans="1:10" x14ac:dyDescent="0.25">
      <c r="A3106" s="1" t="s">
        <v>412</v>
      </c>
      <c r="B3106" s="1" t="s">
        <v>413</v>
      </c>
      <c r="C3106" s="1" t="s">
        <v>814</v>
      </c>
      <c r="D3106" s="1">
        <v>38.713999999999999</v>
      </c>
      <c r="E3106" s="1">
        <v>-81.348299999999995</v>
      </c>
      <c r="F3106" s="1" t="s">
        <v>1925</v>
      </c>
      <c r="G3106" s="22">
        <v>1715.6374267383974</v>
      </c>
      <c r="H3106" s="20">
        <f ca="1">NOW() - TIME(5,30,0) + (VLOOKUP(MasterTable[[#This Row],[TimeZone]], $O$3:$P$8, 2, FALSE) / 24)</f>
        <v>45990.573544791667</v>
      </c>
      <c r="I3106" s="1" t="s">
        <v>1944</v>
      </c>
      <c r="J3106" s="1">
        <v>394.98</v>
      </c>
    </row>
    <row r="3107" spans="1:10" x14ac:dyDescent="0.25">
      <c r="A3107" s="1" t="s">
        <v>412</v>
      </c>
      <c r="B3107" s="1" t="s">
        <v>413</v>
      </c>
      <c r="C3107" s="1" t="s">
        <v>135</v>
      </c>
      <c r="D3107" s="1">
        <v>37.560400000000001</v>
      </c>
      <c r="E3107" s="1">
        <v>-80.5505</v>
      </c>
      <c r="F3107" s="1" t="s">
        <v>1925</v>
      </c>
      <c r="G3107" s="22">
        <v>1752.6137995685892</v>
      </c>
      <c r="H3107" s="20">
        <f ca="1">NOW() - TIME(5,30,0) + (VLOOKUP(MasterTable[[#This Row],[TimeZone]], $O$3:$P$8, 2, FALSE) / 24)</f>
        <v>45990.573544791667</v>
      </c>
      <c r="I3107" s="1" t="s">
        <v>1944</v>
      </c>
      <c r="J3107" s="1">
        <v>1034.53</v>
      </c>
    </row>
    <row r="3108" spans="1:10" x14ac:dyDescent="0.25">
      <c r="A3108" s="1" t="s">
        <v>412</v>
      </c>
      <c r="B3108" s="1" t="s">
        <v>413</v>
      </c>
      <c r="C3108" s="1" t="s">
        <v>1486</v>
      </c>
      <c r="D3108" s="1">
        <v>38.6999</v>
      </c>
      <c r="E3108" s="1">
        <v>-80.719300000000004</v>
      </c>
      <c r="F3108" s="1" t="s">
        <v>1925</v>
      </c>
      <c r="G3108" s="22">
        <v>1749.2839441661758</v>
      </c>
      <c r="H3108" s="20">
        <f ca="1">NOW() - TIME(5,30,0) + (VLOOKUP(MasterTable[[#This Row],[TimeZone]], $O$3:$P$8, 2, FALSE) / 24)</f>
        <v>45990.573544791667</v>
      </c>
      <c r="I3108" s="1" t="s">
        <v>1944</v>
      </c>
      <c r="J3108" s="1">
        <v>516.16999999999996</v>
      </c>
    </row>
    <row r="3109" spans="1:10" x14ac:dyDescent="0.25">
      <c r="A3109" s="1" t="s">
        <v>412</v>
      </c>
      <c r="B3109" s="1" t="s">
        <v>413</v>
      </c>
      <c r="C3109" s="1" t="s">
        <v>1505</v>
      </c>
      <c r="D3109" s="1">
        <v>37.655900000000003</v>
      </c>
      <c r="E3109" s="1">
        <v>-80.858599999999996</v>
      </c>
      <c r="F3109" s="1" t="s">
        <v>1925</v>
      </c>
      <c r="G3109" s="22">
        <v>1736.1414873301956</v>
      </c>
      <c r="H3109" s="20">
        <f ca="1">NOW() - TIME(5,30,0) + (VLOOKUP(MasterTable[[#This Row],[TimeZone]], $O$3:$P$8, 2, FALSE) / 24)</f>
        <v>45990.573544791667</v>
      </c>
      <c r="I3109" s="1" t="s">
        <v>1944</v>
      </c>
      <c r="J3109" s="1">
        <v>367.72</v>
      </c>
    </row>
    <row r="3110" spans="1:10" x14ac:dyDescent="0.25">
      <c r="A3110" s="1" t="s">
        <v>412</v>
      </c>
      <c r="B3110" s="1" t="s">
        <v>413</v>
      </c>
      <c r="C3110" s="1" t="s">
        <v>590</v>
      </c>
      <c r="D3110" s="1">
        <v>39.1051</v>
      </c>
      <c r="E3110" s="1">
        <v>-79.195599999999999</v>
      </c>
      <c r="F3110" s="1" t="s">
        <v>1925</v>
      </c>
      <c r="G3110" s="22">
        <v>1833.4629039346275</v>
      </c>
      <c r="H3110" s="20">
        <f ca="1">NOW() - TIME(5,30,0) + (VLOOKUP(MasterTable[[#This Row],[TimeZone]], $O$3:$P$8, 2, FALSE) / 24)</f>
        <v>45990.573544791667</v>
      </c>
      <c r="I3110" s="1" t="s">
        <v>1944</v>
      </c>
      <c r="J3110" s="1">
        <v>633.01</v>
      </c>
    </row>
    <row r="3111" spans="1:10" x14ac:dyDescent="0.25">
      <c r="A3111" s="1" t="s">
        <v>412</v>
      </c>
      <c r="B3111" s="1" t="s">
        <v>413</v>
      </c>
      <c r="C3111" s="1" t="s">
        <v>1614</v>
      </c>
      <c r="D3111" s="1">
        <v>39.1783</v>
      </c>
      <c r="E3111" s="1">
        <v>-81.063000000000002</v>
      </c>
      <c r="F3111" s="1" t="s">
        <v>1925</v>
      </c>
      <c r="G3111" s="22">
        <v>1734.4560085521837</v>
      </c>
      <c r="H3111" s="20">
        <f ca="1">NOW() - TIME(5,30,0) + (VLOOKUP(MasterTable[[#This Row],[TimeZone]], $O$3:$P$8, 2, FALSE) / 24)</f>
        <v>45990.573544791667</v>
      </c>
      <c r="I3111" s="1" t="s">
        <v>1944</v>
      </c>
      <c r="J3111" s="1">
        <v>453.58</v>
      </c>
    </row>
    <row r="3112" spans="1:10" x14ac:dyDescent="0.25">
      <c r="A3112" s="1" t="s">
        <v>412</v>
      </c>
      <c r="B3112" s="1" t="s">
        <v>413</v>
      </c>
      <c r="C3112" s="1" t="s">
        <v>955</v>
      </c>
      <c r="D3112" s="1">
        <v>38.494700000000002</v>
      </c>
      <c r="E3112" s="1">
        <v>-80.421899999999994</v>
      </c>
      <c r="F3112" s="1" t="s">
        <v>1925</v>
      </c>
      <c r="G3112" s="22">
        <v>1764.0010241631771</v>
      </c>
      <c r="H3112" s="20">
        <f ca="1">NOW() - TIME(5,30,0) + (VLOOKUP(MasterTable[[#This Row],[TimeZone]], $O$3:$P$8, 2, FALSE) / 24)</f>
        <v>45990.573544791667</v>
      </c>
      <c r="I3112" s="1" t="s">
        <v>1944</v>
      </c>
      <c r="J3112" s="1">
        <v>210.26</v>
      </c>
    </row>
    <row r="3113" spans="1:10" x14ac:dyDescent="0.25">
      <c r="A3113" s="1" t="s">
        <v>412</v>
      </c>
      <c r="B3113" s="1" t="s">
        <v>413</v>
      </c>
      <c r="C3113" s="1" t="s">
        <v>1274</v>
      </c>
      <c r="D3113" s="1">
        <v>39.465299999999999</v>
      </c>
      <c r="E3113" s="1">
        <v>-80.884799999999998</v>
      </c>
      <c r="F3113" s="1" t="s">
        <v>1925</v>
      </c>
      <c r="G3113" s="22">
        <v>1746.3331875949104</v>
      </c>
      <c r="H3113" s="20">
        <f ca="1">NOW() - TIME(5,30,0) + (VLOOKUP(MasterTable[[#This Row],[TimeZone]], $O$3:$P$8, 2, FALSE) / 24)</f>
        <v>45990.573544791667</v>
      </c>
      <c r="I3113" s="1" t="s">
        <v>1944</v>
      </c>
      <c r="J3113" s="1">
        <v>935.71</v>
      </c>
    </row>
    <row r="3114" spans="1:10" x14ac:dyDescent="0.25">
      <c r="A3114" s="1" t="s">
        <v>412</v>
      </c>
      <c r="B3114" s="1" t="s">
        <v>413</v>
      </c>
      <c r="C3114" s="1" t="s">
        <v>327</v>
      </c>
      <c r="D3114" s="1">
        <v>38.462499999999999</v>
      </c>
      <c r="E3114" s="1">
        <v>-81.075100000000006</v>
      </c>
      <c r="F3114" s="1" t="s">
        <v>1925</v>
      </c>
      <c r="G3114" s="22">
        <v>1728.6093978996018</v>
      </c>
      <c r="H3114" s="20">
        <f ca="1">NOW() - TIME(5,30,0) + (VLOOKUP(MasterTable[[#This Row],[TimeZone]], $O$3:$P$8, 2, FALSE) / 24)</f>
        <v>45990.573544791667</v>
      </c>
      <c r="I3114" s="1" t="s">
        <v>1944</v>
      </c>
      <c r="J3114" s="1">
        <v>606</v>
      </c>
    </row>
    <row r="3115" spans="1:10" x14ac:dyDescent="0.25">
      <c r="A3115" s="1" t="s">
        <v>412</v>
      </c>
      <c r="B3115" s="1" t="s">
        <v>413</v>
      </c>
      <c r="C3115" s="1" t="s">
        <v>1632</v>
      </c>
      <c r="D3115" s="1">
        <v>38.331800000000001</v>
      </c>
      <c r="E3115" s="1">
        <v>-80.007800000000003</v>
      </c>
      <c r="F3115" s="1" t="s">
        <v>1925</v>
      </c>
      <c r="G3115" s="22">
        <v>1785.4646903830112</v>
      </c>
      <c r="H3115" s="20">
        <f ca="1">NOW() - TIME(5,30,0) + (VLOOKUP(MasterTable[[#This Row],[TimeZone]], $O$3:$P$8, 2, FALSE) / 24)</f>
        <v>45990.573544791667</v>
      </c>
      <c r="I3115" s="1" t="s">
        <v>1944</v>
      </c>
      <c r="J3115" s="1">
        <v>579.13</v>
      </c>
    </row>
    <row r="3116" spans="1:10" x14ac:dyDescent="0.25">
      <c r="A3116" s="1" t="s">
        <v>412</v>
      </c>
      <c r="B3116" s="1" t="s">
        <v>413</v>
      </c>
      <c r="C3116" s="1" t="s">
        <v>1634</v>
      </c>
      <c r="D3116" s="1">
        <v>39.269199999999998</v>
      </c>
      <c r="E3116" s="1">
        <v>-80.706999999999994</v>
      </c>
      <c r="F3116" s="1" t="s">
        <v>1925</v>
      </c>
      <c r="G3116" s="22">
        <v>1754.1175526924355</v>
      </c>
      <c r="H3116" s="20">
        <f ca="1">NOW() - TIME(5,30,0) + (VLOOKUP(MasterTable[[#This Row],[TimeZone]], $O$3:$P$8, 2, FALSE) / 24)</f>
        <v>45990.573544791667</v>
      </c>
      <c r="I3116" s="1" t="s">
        <v>1944</v>
      </c>
      <c r="J3116" s="1">
        <v>320.48</v>
      </c>
    </row>
    <row r="3117" spans="1:10" x14ac:dyDescent="0.25">
      <c r="A3117" s="1" t="s">
        <v>412</v>
      </c>
      <c r="B3117" s="1" t="s">
        <v>413</v>
      </c>
      <c r="C3117" s="1" t="s">
        <v>1643</v>
      </c>
      <c r="D3117" s="1">
        <v>39.370899999999999</v>
      </c>
      <c r="E3117" s="1">
        <v>-81.160600000000002</v>
      </c>
      <c r="F3117" s="1" t="s">
        <v>1925</v>
      </c>
      <c r="G3117" s="22">
        <v>1730.9044333554746</v>
      </c>
      <c r="H3117" s="20">
        <f ca="1">NOW() - TIME(5,30,0) + (VLOOKUP(MasterTable[[#This Row],[TimeZone]], $O$3:$P$8, 2, FALSE) / 24)</f>
        <v>45990.573544791667</v>
      </c>
      <c r="I3117" s="1" t="s">
        <v>1944</v>
      </c>
      <c r="J3117" s="1">
        <v>134.59</v>
      </c>
    </row>
    <row r="3118" spans="1:10" x14ac:dyDescent="0.25">
      <c r="A3118" s="1" t="s">
        <v>412</v>
      </c>
      <c r="B3118" s="1" t="s">
        <v>413</v>
      </c>
      <c r="C3118" s="1" t="s">
        <v>1047</v>
      </c>
      <c r="D3118" s="1">
        <v>38.924100000000003</v>
      </c>
      <c r="E3118" s="1">
        <v>-80.857100000000003</v>
      </c>
      <c r="F3118" s="1" t="s">
        <v>1925</v>
      </c>
      <c r="G3118" s="22">
        <v>1743.4660637189206</v>
      </c>
      <c r="H3118" s="20">
        <f ca="1">NOW() - TIME(5,30,0) + (VLOOKUP(MasterTable[[#This Row],[TimeZone]], $O$3:$P$8, 2, FALSE) / 24)</f>
        <v>45990.573544791667</v>
      </c>
      <c r="I3118" s="1" t="s">
        <v>1944</v>
      </c>
      <c r="J3118" s="1">
        <v>431.83</v>
      </c>
    </row>
    <row r="3119" spans="1:10" x14ac:dyDescent="0.25">
      <c r="A3119" s="1" t="s">
        <v>412</v>
      </c>
      <c r="B3119" s="1" t="s">
        <v>413</v>
      </c>
      <c r="C3119" s="1" t="s">
        <v>1682</v>
      </c>
      <c r="D3119" s="1">
        <v>39.113599999999998</v>
      </c>
      <c r="E3119" s="1">
        <v>-79.564999999999998</v>
      </c>
      <c r="F3119" s="1" t="s">
        <v>1925</v>
      </c>
      <c r="G3119" s="22">
        <v>1813.7961717346789</v>
      </c>
      <c r="H3119" s="20">
        <f ca="1">NOW() - TIME(5,30,0) + (VLOOKUP(MasterTable[[#This Row],[TimeZone]], $O$3:$P$8, 2, FALSE) / 24)</f>
        <v>45990.573544791667</v>
      </c>
      <c r="I3119" s="1" t="s">
        <v>1944</v>
      </c>
      <c r="J3119" s="1">
        <v>421.11</v>
      </c>
    </row>
    <row r="3120" spans="1:10" x14ac:dyDescent="0.25">
      <c r="A3120" s="1" t="s">
        <v>412</v>
      </c>
      <c r="B3120" s="1" t="s">
        <v>413</v>
      </c>
      <c r="C3120" s="1" t="s">
        <v>498</v>
      </c>
      <c r="D3120" s="1">
        <v>38.844499999999996</v>
      </c>
      <c r="E3120" s="1">
        <v>-81.117599999999996</v>
      </c>
      <c r="F3120" s="1" t="s">
        <v>1925</v>
      </c>
      <c r="G3120" s="22">
        <v>1728.9492200661989</v>
      </c>
      <c r="H3120" s="20">
        <f ca="1">NOW() - TIME(5,30,0) + (VLOOKUP(MasterTable[[#This Row],[TimeZone]], $O$3:$P$8, 2, FALSE) / 24)</f>
        <v>45990.573544791667</v>
      </c>
      <c r="I3120" s="1" t="s">
        <v>1944</v>
      </c>
      <c r="J3120" s="1">
        <v>612.32000000000005</v>
      </c>
    </row>
    <row r="3121" spans="1:10" x14ac:dyDescent="0.25">
      <c r="A3121" s="1" t="s">
        <v>412</v>
      </c>
      <c r="B3121" s="1" t="s">
        <v>413</v>
      </c>
      <c r="C3121" s="1" t="s">
        <v>1410</v>
      </c>
      <c r="D3121" s="1">
        <v>38.680700000000002</v>
      </c>
      <c r="E3121" s="1">
        <v>-79.350899999999996</v>
      </c>
      <c r="F3121" s="1" t="s">
        <v>1925</v>
      </c>
      <c r="G3121" s="22">
        <v>1822.6946125831196</v>
      </c>
      <c r="H3121" s="20">
        <f ca="1">NOW() - TIME(5,30,0) + (VLOOKUP(MasterTable[[#This Row],[TimeZone]], $O$3:$P$8, 2, FALSE) / 24)</f>
        <v>45990.573544791667</v>
      </c>
      <c r="I3121" s="1" t="s">
        <v>1944</v>
      </c>
      <c r="J3121" s="1">
        <v>281.87</v>
      </c>
    </row>
    <row r="3122" spans="1:10" x14ac:dyDescent="0.25">
      <c r="A3122" s="1" t="s">
        <v>412</v>
      </c>
      <c r="B3122" s="1" t="s">
        <v>413</v>
      </c>
      <c r="C3122" s="1" t="s">
        <v>1750</v>
      </c>
      <c r="D3122" s="1">
        <v>39.022500000000001</v>
      </c>
      <c r="E3122" s="1">
        <v>-81.378699999999995</v>
      </c>
      <c r="F3122" s="1" t="s">
        <v>1925</v>
      </c>
      <c r="G3122" s="22">
        <v>1716.3787435517024</v>
      </c>
      <c r="H3122" s="20">
        <f ca="1">NOW() - TIME(5,30,0) + (VLOOKUP(MasterTable[[#This Row],[TimeZone]], $O$3:$P$8, 2, FALSE) / 24)</f>
        <v>45990.573544791667</v>
      </c>
      <c r="I3122" s="1" t="s">
        <v>1944</v>
      </c>
      <c r="J3122" s="1">
        <v>234.83</v>
      </c>
    </row>
    <row r="3123" spans="1:10" x14ac:dyDescent="0.25">
      <c r="A3123" s="1" t="s">
        <v>588</v>
      </c>
      <c r="B3123" s="1" t="s">
        <v>589</v>
      </c>
      <c r="C3123" s="1" t="s">
        <v>587</v>
      </c>
      <c r="D3123" s="1">
        <v>41.307000000000002</v>
      </c>
      <c r="E3123" s="1">
        <v>-104.6895</v>
      </c>
      <c r="F3123" s="1" t="s">
        <v>1923</v>
      </c>
      <c r="G3123" s="22">
        <v>715.94761531630922</v>
      </c>
      <c r="H3123" s="20">
        <f ca="1">NOW() - TIME(5,30,0) + (VLOOKUP(MasterTable[[#This Row],[TimeZone]], $O$3:$P$8, 2, FALSE) / 24)</f>
        <v>45990.490211458338</v>
      </c>
      <c r="I3123" s="1" t="s">
        <v>1944</v>
      </c>
      <c r="J3123" s="1">
        <v>2687.63</v>
      </c>
    </row>
    <row r="3124" spans="1:10" x14ac:dyDescent="0.25">
      <c r="A3124" s="1" t="s">
        <v>588</v>
      </c>
      <c r="B3124" s="1" t="s">
        <v>589</v>
      </c>
      <c r="C3124" s="1" t="s">
        <v>672</v>
      </c>
      <c r="D3124" s="1">
        <v>42.962200000000003</v>
      </c>
      <c r="E3124" s="1">
        <v>-106.79859999999999</v>
      </c>
      <c r="F3124" s="1" t="s">
        <v>1923</v>
      </c>
      <c r="G3124" s="22">
        <v>775.51945534140953</v>
      </c>
      <c r="H3124" s="20">
        <f ca="1">NOW() - TIME(5,30,0) + (VLOOKUP(MasterTable[[#This Row],[TimeZone]], $O$3:$P$8, 2, FALSE) / 24)</f>
        <v>45990.490211458338</v>
      </c>
      <c r="I3124" s="1" t="s">
        <v>1944</v>
      </c>
      <c r="J3124" s="1">
        <v>5375.72</v>
      </c>
    </row>
    <row r="3125" spans="1:10" x14ac:dyDescent="0.25">
      <c r="A3125" s="1" t="s">
        <v>588</v>
      </c>
      <c r="B3125" s="1" t="s">
        <v>589</v>
      </c>
      <c r="C3125" s="1" t="s">
        <v>621</v>
      </c>
      <c r="D3125" s="1">
        <v>44.248199999999997</v>
      </c>
      <c r="E3125" s="1">
        <v>-105.54819999999999</v>
      </c>
      <c r="F3125" s="1" t="s">
        <v>1923</v>
      </c>
      <c r="G3125" s="22">
        <v>880.25656052743227</v>
      </c>
      <c r="H3125" s="20">
        <f ca="1">NOW() - TIME(5,30,0) + (VLOOKUP(MasterTable[[#This Row],[TimeZone]], $O$3:$P$8, 2, FALSE) / 24)</f>
        <v>45990.490211458338</v>
      </c>
      <c r="I3125" s="1" t="s">
        <v>1944</v>
      </c>
      <c r="J3125" s="1">
        <v>159.43</v>
      </c>
    </row>
    <row r="3126" spans="1:10" x14ac:dyDescent="0.25">
      <c r="A3126" s="1" t="s">
        <v>588</v>
      </c>
      <c r="B3126" s="1" t="s">
        <v>589</v>
      </c>
      <c r="C3126" s="1" t="s">
        <v>931</v>
      </c>
      <c r="D3126" s="1">
        <v>41.659500000000001</v>
      </c>
      <c r="E3126" s="1">
        <v>-108.8796</v>
      </c>
      <c r="F3126" s="1" t="s">
        <v>1923</v>
      </c>
      <c r="G3126" s="22">
        <v>661.79519176332599</v>
      </c>
      <c r="H3126" s="20">
        <f ca="1">NOW() - TIME(5,30,0) + (VLOOKUP(MasterTable[[#This Row],[TimeZone]], $O$3:$P$8, 2, FALSE) / 24)</f>
        <v>45990.490211458338</v>
      </c>
      <c r="I3126" s="1" t="s">
        <v>1944</v>
      </c>
      <c r="J3126" s="1">
        <v>10491.17</v>
      </c>
    </row>
    <row r="3127" spans="1:10" x14ac:dyDescent="0.25">
      <c r="A3127" s="1" t="s">
        <v>588</v>
      </c>
      <c r="B3127" s="1" t="s">
        <v>589</v>
      </c>
      <c r="C3127" s="1" t="s">
        <v>848</v>
      </c>
      <c r="D3127" s="1">
        <v>43.040500000000002</v>
      </c>
      <c r="E3127" s="1">
        <v>-108.63039999999999</v>
      </c>
      <c r="F3127" s="1" t="s">
        <v>1923</v>
      </c>
      <c r="G3127" s="22">
        <v>757.95201068131337</v>
      </c>
      <c r="H3127" s="20">
        <f ca="1">NOW() - TIME(5,30,0) + (VLOOKUP(MasterTable[[#This Row],[TimeZone]], $O$3:$P$8, 2, FALSE) / 24)</f>
        <v>45990.490211458338</v>
      </c>
      <c r="I3127" s="1" t="s">
        <v>1944</v>
      </c>
      <c r="J3127" s="1">
        <v>1533.95</v>
      </c>
    </row>
    <row r="3128" spans="1:10" x14ac:dyDescent="0.25">
      <c r="A3128" s="1" t="s">
        <v>588</v>
      </c>
      <c r="B3128" s="1" t="s">
        <v>589</v>
      </c>
      <c r="C3128" s="1" t="s">
        <v>282</v>
      </c>
      <c r="D3128" s="1">
        <v>41.654499999999999</v>
      </c>
      <c r="E3128" s="1">
        <v>-105.7238</v>
      </c>
      <c r="F3128" s="1" t="s">
        <v>1923</v>
      </c>
      <c r="G3128" s="22">
        <v>711.9418464965247</v>
      </c>
      <c r="H3128" s="20">
        <f ca="1">NOW() - TIME(5,30,0) + (VLOOKUP(MasterTable[[#This Row],[TimeZone]], $O$3:$P$8, 2, FALSE) / 24)</f>
        <v>45990.490211458338</v>
      </c>
      <c r="I3128" s="1" t="s">
        <v>1944</v>
      </c>
      <c r="J3128" s="1">
        <v>533.21</v>
      </c>
    </row>
    <row r="3129" spans="1:10" x14ac:dyDescent="0.25">
      <c r="A3129" s="1" t="s">
        <v>588</v>
      </c>
      <c r="B3129" s="1" t="s">
        <v>589</v>
      </c>
      <c r="C3129" s="1" t="s">
        <v>1051</v>
      </c>
      <c r="D3129" s="1">
        <v>44.79</v>
      </c>
      <c r="E3129" s="1">
        <v>-106.8792</v>
      </c>
      <c r="F3129" s="1" t="s">
        <v>1923</v>
      </c>
      <c r="G3129" s="22">
        <v>895.27304147609345</v>
      </c>
      <c r="H3129" s="20">
        <f ca="1">NOW() - TIME(5,30,0) + (VLOOKUP(MasterTable[[#This Row],[TimeZone]], $O$3:$P$8, 2, FALSE) / 24)</f>
        <v>45990.490211458338</v>
      </c>
      <c r="I3129" s="1" t="s">
        <v>1944</v>
      </c>
      <c r="J3129" s="1">
        <v>896.61</v>
      </c>
    </row>
    <row r="3130" spans="1:10" x14ac:dyDescent="0.25">
      <c r="A3130" s="1" t="s">
        <v>588</v>
      </c>
      <c r="B3130" s="1" t="s">
        <v>589</v>
      </c>
      <c r="C3130" s="1" t="s">
        <v>1078</v>
      </c>
      <c r="D3130" s="1">
        <v>44.520499999999998</v>
      </c>
      <c r="E3130" s="1">
        <v>-109.5879</v>
      </c>
      <c r="F3130" s="1" t="s">
        <v>1923</v>
      </c>
      <c r="G3130" s="22">
        <v>852.87145548319938</v>
      </c>
      <c r="H3130" s="20">
        <f ca="1">NOW() - TIME(5,30,0) + (VLOOKUP(MasterTable[[#This Row],[TimeZone]], $O$3:$P$8, 2, FALSE) / 24)</f>
        <v>45990.490211458338</v>
      </c>
      <c r="I3130" s="1" t="s">
        <v>1944</v>
      </c>
      <c r="J3130" s="1">
        <v>2210.69</v>
      </c>
    </row>
    <row r="3131" spans="1:10" x14ac:dyDescent="0.25">
      <c r="A3131" s="1" t="s">
        <v>588</v>
      </c>
      <c r="B3131" s="1" t="s">
        <v>589</v>
      </c>
      <c r="C3131" s="1" t="s">
        <v>1201</v>
      </c>
      <c r="D3131" s="1">
        <v>43.934600000000003</v>
      </c>
      <c r="E3131" s="1">
        <v>-110.5898</v>
      </c>
      <c r="F3131" s="1" t="s">
        <v>1923</v>
      </c>
      <c r="G3131" s="22">
        <v>809.53822363348081</v>
      </c>
      <c r="H3131" s="20">
        <f ca="1">NOW() - TIME(5,30,0) + (VLOOKUP(MasterTable[[#This Row],[TimeZone]], $O$3:$P$8, 2, FALSE) / 24)</f>
        <v>45990.490211458338</v>
      </c>
      <c r="I3131" s="1" t="s">
        <v>1944</v>
      </c>
      <c r="J3131" s="1">
        <v>450.57</v>
      </c>
    </row>
    <row r="3132" spans="1:10" x14ac:dyDescent="0.25">
      <c r="A3132" s="1" t="s">
        <v>588</v>
      </c>
      <c r="B3132" s="1" t="s">
        <v>589</v>
      </c>
      <c r="C3132" s="1" t="s">
        <v>1261</v>
      </c>
      <c r="D3132" s="1">
        <v>41.287599999999998</v>
      </c>
      <c r="E3132" s="1">
        <v>-110.5476</v>
      </c>
      <c r="F3132" s="1" t="s">
        <v>1923</v>
      </c>
      <c r="G3132" s="22">
        <v>626.78094049396827</v>
      </c>
      <c r="H3132" s="20">
        <f ca="1">NOW() - TIME(5,30,0) + (VLOOKUP(MasterTable[[#This Row],[TimeZone]], $O$3:$P$8, 2, FALSE) / 24)</f>
        <v>45990.490211458338</v>
      </c>
      <c r="I3132" s="1" t="s">
        <v>1944</v>
      </c>
      <c r="J3132" s="1">
        <v>2087.56</v>
      </c>
    </row>
    <row r="3133" spans="1:10" x14ac:dyDescent="0.25">
      <c r="A3133" s="1" t="s">
        <v>588</v>
      </c>
      <c r="B3133" s="1" t="s">
        <v>589</v>
      </c>
      <c r="C3133" s="1" t="s">
        <v>632</v>
      </c>
      <c r="D3133" s="1">
        <v>42.264000000000003</v>
      </c>
      <c r="E3133" s="1">
        <v>-110.65600000000001</v>
      </c>
      <c r="F3133" s="1" t="s">
        <v>1923</v>
      </c>
      <c r="G3133" s="22">
        <v>694.05707296622404</v>
      </c>
      <c r="H3133" s="20">
        <f ca="1">NOW() - TIME(5,30,0) + (VLOOKUP(MasterTable[[#This Row],[TimeZone]], $O$3:$P$8, 2, FALSE) / 24)</f>
        <v>45990.490211458338</v>
      </c>
      <c r="I3133" s="1" t="s">
        <v>1944</v>
      </c>
      <c r="J3133" s="1">
        <v>572.16999999999996</v>
      </c>
    </row>
    <row r="3134" spans="1:10" x14ac:dyDescent="0.25">
      <c r="A3134" s="1" t="s">
        <v>588</v>
      </c>
      <c r="B3134" s="1" t="s">
        <v>589</v>
      </c>
      <c r="C3134" s="1" t="s">
        <v>745</v>
      </c>
      <c r="D3134" s="1">
        <v>41.694400000000002</v>
      </c>
      <c r="E3134" s="1">
        <v>-106.93049999999999</v>
      </c>
      <c r="F3134" s="1" t="s">
        <v>1923</v>
      </c>
      <c r="G3134" s="22">
        <v>690.50484178922613</v>
      </c>
      <c r="H3134" s="20">
        <f ca="1">NOW() - TIME(5,30,0) + (VLOOKUP(MasterTable[[#This Row],[TimeZone]], $O$3:$P$8, 2, FALSE) / 24)</f>
        <v>45990.490211458338</v>
      </c>
      <c r="I3134" s="1" t="s">
        <v>1944</v>
      </c>
      <c r="J3134" s="1">
        <v>2062.19</v>
      </c>
    </row>
    <row r="3135" spans="1:10" x14ac:dyDescent="0.25">
      <c r="A3135" s="1" t="s">
        <v>588</v>
      </c>
      <c r="B3135" s="1" t="s">
        <v>589</v>
      </c>
      <c r="C3135" s="1" t="s">
        <v>1449</v>
      </c>
      <c r="D3135" s="1">
        <v>42.972299999999997</v>
      </c>
      <c r="E3135" s="1">
        <v>-105.5072</v>
      </c>
      <c r="F3135" s="1" t="s">
        <v>1923</v>
      </c>
      <c r="G3135" s="22">
        <v>799.434310467106</v>
      </c>
      <c r="H3135" s="20">
        <f ca="1">NOW() - TIME(5,30,0) + (VLOOKUP(MasterTable[[#This Row],[TimeZone]], $O$3:$P$8, 2, FALSE) / 24)</f>
        <v>45990.490211458338</v>
      </c>
      <c r="I3135" s="1" t="s">
        <v>1944</v>
      </c>
      <c r="J3135" s="1">
        <v>4265.1000000000004</v>
      </c>
    </row>
    <row r="3136" spans="1:10" x14ac:dyDescent="0.25">
      <c r="A3136" s="1" t="s">
        <v>588</v>
      </c>
      <c r="B3136" s="1" t="s">
        <v>589</v>
      </c>
      <c r="C3136" s="1" t="s">
        <v>1480</v>
      </c>
      <c r="D3136" s="1">
        <v>42.087899999999998</v>
      </c>
      <c r="E3136" s="1">
        <v>-104.3533</v>
      </c>
      <c r="F3136" s="1" t="s">
        <v>1923</v>
      </c>
      <c r="G3136" s="22">
        <v>771.27213582065917</v>
      </c>
      <c r="H3136" s="20">
        <f ca="1">NOW() - TIME(5,30,0) + (VLOOKUP(MasterTable[[#This Row],[TimeZone]], $O$3:$P$8, 2, FALSE) / 24)</f>
        <v>45990.490211458338</v>
      </c>
      <c r="I3136" s="1" t="s">
        <v>1944</v>
      </c>
      <c r="J3136" s="1">
        <v>2232.16</v>
      </c>
    </row>
    <row r="3137" spans="1:12" x14ac:dyDescent="0.25">
      <c r="A3137" s="1" t="s">
        <v>588</v>
      </c>
      <c r="B3137" s="1" t="s">
        <v>589</v>
      </c>
      <c r="C3137" s="1" t="s">
        <v>1467</v>
      </c>
      <c r="D3137" s="1">
        <v>44.526699999999998</v>
      </c>
      <c r="E3137" s="1">
        <v>-107.9952</v>
      </c>
      <c r="F3137" s="1" t="s">
        <v>1923</v>
      </c>
      <c r="G3137" s="22">
        <v>864.78330754764966</v>
      </c>
      <c r="H3137" s="20">
        <f ca="1">NOW() - TIME(5,30,0) + (VLOOKUP(MasterTable[[#This Row],[TimeZone]], $O$3:$P$8, 2, FALSE) / 24)</f>
        <v>45990.490211458338</v>
      </c>
      <c r="I3137" s="1" t="s">
        <v>1944</v>
      </c>
      <c r="J3137" s="1">
        <v>5014.6499999999996</v>
      </c>
    </row>
    <row r="3138" spans="1:12" x14ac:dyDescent="0.25">
      <c r="A3138" s="1" t="s">
        <v>588</v>
      </c>
      <c r="B3138" s="1" t="s">
        <v>589</v>
      </c>
      <c r="C3138" s="1" t="s">
        <v>1595</v>
      </c>
      <c r="D3138" s="1">
        <v>42.7669</v>
      </c>
      <c r="E3138" s="1">
        <v>-109.9147</v>
      </c>
      <c r="F3138" s="1" t="s">
        <v>1923</v>
      </c>
      <c r="G3138" s="22">
        <v>730.73969758961789</v>
      </c>
      <c r="H3138" s="20">
        <f ca="1">NOW() - TIME(5,30,0) + (VLOOKUP(MasterTable[[#This Row],[TimeZone]], $O$3:$P$8, 2, FALSE) / 24)</f>
        <v>45990.490211458338</v>
      </c>
      <c r="I3138" s="1" t="s">
        <v>1944</v>
      </c>
      <c r="J3138" s="1">
        <v>4935.66</v>
      </c>
    </row>
    <row r="3139" spans="1:12" x14ac:dyDescent="0.25">
      <c r="A3139" s="1" t="s">
        <v>588</v>
      </c>
      <c r="B3139" s="1" t="s">
        <v>589</v>
      </c>
      <c r="C3139" s="1" t="s">
        <v>558</v>
      </c>
      <c r="D3139" s="1">
        <v>42.133099999999999</v>
      </c>
      <c r="E3139" s="1">
        <v>-104.9659</v>
      </c>
      <c r="F3139" s="1" t="s">
        <v>1923</v>
      </c>
      <c r="G3139" s="22">
        <v>758.91013044642523</v>
      </c>
      <c r="H3139" s="20">
        <f ca="1">NOW() - TIME(5,30,0) + (VLOOKUP(MasterTable[[#This Row],[TimeZone]], $O$3:$P$8, 2, FALSE) / 24)</f>
        <v>45990.490211458338</v>
      </c>
      <c r="I3139" s="1" t="s">
        <v>1944</v>
      </c>
      <c r="J3139" s="1">
        <v>427.22</v>
      </c>
    </row>
    <row r="3140" spans="1:12" x14ac:dyDescent="0.25">
      <c r="A3140" s="1" t="s">
        <v>588</v>
      </c>
      <c r="B3140" s="1" t="s">
        <v>589</v>
      </c>
      <c r="C3140" s="1" t="s">
        <v>165</v>
      </c>
      <c r="D3140" s="1">
        <v>44.038800000000002</v>
      </c>
      <c r="E3140" s="1">
        <v>-106.5847</v>
      </c>
      <c r="F3140" s="1" t="s">
        <v>1923</v>
      </c>
      <c r="G3140" s="22">
        <v>849.61350056521394</v>
      </c>
      <c r="H3140" s="20">
        <f ca="1">NOW() - TIME(5,30,0) + (VLOOKUP(MasterTable[[#This Row],[TimeZone]], $O$3:$P$8, 2, FALSE) / 24)</f>
        <v>45990.490211458338</v>
      </c>
      <c r="I3140" s="1" t="s">
        <v>1944</v>
      </c>
      <c r="J3140" s="1">
        <v>682.74</v>
      </c>
    </row>
    <row r="3141" spans="1:12" x14ac:dyDescent="0.25">
      <c r="A3141" s="1" t="s">
        <v>588</v>
      </c>
      <c r="B3141" s="1" t="s">
        <v>589</v>
      </c>
      <c r="C3141" s="1" t="s">
        <v>1637</v>
      </c>
      <c r="D3141" s="1">
        <v>43.905000000000001</v>
      </c>
      <c r="E3141" s="1">
        <v>-107.6828</v>
      </c>
      <c r="F3141" s="1" t="s">
        <v>1923</v>
      </c>
      <c r="G3141" s="22">
        <v>826.16185238863409</v>
      </c>
      <c r="H3141" s="20">
        <f ca="1">NOW() - TIME(5,30,0) + (VLOOKUP(MasterTable[[#This Row],[TimeZone]], $O$3:$P$8, 2, FALSE) / 24)</f>
        <v>45990.490211458338</v>
      </c>
      <c r="I3141" s="1" t="s">
        <v>1944</v>
      </c>
      <c r="J3141" s="1">
        <v>2242.75</v>
      </c>
    </row>
    <row r="3142" spans="1:12" x14ac:dyDescent="0.25">
      <c r="A3142" s="1" t="s">
        <v>588</v>
      </c>
      <c r="B3142" s="1" t="s">
        <v>589</v>
      </c>
      <c r="C3142" s="1" t="s">
        <v>1151</v>
      </c>
      <c r="D3142" s="1">
        <v>44.588500000000003</v>
      </c>
      <c r="E3142" s="1">
        <v>-104.5699</v>
      </c>
      <c r="F3142" s="1" t="s">
        <v>1923</v>
      </c>
      <c r="G3142" s="22">
        <v>920.483228778475</v>
      </c>
      <c r="H3142" s="20">
        <f ca="1">NOW() - TIME(5,30,0) + (VLOOKUP(MasterTable[[#This Row],[TimeZone]], $O$3:$P$8, 2, FALSE) / 24)</f>
        <v>45990.490211458338</v>
      </c>
      <c r="I3142" s="1" t="s">
        <v>1944</v>
      </c>
      <c r="J3142" s="1">
        <v>2987.41</v>
      </c>
    </row>
    <row r="3143" spans="1:12" x14ac:dyDescent="0.25">
      <c r="A3143" s="1" t="s">
        <v>588</v>
      </c>
      <c r="B3143" s="1" t="s">
        <v>589</v>
      </c>
      <c r="C3143" s="1" t="s">
        <v>1677</v>
      </c>
      <c r="D3143" s="1">
        <v>43.840400000000002</v>
      </c>
      <c r="E3143" s="1">
        <v>-104.5677</v>
      </c>
      <c r="F3143" s="1" t="s">
        <v>1923</v>
      </c>
      <c r="G3143" s="22">
        <v>873.55015291111658</v>
      </c>
      <c r="H3143" s="20">
        <f ca="1">NOW() - TIME(5,30,0) + (VLOOKUP(MasterTable[[#This Row],[TimeZone]], $O$3:$P$8, 2, FALSE) / 24)</f>
        <v>45990.490211458338</v>
      </c>
      <c r="I3143" s="1" t="s">
        <v>1944</v>
      </c>
      <c r="J3143" s="1">
        <v>2400.0700000000002</v>
      </c>
    </row>
    <row r="3144" spans="1:12" x14ac:dyDescent="0.25">
      <c r="A3144" s="1" t="s">
        <v>588</v>
      </c>
      <c r="B3144" s="1" t="s">
        <v>589</v>
      </c>
      <c r="C3144" s="1" t="s">
        <v>1766</v>
      </c>
      <c r="D3144" s="1">
        <v>43.719000000000001</v>
      </c>
      <c r="E3144" s="1">
        <v>-108.4422</v>
      </c>
      <c r="F3144" s="1" t="s">
        <v>1923</v>
      </c>
      <c r="G3144" s="22">
        <v>805.77003180144254</v>
      </c>
      <c r="H3144" s="20">
        <f ca="1">NOW() - TIME(5,30,0) + (VLOOKUP(MasterTable[[#This Row],[TimeZone]], $O$3:$P$8, 2, FALSE) / 24)</f>
        <v>45990.490211458338</v>
      </c>
      <c r="I3144" s="1" t="s">
        <v>1944</v>
      </c>
      <c r="J3144" s="1">
        <v>2006.21</v>
      </c>
    </row>
    <row r="3145" spans="1:12" x14ac:dyDescent="0.25">
      <c r="A3145" s="1" t="s">
        <v>588</v>
      </c>
      <c r="B3145" s="1" t="s">
        <v>589</v>
      </c>
      <c r="C3145" s="1" t="s">
        <v>1845</v>
      </c>
      <c r="D3145" s="1">
        <v>43.0565</v>
      </c>
      <c r="E3145" s="1">
        <v>-104.47539999999999</v>
      </c>
      <c r="F3145" s="1" t="s">
        <v>1923</v>
      </c>
      <c r="G3145" s="22">
        <v>827.04323138719008</v>
      </c>
      <c r="H3145" s="20">
        <f ca="1">NOW() - TIME(5,30,0) + (VLOOKUP(MasterTable[[#This Row],[TimeZone]], $O$3:$P$8, 2, FALSE) / 24)</f>
        <v>45990.490211458338</v>
      </c>
      <c r="I3145" s="1" t="s">
        <v>1944</v>
      </c>
      <c r="J3145" s="1">
        <v>2627.9</v>
      </c>
    </row>
    <row r="3146" spans="1:12" x14ac:dyDescent="0.25">
      <c r="K3146" s="11"/>
      <c r="L3146" s="11"/>
    </row>
    <row r="3147" spans="1:12" x14ac:dyDescent="0.25">
      <c r="K3147" s="11"/>
      <c r="L3147" s="11"/>
    </row>
    <row r="3148" spans="1:12" x14ac:dyDescent="0.25">
      <c r="K3148" s="11"/>
      <c r="L3148" s="11"/>
    </row>
  </sheetData>
  <sheetProtection algorithmName="SHA-512" hashValue="WEKXOJlU+2EhMe8ldJ0AzhwdeKDaBMpxpMkDBUM6y5KDMZ6/sEwhbgZUSaPJiSWmcQu3TX9RWT9MFZMsFeVPkQ==" saltValue="QYDjI5DiQ0ycf26tCtyOCQ==" spinCount="100000" sheet="1" formatCells="0" formatColumns="0" formatRows="0" insertColumns="0" insertRows="0" insertHyperlinks="0" deleteColumns="0" deleteRows="0" autoFilter="0" pivotTables="0"/>
  <conditionalFormatting sqref="I1:I1048576">
    <cfRule type="cellIs" dxfId="16" priority="2" operator="equal">
      <formula>"WithinRange"</formula>
    </cfRule>
    <cfRule type="cellIs" dxfId="15" priority="1" operator="equal">
      <formula>"OutOfRange"</formula>
    </cfRule>
  </conditionalFormatting>
  <hyperlinks>
    <hyperlink ref="L1117" r:id="rId1" tooltip="Current Time in Kentucky" display="https://www.timetemperature.com/tzus/current_time_in_kentucky.shtml?utm_source=chatgpt.com" xr:uid="{0039EF19-ABA7-4DED-A15C-0EA81338B83D}"/>
  </hyperlinks>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6C82638-8BEE-41BA-8222-B5F6785D5695}">
  <ds:schemaRefs/>
</ds:datastoreItem>
</file>

<file path=customXml/itemProps2.xml><?xml version="1.0" encoding="utf-8"?>
<ds:datastoreItem xmlns:ds="http://schemas.openxmlformats.org/officeDocument/2006/customXml" ds:itemID="{1555927A-439A-47B9-87ED-F23ADD821193}">
  <ds:schemaRefs/>
</ds:datastoreItem>
</file>

<file path=customXml/itemProps3.xml><?xml version="1.0" encoding="utf-8"?>
<ds:datastoreItem xmlns:ds="http://schemas.openxmlformats.org/officeDocument/2006/customXml" ds:itemID="{33CBC1F0-C560-4A6B-9745-1A7FFC0FD0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HomePage</vt:lpstr>
      <vt:lpstr>Statename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Pandey</dc:creator>
  <cp:lastModifiedBy>admin</cp:lastModifiedBy>
  <dcterms:created xsi:type="dcterms:W3CDTF">2025-06-12T04:13:49Z</dcterms:created>
  <dcterms:modified xsi:type="dcterms:W3CDTF">2025-11-29T18:46:05Z</dcterms:modified>
</cp:coreProperties>
</file>